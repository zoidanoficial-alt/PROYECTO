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汇总" sheetId="1" state="hidden" r:id="rId1"/>
    <sheet xmlns:r="http://schemas.openxmlformats.org/officeDocument/2006/relationships" name="Overall" sheetId="2" state="visible" r:id="rId2"/>
    <sheet xmlns:r="http://schemas.openxmlformats.org/officeDocument/2006/relationships" name="Shoppable Videos" sheetId="3" state="visible" r:id="rId3"/>
    <sheet xmlns:r="http://schemas.openxmlformats.org/officeDocument/2006/relationships" name="Amora" sheetId="4" state="visible" r:id="rId4"/>
    <sheet xmlns:r="http://schemas.openxmlformats.org/officeDocument/2006/relationships" name="Langavi Chocolatería" sheetId="5" state="visible" r:id="rId5"/>
    <sheet xmlns:r="http://schemas.openxmlformats.org/officeDocument/2006/relationships" name="Lbel" sheetId="6" state="visible" r:id="rId6"/>
    <sheet xmlns:r="http://schemas.openxmlformats.org/officeDocument/2006/relationships" name="Vaseline" sheetId="7" state="hidden" r:id="rId7"/>
    <sheet xmlns:r="http://schemas.openxmlformats.org/officeDocument/2006/relationships" name="Flik" sheetId="8" state="hidden" r:id="rId8"/>
    <sheet xmlns:r="http://schemas.openxmlformats.org/officeDocument/2006/relationships" name="Miami Wireless" sheetId="9" state="hidden" r:id="rId9"/>
    <sheet xmlns:r="http://schemas.openxmlformats.org/officeDocument/2006/relationships" name="DAX" sheetId="10" state="hidden" r:id="rId10"/>
    <sheet xmlns:r="http://schemas.openxmlformats.org/officeDocument/2006/relationships" name="Starlan" sheetId="11" state="visible" r:id="rId11"/>
    <sheet xmlns:r="http://schemas.openxmlformats.org/officeDocument/2006/relationships" name="YVES ROCHER" sheetId="12" state="visible" r:id="rId12"/>
    <sheet xmlns:r="http://schemas.openxmlformats.org/officeDocument/2006/relationships" name="MAGNA" sheetId="13" state="visible" r:id="rId13"/>
    <sheet xmlns:r="http://schemas.openxmlformats.org/officeDocument/2006/relationships" name="REVLON" sheetId="14" state="visible" r:id="rId14"/>
    <sheet xmlns:r="http://schemas.openxmlformats.org/officeDocument/2006/relationships" name="NEXUS" sheetId="15" state="hidden" r:id="rId15"/>
    <sheet xmlns:r="http://schemas.openxmlformats.org/officeDocument/2006/relationships" name="PRICE ONLINE" sheetId="16" state="visible" r:id="rId16"/>
    <sheet xmlns:r="http://schemas.openxmlformats.org/officeDocument/2006/relationships" name="Rey Selecto" sheetId="17" state="visible" r:id="rId17"/>
    <sheet xmlns:r="http://schemas.openxmlformats.org/officeDocument/2006/relationships" name="Reina Beauty" sheetId="18" state="hidden" r:id="rId18"/>
    <sheet xmlns:r="http://schemas.openxmlformats.org/officeDocument/2006/relationships" name="Reyes del Hogar" sheetId="19" state="hidden" r:id="rId19"/>
    <sheet xmlns:r="http://schemas.openxmlformats.org/officeDocument/2006/relationships" name="Reyes_del_wellness" sheetId="20" state="visible" r:id="rId20"/>
    <sheet xmlns:r="http://schemas.openxmlformats.org/officeDocument/2006/relationships" name="imperio del perfume" sheetId="21" state="visible" r:id="rId21"/>
    <sheet xmlns:r="http://schemas.openxmlformats.org/officeDocument/2006/relationships" name="Hoja 35" sheetId="22" state="hidden" r:id="rId22"/>
    <sheet xmlns:r="http://schemas.openxmlformats.org/officeDocument/2006/relationships" name="fashion_only" sheetId="23" state="visible" r:id="rId23"/>
    <sheet xmlns:r="http://schemas.openxmlformats.org/officeDocument/2006/relationships" name="glowandgogirls_" sheetId="24" state="hidden" r:id="rId24"/>
    <sheet xmlns:r="http://schemas.openxmlformats.org/officeDocument/2006/relationships" name="reino de aroma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&quot;-&quot;mm&quot;-&quot;dd"/>
    <numFmt numFmtId="165" formatCode="&quot;$&quot;#,##0"/>
    <numFmt numFmtId="166" formatCode="&quot;$&quot;#,##0.00"/>
    <numFmt numFmtId="167" formatCode="dd/mm/yy"/>
    <numFmt numFmtId="168" formatCode="[$$]#,##0.00"/>
    <numFmt numFmtId="169" formatCode="yyyy-mm-dd"/>
    <numFmt numFmtId="170" formatCode="yyyy/mm/dd"/>
  </numFmts>
  <fonts count="14">
    <font>
      <name val="Arial"/>
      <color rgb="FF000000"/>
      <sz val="10"/>
      <scheme val="minor"/>
    </font>
    <font>
      <name val="Arial"/>
      <b val="1"/>
      <color theme="1"/>
      <sz val="12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theme="1"/>
      <scheme val="minor"/>
    </font>
    <font>
      <name val="Helvetica"/>
      <b val="1"/>
      <color theme="1"/>
    </font>
    <font>
      <name val="Helvetica"/>
      <color theme="1"/>
    </font>
    <font>
      <name val="&quot;TikTok Text&quot;"/>
      <color rgb="FF1F2329"/>
      <sz val="11"/>
    </font>
    <font>
      <name val="Calibri"/>
      <color theme="1"/>
      <sz val="11"/>
    </font>
    <font>
      <name val="Arial"/>
      <color rgb="FF000000"/>
      <scheme val="minor"/>
    </font>
    <font>
      <name val="&quot;Google Sans Text&quot;"/>
      <color rgb="FF1F1F1F"/>
    </font>
    <font>
      <color rgb="FF000000"/>
      <u val="single"/>
    </font>
    <font>
      <name val="Calibri"/>
      <color rgb="FF000000"/>
      <sz val="11"/>
    </font>
    <font>
      <name val="Calibri"/>
      <color rgb="FF000000"/>
      <sz val="11"/>
      <u val="single"/>
    </font>
  </fonts>
  <fills count="6">
    <fill>
      <patternFill/>
    </fill>
    <fill>
      <patternFill patternType="lightGray"/>
    </fill>
    <fill>
      <patternFill patternType="solid">
        <fgColor rgb="FFB6F9FE"/>
        <bgColor rgb="FFB6F9FE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EE0E3"/>
      </left>
      <top style="thin">
        <color rgb="FFDEE0E3"/>
      </top>
      <bottom style="thin">
        <color rgb="FF000000"/>
      </bottom>
    </border>
  </borders>
  <cellStyleXfs count="1">
    <xf numFmtId="0" fontId="0" fillId="0" borderId="0"/>
  </cellStyleXfs>
  <cellXfs count="1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2" fontId="5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wrapText="1"/>
    </xf>
    <xf numFmtId="0" fontId="3" fillId="0" borderId="0" applyAlignment="1" pivotButton="0" quotePrefix="0" xfId="0">
      <alignment vertical="bottom"/>
    </xf>
    <xf numFmtId="0" fontId="6" fillId="0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 wrapText="1"/>
    </xf>
    <xf numFmtId="166" fontId="2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 wrapText="1"/>
    </xf>
    <xf numFmtId="166" fontId="2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166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2" fontId="5" fillId="3" borderId="1" applyAlignment="1" pivotButton="0" quotePrefix="0" xfId="0">
      <alignment horizontal="center" wrapText="1"/>
    </xf>
    <xf numFmtId="164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7" fillId="4" borderId="0" pivotButton="0" quotePrefix="0" xfId="0"/>
    <xf numFmtId="0" fontId="6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/>
    </xf>
    <xf numFmtId="166" fontId="6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bottom" wrapText="1"/>
    </xf>
    <xf numFmtId="165" fontId="6" fillId="4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66" fontId="9" fillId="0" borderId="1" applyAlignment="1" pivotButton="0" quotePrefix="0" xfId="0">
      <alignment horizontal="center" wrapText="1"/>
    </xf>
    <xf numFmtId="2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 wrapText="1"/>
    </xf>
    <xf numFmtId="166" fontId="6" fillId="4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left"/>
    </xf>
    <xf numFmtId="166" fontId="3" fillId="0" borderId="0" applyAlignment="1" pivotButton="0" quotePrefix="0" xfId="0">
      <alignment vertical="bottom"/>
    </xf>
    <xf numFmtId="164" fontId="2" fillId="0" borderId="0" pivotButton="0" quotePrefix="0" xfId="0"/>
    <xf numFmtId="164" fontId="3" fillId="0" borderId="0" applyAlignment="1" pivotButton="0" quotePrefix="0" xfId="0">
      <alignment vertical="bottom"/>
    </xf>
    <xf numFmtId="166" fontId="3" fillId="0" borderId="1" applyAlignment="1" pivotButton="0" quotePrefix="0" xfId="0">
      <alignment horizontal="center" wrapText="1"/>
    </xf>
    <xf numFmtId="164" fontId="5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67" fontId="3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6" fillId="0" borderId="0" applyAlignment="1" pivotButton="0" quotePrefix="0" xfId="0">
      <alignment horizontal="center" vertical="bottom" wrapText="1"/>
    </xf>
    <xf numFmtId="165" fontId="6" fillId="4" borderId="1" applyAlignment="1" pivotButton="0" quotePrefix="0" xfId="0">
      <alignment horizontal="center" wrapText="1"/>
    </xf>
    <xf numFmtId="166" fontId="3" fillId="0" borderId="1" applyAlignment="1" pivotButton="0" quotePrefix="0" xfId="0">
      <alignment horizontal="center" wrapText="1"/>
    </xf>
    <xf numFmtId="167" fontId="3" fillId="0" borderId="1" applyAlignment="1" pivotButton="0" quotePrefix="0" xfId="0">
      <alignment horizontal="center"/>
    </xf>
    <xf numFmtId="166" fontId="2" fillId="0" borderId="0" pivotButton="0" quotePrefix="0" xfId="0"/>
    <xf numFmtId="164" fontId="5" fillId="2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2" fontId="5" fillId="2" borderId="1" applyAlignment="1" pivotButton="0" quotePrefix="0" xfId="0">
      <alignment horizontal="center" wrapText="1"/>
    </xf>
    <xf numFmtId="164" fontId="5" fillId="2" borderId="1" applyAlignment="1" pivotButton="0" quotePrefix="0" xfId="0">
      <alignment horizontal="center" wrapText="1"/>
    </xf>
    <xf numFmtId="165" fontId="6" fillId="5" borderId="1" applyAlignment="1" pivotButton="0" quotePrefix="0" xfId="0">
      <alignment horizontal="center" wrapText="1"/>
    </xf>
    <xf numFmtId="166" fontId="6" fillId="4" borderId="1" applyAlignment="1" pivotButton="0" quotePrefix="0" xfId="0">
      <alignment horizontal="center" wrapText="1"/>
    </xf>
    <xf numFmtId="0" fontId="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0" fontId="10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2" fillId="0" borderId="0" pivotButton="0" quotePrefix="0" xfId="0"/>
    <xf numFmtId="0" fontId="9" fillId="0" borderId="1" applyAlignment="1" pivotButton="0" quotePrefix="0" xfId="0">
      <alignment horizontal="center" wrapText="1"/>
    </xf>
    <xf numFmtId="168" fontId="9" fillId="0" borderId="1" applyAlignment="1" pivotButton="0" quotePrefix="0" xfId="0">
      <alignment horizontal="center" wrapText="1"/>
    </xf>
    <xf numFmtId="166" fontId="9" fillId="0" borderId="1" applyAlignment="1" pivotButton="0" quotePrefix="0" xfId="0">
      <alignment horizontal="center" wrapText="1"/>
    </xf>
    <xf numFmtId="0" fontId="9" fillId="0" borderId="2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9" fontId="9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left"/>
    </xf>
    <xf numFmtId="0" fontId="2" fillId="0" borderId="1" pivotButton="0" quotePrefix="0" xfId="0"/>
    <xf numFmtId="165" fontId="12" fillId="0" borderId="0" applyAlignment="1" pivotButton="0" quotePrefix="0" xfId="0">
      <alignment vertical="bottom"/>
    </xf>
    <xf numFmtId="165" fontId="6" fillId="0" borderId="1" applyAlignment="1" pivotButton="0" quotePrefix="0" xfId="0">
      <alignment horizontal="center"/>
    </xf>
    <xf numFmtId="2" fontId="9" fillId="0" borderId="1" applyAlignment="1" pivotButton="0" quotePrefix="0" xfId="0">
      <alignment horizontal="center" wrapText="1"/>
    </xf>
    <xf numFmtId="166" fontId="6" fillId="4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 vertical="center" wrapText="1"/>
    </xf>
    <xf numFmtId="170" fontId="9" fillId="0" borderId="1" applyAlignment="1" pivotButton="0" quotePrefix="0" xfId="0">
      <alignment horizontal="center" wrapText="1"/>
    </xf>
    <xf numFmtId="165" fontId="12" fillId="0" borderId="1" applyAlignment="1" pivotButton="0" quotePrefix="0" xfId="0">
      <alignment vertical="bottom"/>
    </xf>
    <xf numFmtId="165" fontId="13" fillId="0" borderId="0" applyAlignment="1" pivotButton="0" quotePrefix="0" xfId="0">
      <alignment vertical="bottom"/>
    </xf>
    <xf numFmtId="164" fontId="5" fillId="2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/>
    </xf>
    <xf numFmtId="0" fontId="9" fillId="0" borderId="0" pivotButton="0" quotePrefix="0" xfId="0"/>
    <xf numFmtId="0" fontId="9" fillId="0" borderId="1" pivotButton="0" quotePrefix="0" xfId="0"/>
    <xf numFmtId="1" fontId="9" fillId="0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9" fillId="0" borderId="0" applyAlignment="1" pivotButton="0" quotePrefix="0" xfId="0">
      <alignment horizontal="center"/>
    </xf>
    <xf numFmtId="168" fontId="2" fillId="0" borderId="0" pivotButton="0" quotePrefix="0" xfId="0"/>
    <xf numFmtId="166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hyperlink" Target="https://shop.tiktok.com/workbench/live/overview?room_id=7640195392616844052&amp;region=MX&amp;btm_ppre=a7207.b9503.c0.d0&amp;btm_pre=a7207.b7612.c0.d0&amp;btm_show_id=e54e0e08-7cb7-4867-bdd0-c301eae4effc" TargetMode="External" Id="rId1"/><Relationship Type="http://schemas.openxmlformats.org/officeDocument/2006/relationships/hyperlink" Target="https://shop.tiktok.com/workbench/live/overview?room_id=7641309173595376405&amp;region=MX&amp;btm_ppre=a7207.b9503.c0.d0&amp;btm_pre=a7207.b7612.c0.d0&amp;btm_show_id=e54e0e08-7cb7-4867-bdd0-c301eae4effc" TargetMode="External" Id="rId2"/><Relationship Type="http://schemas.openxmlformats.org/officeDocument/2006/relationships/hyperlink" Target="https://shop.tiktok.com/workbench/live/overview?room_id=7641679861966523156&amp;region=MX&amp;btm_ppre=a7207.b9503.c0.d0&amp;btm_pre=a7207.b7612.c0.d0&amp;btm_show_id=e54e0e08-7cb7-4867-bdd0-c301eae4effc" TargetMode="External" Id="rId3"/><Relationship Type="http://schemas.openxmlformats.org/officeDocument/2006/relationships/hyperlink" Target="https://shop.tiktok.com/workbench/live/overview?room_id=7642053246622305031&amp;region=MX&amp;btm_ppre=a7207.b9503.c0.d0&amp;btm_pre=a7207.b7612.c0.d0&amp;btm_show_id=e54e0e08-7cb7-4867-bdd0-c301eae4effc" TargetMode="External" Id="rId4"/><Relationship Type="http://schemas.openxmlformats.org/officeDocument/2006/relationships/hyperlink" Target="https://shop.tiktok.com/workbench/live?room_id=7642792906604235528&amp;region=MX&amp;btm_ppre=a7207.b9503.c0.d0&amp;btm_pre=a7207.b7612.c0.d0&amp;btm_show_id=e54e0e08-7cb7-4867-bdd0-c301eae4effc" TargetMode="External" Id="rId5"/><Relationship Type="http://schemas.openxmlformats.org/officeDocument/2006/relationships/hyperlink" Target="https://shop.tiktok.com/workbench/live/overview?room_id=7642792906604235528&amp;region=MX&amp;btm_ppre=a7207.b9503.c0.d0&amp;btm_pre=a7207.b7612.c0.d0&amp;btm_show_id=e54e0e08-7cb7-4867-bdd0-c301eae4effc" TargetMode="External" Id="rId6"/><Relationship Type="http://schemas.openxmlformats.org/officeDocument/2006/relationships/hyperlink" Target="https://shop.tiktok.com/workbench/live/overview?room_id=7643906063466285832&amp;region=MX&amp;btm_ppre=a7207.b9503.c0.d0&amp;btm_pre=a7207.b7612.c0.d0&amp;btm_show_id=e54e0e08-7cb7-4867-bdd0-c301eae4effc" TargetMode="External" Id="rId7"/><Relationship Type="http://schemas.openxmlformats.org/officeDocument/2006/relationships/hyperlink" Target="https://shop.tiktok.com/workbench/live/overview?room_id=7644277282990738183&amp;region=MX&amp;btm_ppre=a7207.b9503.c0.d0&amp;btm_pre=a7207.b7612.c0.d0&amp;btm_show_id=e54e0e08-7cb7-4867-bdd0-c301eae4effc" TargetMode="External" Id="rId8"/><Relationship Type="http://schemas.openxmlformats.org/officeDocument/2006/relationships/hyperlink" Target="https://shop.tiktok.com/workbench/live/overview?room_id=7644648244324502280&amp;region=MX&amp;btm_ppre=a7207.b9503.c0.d0&amp;btm_pre=a7207.b7612.c0.d0&amp;btm_show_id=e54e0e08-7cb7-4867-bdd0-c301eae4effc" TargetMode="External" Id="rId9"/></Relationships>
</file>

<file path=xl/worksheets/_rels/sheet16.xml.rels><Relationships xmlns="http://schemas.openxmlformats.org/package/2006/relationships"><Relationship Type="http://schemas.openxmlformats.org/officeDocument/2006/relationships/hyperlink" Target="http://priceonline.mx" TargetMode="External" Id="rId1"/><Relationship Type="http://schemas.openxmlformats.org/officeDocument/2006/relationships/hyperlink" Target="http://priceonline.mx" TargetMode="External" Id="rId2"/><Relationship Type="http://schemas.openxmlformats.org/officeDocument/2006/relationships/hyperlink" Target="http://priceonline.mx" TargetMode="External" Id="rId3"/><Relationship Type="http://schemas.openxmlformats.org/officeDocument/2006/relationships/hyperlink" Target="http://priceonline.mx" TargetMode="External" Id="rId4"/><Relationship Type="http://schemas.openxmlformats.org/officeDocument/2006/relationships/hyperlink" Target="http://priceonline.mx" TargetMode="External" Id="rId5"/><Relationship Type="http://schemas.openxmlformats.org/officeDocument/2006/relationships/hyperlink" Target="http://priceonline.mx" TargetMode="External" Id="rId6"/><Relationship Type="http://schemas.openxmlformats.org/officeDocument/2006/relationships/hyperlink" Target="http://priceonline.mx" TargetMode="External" Id="rId7"/><Relationship Type="http://schemas.openxmlformats.org/officeDocument/2006/relationships/hyperlink" Target="http://priceonline.mx" TargetMode="External" Id="rId8"/><Relationship Type="http://schemas.openxmlformats.org/officeDocument/2006/relationships/hyperlink" Target="http://priceonline.mx" TargetMode="External" Id="rId9"/><Relationship Type="http://schemas.openxmlformats.org/officeDocument/2006/relationships/hyperlink" Target="http://priceonline.mx" TargetMode="External" Id="rId10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63"/>
  <sheetViews>
    <sheetView workbookViewId="0">
      <selection activeCell="A1" sqref="A1"/>
    </sheetView>
  </sheetViews>
  <sheetFormatPr baseColWidth="8" defaultColWidth="12.63" defaultRowHeight="15.75" customHeight="1"/>
  <cols>
    <col width="19.5" customWidth="1" style="118" min="2" max="2"/>
    <col width="15.75" customWidth="1" style="118" min="6" max="6"/>
    <col width="12" customWidth="1" style="118" min="7" max="7"/>
  </cols>
  <sheetData>
    <row r="1">
      <c r="A1" s="3">
        <f>IFERROR(__xludf.DUMMYFUNCTION("{
QUERY(IMPORTRANGE(""https://docs.google.com/spreadsheets/d/1kPjACnOvjPp6b4_RjCRN_M0q5R0X0WTX783fazJufTo/edit?gid=0#gid=0"", ""Amora!A1:N""), ""SELECT * WHERE Col1 is not null"", 1);
QUERY(IMPORTRANGE(""https://docs.google.com/spreadsheets/d/1kPjACnOvjPp"&amp;"6b4_RjCRN_M0q5R0X0WTX783fazJufTo/edit?gid=1207218761#gid=1207218761"", ""BPO!A2:N""), ""SELECT * WHERE Col1 is not null"", 0);
QUERY(IMPORTRANGE(""https://docs.google.com/spreadsheets/d/1kPjACnOvjPp6b4_RjCRN_M0q5R0X0WTX783fazJufTo/edit?gid=1329888108#gid="&amp;"1329888108"", ""Flik!A2:N""), ""SELECT * WHERE Col1 is not null"", 0);
QUERY(IMPORTRANGE(""https://docs.google.com/spreadsheets/d/1kPjACnOvjPp6b4_RjCRN_M0q5R0X0WTX783fazJufTo/edit?gid=1376228515#gid=1376228515"", ""Lbel!A2:N""), ""SELECT * WHERE Col1 is n"&amp;"ot null"", 0);
QUERY(IMPORTRANGE(""https://docs.google.com/spreadsheets/d/1kPjACnOvjPp6b4_RjCRN_M0q5R0X0WTX783fazJufTo/edit?gid=1689442526#gid=1689442526"", ""DAX!A2:N""), ""SELECT * WHERE Col1 is not null"", 0);
QUERY(IMPORTRANGE(""https://docs.google.co"&amp;"m/spreadsheets/d/1kPjACnOvjPp6b4_RjCRN_M0q5R0X0WTX783fazJufTo/edit?gid=1371078059#gid=1371078059"", ""YVES ROCHER!A2:N""), ""SELECT * WHERE Col1 is not null"", 0)}"),"#VALUE!")</f>
        <v/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48">
      <c r="C48" s="17" t="n"/>
    </row>
    <row r="55">
      <c r="A55" s="17" t="n"/>
    </row>
    <row r="57">
      <c r="A57" s="17" t="n"/>
    </row>
    <row r="60">
      <c r="A60" s="17" t="n"/>
    </row>
    <row r="62">
      <c r="A62" s="17" t="n"/>
    </row>
    <row r="63">
      <c r="A63" s="1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3"/>
  <sheetViews>
    <sheetView workbookViewId="0">
      <selection activeCell="A1" sqref="A1"/>
    </sheetView>
  </sheetViews>
  <sheetFormatPr baseColWidth="8" defaultColWidth="12.63" defaultRowHeight="15.75" customHeight="1"/>
  <cols>
    <col width="19.13" customWidth="1" style="118" min="1" max="1"/>
  </cols>
  <sheetData>
    <row r="1">
      <c r="A1" s="1" t="inlineStr">
        <is>
          <t>Clients</t>
        </is>
      </c>
    </row>
    <row r="2">
      <c r="A2" s="2" t="inlineStr">
        <is>
          <t>Amora</t>
        </is>
      </c>
    </row>
    <row r="3">
      <c r="A3" s="2" t="inlineStr">
        <is>
          <t>Langavi</t>
        </is>
      </c>
    </row>
    <row r="4">
      <c r="A4" s="2" t="inlineStr">
        <is>
          <t>L’bel</t>
        </is>
      </c>
    </row>
    <row r="5">
      <c r="A5" s="2" t="inlineStr">
        <is>
          <t>Starlan</t>
        </is>
      </c>
    </row>
    <row r="6">
      <c r="A6" s="2" t="inlineStr">
        <is>
          <t>YVES ROCHER</t>
        </is>
      </c>
    </row>
    <row r="7">
      <c r="A7" s="2" t="inlineStr">
        <is>
          <t>MAGNA</t>
        </is>
      </c>
    </row>
    <row r="8">
      <c r="A8" s="2" t="inlineStr">
        <is>
          <t>REVLON</t>
        </is>
      </c>
    </row>
    <row r="9">
      <c r="A9" s="2" t="inlineStr">
        <is>
          <t>PRICE ONLINE</t>
        </is>
      </c>
    </row>
    <row r="10">
      <c r="A10" s="2" t="inlineStr">
        <is>
          <t>Rey Selecto</t>
        </is>
      </c>
    </row>
    <row r="11">
      <c r="A11" s="2" t="inlineStr">
        <is>
          <t>Reyes_del_wellness</t>
        </is>
      </c>
    </row>
    <row r="12">
      <c r="A12" s="2" t="inlineStr">
        <is>
          <t>Reyes del Hogar</t>
        </is>
      </c>
    </row>
    <row r="13">
      <c r="A13" s="2" t="inlineStr">
        <is>
          <t>Rey Beauty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1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18" min="1" max="1"/>
    <col width="13.25" customWidth="1" style="118" min="3" max="3"/>
    <col width="22.63" customWidth="1" style="118" min="5" max="5"/>
  </cols>
  <sheetData>
    <row r="1">
      <c r="A1" s="5" t="inlineStr">
        <is>
          <t>Video Data (July 28 - August 27)</t>
        </is>
      </c>
      <c r="E1" s="5" t="inlineStr">
        <is>
          <t>Video Data (August 28 - September 27)</t>
        </is>
      </c>
    </row>
    <row r="2">
      <c r="A2" s="8" t="inlineStr">
        <is>
          <t>CREATOR</t>
        </is>
      </c>
      <c r="B2" s="8" t="inlineStr">
        <is>
          <t>DIRECT GMV</t>
        </is>
      </c>
      <c r="C2" s="8" t="inlineStr">
        <is>
          <t>WITH OUT IVA</t>
        </is>
      </c>
      <c r="E2" s="8" t="inlineStr">
        <is>
          <t>CREATOR</t>
        </is>
      </c>
      <c r="F2" s="8" t="inlineStr">
        <is>
          <t>DIRECT GMV</t>
        </is>
      </c>
      <c r="G2" s="8" t="inlineStr">
        <is>
          <t>WITH OUT IVA</t>
        </is>
      </c>
    </row>
    <row r="3">
      <c r="A3" s="89" t="inlineStr">
        <is>
          <t>rey_selecto</t>
        </is>
      </c>
      <c r="B3" s="114" t="n">
        <v>86545.33</v>
      </c>
      <c r="C3" s="114">
        <f>B3/1.16</f>
        <v/>
      </c>
      <c r="E3" s="89" t="inlineStr">
        <is>
          <t>rey_selecto</t>
        </is>
      </c>
      <c r="F3" s="114" t="n">
        <v>104564.96</v>
      </c>
      <c r="G3" s="114">
        <f>F3/1.16</f>
        <v/>
      </c>
    </row>
    <row r="4">
      <c r="A4" s="89" t="inlineStr">
        <is>
          <t>reina_beauty</t>
        </is>
      </c>
      <c r="B4" s="114" t="n">
        <v>52530.38</v>
      </c>
      <c r="C4" s="114">
        <f>B4/1.16</f>
        <v/>
      </c>
      <c r="E4" s="89" t="inlineStr">
        <is>
          <t>reina_beauty</t>
        </is>
      </c>
      <c r="F4" s="114" t="n">
        <v>86294.99000000001</v>
      </c>
      <c r="G4" s="114">
        <f>F4/1.16</f>
        <v/>
      </c>
      <c r="H4" s="2" t="n">
        <v>27931</v>
      </c>
    </row>
    <row r="5">
      <c r="A5" s="89" t="inlineStr">
        <is>
          <t>reyes_del_wellness</t>
        </is>
      </c>
      <c r="B5" s="114" t="n">
        <v>599.2</v>
      </c>
      <c r="C5" s="114">
        <f>B5/1.16</f>
        <v/>
      </c>
      <c r="E5" s="89" t="inlineStr">
        <is>
          <t>reyes_del_wellness</t>
        </is>
      </c>
      <c r="F5" s="114" t="n">
        <v>529.98</v>
      </c>
      <c r="G5" s="114">
        <f>F5/1.16</f>
        <v/>
      </c>
    </row>
    <row r="6">
      <c r="A6" s="89" t="inlineStr">
        <is>
          <t>imperio_del_perfume</t>
        </is>
      </c>
      <c r="B6" s="114" t="n">
        <v>6752.65</v>
      </c>
      <c r="C6" s="114">
        <f>B6/1.16</f>
        <v/>
      </c>
      <c r="E6" s="89" t="inlineStr">
        <is>
          <t>imperio_del_perfume</t>
        </is>
      </c>
      <c r="F6" s="114" t="n">
        <v>10726.09</v>
      </c>
      <c r="G6" s="114">
        <f>F6/1.16</f>
        <v/>
      </c>
    </row>
    <row r="7">
      <c r="A7" s="89" t="inlineStr">
        <is>
          <t>fashion_only</t>
        </is>
      </c>
      <c r="B7" s="114" t="n">
        <v>1833.12</v>
      </c>
      <c r="C7" s="114">
        <f>B7/1.16</f>
        <v/>
      </c>
      <c r="E7" s="89" t="inlineStr">
        <is>
          <t>fashion_only</t>
        </is>
      </c>
      <c r="F7" s="114" t="n">
        <v>4628.8</v>
      </c>
      <c r="G7" s="114">
        <f>F7/1.16</f>
        <v/>
      </c>
    </row>
    <row r="8">
      <c r="E8" s="89" t="inlineStr">
        <is>
          <t>reino_de_aromas</t>
        </is>
      </c>
      <c r="F8" s="114" t="n">
        <v>3257.03</v>
      </c>
      <c r="G8" s="114">
        <f>F8/1.16</f>
        <v/>
      </c>
    </row>
    <row r="11">
      <c r="E11" s="32" t="n"/>
    </row>
  </sheetData>
  <mergeCells count="2">
    <mergeCell ref="A1:C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S957"/>
  <sheetViews>
    <sheetView workbookViewId="0">
      <selection activeCell="A1" sqref="A1"/>
    </sheetView>
  </sheetViews>
  <sheetFormatPr baseColWidth="8" defaultColWidth="12.63" defaultRowHeight="15.75" customHeight="1"/>
  <cols>
    <col width="20.25" customWidth="1" style="118" min="1" max="1"/>
    <col width="22.5" customWidth="1" style="118" min="2" max="2"/>
    <col width="14.88" customWidth="1" style="118" min="10" max="10"/>
    <col width="18.25" customWidth="1" style="118" min="12" max="14"/>
    <col width="15.63" customWidth="1" style="118" min="15" max="15"/>
    <col width="22.5" customWidth="1" style="118" min="16" max="16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9" t="inlineStr">
        <is>
          <t>Duration (H)</t>
        </is>
      </c>
      <c r="J1" s="70" t="inlineStr">
        <is>
          <t>Duration （Formula）</t>
        </is>
      </c>
      <c r="K1" s="101" t="inlineStr">
        <is>
          <t>Start date</t>
        </is>
      </c>
      <c r="L1" s="71" t="inlineStr">
        <is>
          <t>HOST1</t>
        </is>
      </c>
      <c r="M1" s="71" t="n"/>
      <c r="N1" s="71" t="inlineStr">
        <is>
          <t xml:space="preserve">HOST 2 </t>
        </is>
      </c>
      <c r="O1" s="71" t="n"/>
      <c r="P1" s="71" t="n"/>
      <c r="Q1" s="71" t="n"/>
      <c r="R1" s="71" t="inlineStr">
        <is>
          <t>Operator</t>
        </is>
      </c>
      <c r="S1" s="71" t="inlineStr">
        <is>
          <t>Operator</t>
        </is>
      </c>
    </row>
    <row r="2">
      <c r="A2" s="63" t="inlineStr">
        <is>
          <t>7633949141455866644</t>
        </is>
      </c>
      <c r="B2" s="91" t="inlineStr">
        <is>
          <t>amora_the_beauty_market</t>
        </is>
      </c>
      <c r="C2" s="91" t="inlineStr">
        <is>
          <t>MX</t>
        </is>
      </c>
      <c r="D2" s="65" t="n">
        <v>36464</v>
      </c>
      <c r="E2" s="40">
        <f>D2/1.16</f>
        <v/>
      </c>
      <c r="F2" s="52" t="n">
        <v>9114.040000000001</v>
      </c>
      <c r="G2" s="40">
        <f>F2/1.16</f>
        <v/>
      </c>
      <c r="H2" s="92" t="n">
        <v>0</v>
      </c>
      <c r="I2" s="26" t="n">
        <v>4.00083</v>
      </c>
      <c r="J2" s="74">
        <f>LET(dec, I2-INT(I2), IF(dec&lt;0.1, INT(I2), IF(dec&lt;=0.7, INT(I2)+0.5, INT(I2)+1)))</f>
        <v/>
      </c>
      <c r="K2" s="93" t="n">
        <v>46140</v>
      </c>
      <c r="L2" s="63" t="inlineStr">
        <is>
          <t>PAOLA</t>
        </is>
      </c>
      <c r="M2" s="36" t="n"/>
      <c r="N2" s="36" t="n"/>
      <c r="O2" s="38" t="n"/>
      <c r="P2" s="38" t="n"/>
      <c r="Q2" s="38" t="n"/>
      <c r="R2" s="38" t="inlineStr">
        <is>
          <t>OSCAR</t>
        </is>
      </c>
    </row>
    <row r="3">
      <c r="A3" s="91" t="inlineStr">
        <is>
          <t>7634306942709549845</t>
        </is>
      </c>
      <c r="B3" s="91" t="inlineStr">
        <is>
          <t>amora_the_beauty_market</t>
        </is>
      </c>
      <c r="C3" s="91" t="inlineStr">
        <is>
          <t>MX</t>
        </is>
      </c>
      <c r="D3" s="39" t="n">
        <v>76785</v>
      </c>
      <c r="E3" s="40">
        <f>D3/1.16</f>
        <v/>
      </c>
      <c r="F3" s="40" t="n">
        <v>12892.46</v>
      </c>
      <c r="G3" s="40">
        <f>F3/1.16</f>
        <v/>
      </c>
      <c r="H3" s="92" t="n">
        <v>0</v>
      </c>
      <c r="I3" s="26" t="n">
        <v>4.00083</v>
      </c>
      <c r="J3" s="74">
        <f>LET(dec, I3-INT(I3), IF(dec&lt;0.1, INT(I3), IF(dec&lt;=0.7, INT(I3)+0.5, INT(I3)+1)))</f>
        <v/>
      </c>
      <c r="K3" s="93" t="n">
        <v>46141</v>
      </c>
      <c r="L3" s="38" t="inlineStr">
        <is>
          <t>PAOLA</t>
        </is>
      </c>
      <c r="M3" s="36" t="n"/>
      <c r="N3" s="36" t="inlineStr">
        <is>
          <t>MARCO</t>
        </is>
      </c>
      <c r="O3" s="38" t="n"/>
      <c r="P3" s="38" t="n"/>
      <c r="Q3" s="38" t="n"/>
      <c r="R3" s="38" t="inlineStr">
        <is>
          <t>OSCAR</t>
        </is>
      </c>
    </row>
    <row r="4">
      <c r="A4" s="91" t="inlineStr">
        <is>
          <t>7634691630322502420</t>
        </is>
      </c>
      <c r="B4" s="91" t="inlineStr">
        <is>
          <t>amora_the_beauty_market</t>
        </is>
      </c>
      <c r="C4" s="91" t="inlineStr">
        <is>
          <t>MX</t>
        </is>
      </c>
      <c r="D4" s="39" t="n">
        <v>43107</v>
      </c>
      <c r="E4" s="40">
        <f>D4/1.16</f>
        <v/>
      </c>
      <c r="F4" s="40" t="n">
        <v>10808.29</v>
      </c>
      <c r="G4" s="40">
        <f>F4/1.16</f>
        <v/>
      </c>
      <c r="H4" s="92" t="n">
        <v>0</v>
      </c>
      <c r="I4" s="26" t="n">
        <v>3.98833</v>
      </c>
      <c r="J4" s="74">
        <f>LET(dec, I4-INT(I4), IF(dec&lt;0.1, INT(I4), IF(dec&lt;=0.7, INT(I4)+0.5, INT(I4)+1)))</f>
        <v/>
      </c>
      <c r="K4" s="93" t="n">
        <v>46142</v>
      </c>
      <c r="L4" s="36" t="inlineStr">
        <is>
          <t>PAOLA</t>
        </is>
      </c>
      <c r="M4" s="36" t="n"/>
      <c r="N4" s="36" t="n"/>
      <c r="O4" s="38" t="n"/>
      <c r="P4" s="38" t="n"/>
      <c r="Q4" s="38" t="n"/>
      <c r="R4" s="38" t="inlineStr">
        <is>
          <t>OSCAR</t>
        </is>
      </c>
    </row>
    <row r="5">
      <c r="A5" s="91" t="inlineStr">
        <is>
          <t>7636160426766256916</t>
        </is>
      </c>
      <c r="B5" s="91" t="inlineStr">
        <is>
          <t>amora_the_beauty_market</t>
        </is>
      </c>
      <c r="C5" s="91" t="inlineStr">
        <is>
          <t>MX</t>
        </is>
      </c>
      <c r="D5" s="39" t="n">
        <v>187718.05</v>
      </c>
      <c r="E5" s="40">
        <f>D5/1.16</f>
        <v/>
      </c>
      <c r="F5" s="40" t="n">
        <v>28284.61</v>
      </c>
      <c r="G5" s="40">
        <f>F5/1.16</f>
        <v/>
      </c>
      <c r="H5" s="92" t="n">
        <v>0</v>
      </c>
      <c r="I5" s="26" t="n">
        <v>5.99722</v>
      </c>
      <c r="J5" s="74">
        <f>LET(dec, I5-INT(I5), IF(dec&lt;0.1, INT(I5), IF(dec&lt;=0.7, INT(I5)+0.5, INT(I5)+1)))</f>
        <v/>
      </c>
      <c r="K5" s="93" t="n">
        <v>45416</v>
      </c>
      <c r="L5" s="38" t="inlineStr">
        <is>
          <t>PAOLA</t>
        </is>
      </c>
      <c r="M5" s="36" t="n"/>
      <c r="N5" s="36" t="inlineStr">
        <is>
          <t>MARCO</t>
        </is>
      </c>
      <c r="O5" s="38" t="n"/>
      <c r="P5" s="38" t="n"/>
      <c r="Q5" s="38" t="n"/>
      <c r="R5" s="38" t="inlineStr">
        <is>
          <t>OSCAR</t>
        </is>
      </c>
    </row>
    <row r="6">
      <c r="A6" s="91" t="inlineStr">
        <is>
          <t>7636546374146345749</t>
        </is>
      </c>
      <c r="B6" s="91" t="inlineStr">
        <is>
          <t>amora_the_beauty_market</t>
        </is>
      </c>
      <c r="C6" s="91" t="inlineStr">
        <is>
          <t>MX</t>
        </is>
      </c>
      <c r="D6" s="39" t="n">
        <v>51459.74</v>
      </c>
      <c r="E6" s="40">
        <f>D6/1.16</f>
        <v/>
      </c>
      <c r="F6" s="40" t="n">
        <v>12053.98</v>
      </c>
      <c r="G6" s="40">
        <f>F6/1.16</f>
        <v/>
      </c>
      <c r="H6" s="92" t="n">
        <v>0</v>
      </c>
      <c r="I6" s="26" t="n">
        <v>4.00528</v>
      </c>
      <c r="J6" s="74">
        <f>LET(dec, I6-INT(I6), IF(dec&lt;0.1, INT(I6), IF(dec&lt;=0.7, INT(I6)+0.5, INT(I6)+1)))</f>
        <v/>
      </c>
      <c r="K6" s="93" t="n">
        <v>45417</v>
      </c>
      <c r="L6" s="36" t="inlineStr">
        <is>
          <t>PAOLA</t>
        </is>
      </c>
      <c r="M6" s="36" t="n"/>
      <c r="N6" s="36" t="n"/>
      <c r="O6" s="38" t="n"/>
      <c r="P6" s="38" t="n"/>
      <c r="Q6" s="38" t="n"/>
      <c r="R6" s="38" t="inlineStr">
        <is>
          <t>OSCAR</t>
        </is>
      </c>
    </row>
    <row r="7">
      <c r="A7" s="91" t="inlineStr">
        <is>
          <t>7636917664477399829</t>
        </is>
      </c>
      <c r="B7" s="91" t="inlineStr">
        <is>
          <t>amora_the_beauty_market</t>
        </is>
      </c>
      <c r="C7" s="91" t="inlineStr">
        <is>
          <t>MX</t>
        </is>
      </c>
      <c r="D7" s="39" t="n">
        <v>55068.76</v>
      </c>
      <c r="E7" s="40">
        <f>D7/1.16</f>
        <v/>
      </c>
      <c r="F7" s="40" t="n">
        <v>13031.1</v>
      </c>
      <c r="G7" s="40">
        <f>F7/1.16</f>
        <v/>
      </c>
      <c r="H7" s="92" t="n">
        <v>0</v>
      </c>
      <c r="I7" s="26" t="n">
        <v>3.99944</v>
      </c>
      <c r="J7" s="74">
        <f>LET(dec, I7-INT(I7), IF(dec&lt;0.1, INT(I7), IF(dec&lt;=0.7, INT(I7)+0.5, INT(I7)+1)))</f>
        <v/>
      </c>
      <c r="K7" s="93" t="n">
        <v>45418</v>
      </c>
      <c r="L7" s="38" t="inlineStr">
        <is>
          <t>MARCO</t>
        </is>
      </c>
      <c r="M7" s="36" t="n"/>
      <c r="N7" s="36" t="n"/>
      <c r="O7" s="38" t="n"/>
      <c r="P7" s="38" t="n"/>
      <c r="Q7" s="38" t="n"/>
      <c r="R7" s="38" t="inlineStr">
        <is>
          <t>OSCAR</t>
        </is>
      </c>
    </row>
    <row r="8">
      <c r="A8" s="91" t="inlineStr">
        <is>
          <t>7637288170270509844</t>
        </is>
      </c>
      <c r="B8" s="91" t="inlineStr">
        <is>
          <t>amora_the_beauty_market</t>
        </is>
      </c>
      <c r="C8" s="91" t="inlineStr">
        <is>
          <t>MX</t>
        </is>
      </c>
      <c r="D8" s="39" t="n">
        <v>37685.65</v>
      </c>
      <c r="E8" s="40">
        <f>D8/1.16</f>
        <v/>
      </c>
      <c r="F8" s="40" t="n">
        <v>9312.52</v>
      </c>
      <c r="G8" s="40">
        <f>F8/1.16</f>
        <v/>
      </c>
      <c r="H8" s="92" t="n">
        <v>0</v>
      </c>
      <c r="I8" s="26" t="n">
        <v>4.00333</v>
      </c>
      <c r="J8" s="74">
        <f>LET(dec, I8-INT(I8), IF(dec&lt;0.1, INT(I8), IF(dec&lt;=0.7, INT(I8)+0.5, INT(I8)+1)))</f>
        <v/>
      </c>
      <c r="K8" s="93" t="n">
        <v>45419</v>
      </c>
      <c r="L8" s="36" t="inlineStr">
        <is>
          <t>PAOLA</t>
        </is>
      </c>
      <c r="M8" s="36" t="n"/>
      <c r="N8" s="36" t="n"/>
      <c r="O8" s="38" t="n"/>
      <c r="P8" s="38" t="n"/>
      <c r="Q8" s="38" t="n"/>
      <c r="R8" s="38" t="inlineStr">
        <is>
          <t>OSCAR</t>
        </is>
      </c>
    </row>
    <row r="9">
      <c r="A9" s="91" t="inlineStr">
        <is>
          <t>7637659710838557461</t>
        </is>
      </c>
      <c r="B9" s="91" t="inlineStr">
        <is>
          <t>amora_the_beauty_market</t>
        </is>
      </c>
      <c r="C9" s="91" t="inlineStr">
        <is>
          <t>MX</t>
        </is>
      </c>
      <c r="D9" s="39" t="n">
        <v>66904.86</v>
      </c>
      <c r="E9" s="40">
        <f>D9/1.16</f>
        <v/>
      </c>
      <c r="F9" s="40" t="n">
        <v>16207.92</v>
      </c>
      <c r="G9" s="40">
        <f>F9/1.16</f>
        <v/>
      </c>
      <c r="H9" s="92" t="n">
        <v>0</v>
      </c>
      <c r="I9" s="26" t="n">
        <v>4.00833</v>
      </c>
      <c r="J9" s="74">
        <f>LET(dec, I9-INT(I9), IF(dec&lt;0.1, INT(I9), IF(dec&lt;=0.7, INT(I9)+0.5, INT(I9)+1)))</f>
        <v/>
      </c>
      <c r="K9" s="93" t="n">
        <v>45420</v>
      </c>
      <c r="L9" s="36" t="inlineStr">
        <is>
          <t>MARCO</t>
        </is>
      </c>
      <c r="M9" s="36" t="n"/>
      <c r="N9" s="36" t="n"/>
      <c r="O9" s="38" t="n"/>
      <c r="P9" s="38" t="n"/>
      <c r="Q9" s="38" t="n"/>
      <c r="R9" s="38" t="inlineStr">
        <is>
          <t>OSCAR</t>
        </is>
      </c>
    </row>
    <row r="10">
      <c r="A10" s="91" t="inlineStr">
        <is>
          <t>7638772776261749525</t>
        </is>
      </c>
      <c r="B10" s="91" t="inlineStr">
        <is>
          <t>amora_the_beauty_market</t>
        </is>
      </c>
      <c r="C10" s="91" t="inlineStr">
        <is>
          <t>MX</t>
        </is>
      </c>
      <c r="D10" s="39" t="n">
        <v>62806</v>
      </c>
      <c r="E10" s="40">
        <f>D10/1.16</f>
        <v/>
      </c>
      <c r="F10" s="40" t="n">
        <v>15712.33</v>
      </c>
      <c r="G10" s="40">
        <f>F10/1.16</f>
        <v/>
      </c>
      <c r="H10" s="92" t="n">
        <v>0</v>
      </c>
      <c r="I10" s="26" t="n">
        <v>3.99722</v>
      </c>
      <c r="J10" s="74">
        <f>LET(dec, I10-INT(I10), IF(dec&lt;0.1, INT(I10), IF(dec&lt;=0.7, INT(I10)+0.5, INT(I10)+1)))</f>
        <v/>
      </c>
      <c r="K10" s="93" t="n">
        <v>45423</v>
      </c>
      <c r="L10" s="36" t="inlineStr">
        <is>
          <t>MARCO</t>
        </is>
      </c>
      <c r="M10" s="36" t="n"/>
      <c r="N10" s="36" t="n"/>
      <c r="O10" s="38" t="n"/>
      <c r="P10" s="38" t="n"/>
      <c r="Q10" s="38" t="n"/>
      <c r="R10" s="38" t="inlineStr">
        <is>
          <t>OSCAR</t>
        </is>
      </c>
    </row>
    <row r="11">
      <c r="A11" s="91" t="inlineStr">
        <is>
          <t>7639144665086429959</t>
        </is>
      </c>
      <c r="B11" s="91" t="inlineStr">
        <is>
          <t>amora_the_beauty_market</t>
        </is>
      </c>
      <c r="C11" s="91" t="inlineStr">
        <is>
          <t>MX</t>
        </is>
      </c>
      <c r="D11" s="39" t="n">
        <v>46508</v>
      </c>
      <c r="E11" s="40">
        <f>D11/1.16</f>
        <v/>
      </c>
      <c r="F11" s="40" t="n">
        <v>11631.01</v>
      </c>
      <c r="G11" s="40">
        <f>F11/1.16</f>
        <v/>
      </c>
      <c r="H11" s="92" t="n">
        <v>0</v>
      </c>
      <c r="I11" s="26" t="n">
        <v>3.99861</v>
      </c>
      <c r="J11" s="74">
        <f>LET(dec, I11-INT(I11), IF(dec&lt;0.1, INT(I11), IF(dec&lt;=0.7, INT(I11)+0.5, INT(I11)+1)))</f>
        <v/>
      </c>
      <c r="K11" s="93" t="n">
        <v>45424</v>
      </c>
      <c r="L11" s="36" t="inlineStr">
        <is>
          <t>PAOLA</t>
        </is>
      </c>
      <c r="M11" s="36" t="n"/>
      <c r="N11" s="36" t="n"/>
      <c r="O11" s="38" t="n"/>
      <c r="P11" s="38" t="n"/>
      <c r="Q11" s="38" t="n"/>
      <c r="R11" s="38" t="inlineStr">
        <is>
          <t>OSCAR</t>
        </is>
      </c>
    </row>
    <row r="12">
      <c r="A12" s="91" t="inlineStr">
        <is>
          <t>7639144665086429959</t>
        </is>
      </c>
      <c r="B12" s="91" t="inlineStr">
        <is>
          <t>amora_the_beauty_market</t>
        </is>
      </c>
      <c r="C12" s="91" t="inlineStr">
        <is>
          <t>MX</t>
        </is>
      </c>
      <c r="D12" s="39" t="n">
        <v>43769</v>
      </c>
      <c r="E12" s="40">
        <f>D12/1.16</f>
        <v/>
      </c>
      <c r="F12" s="40" t="n">
        <v>10944.46</v>
      </c>
      <c r="G12" s="40">
        <f>F12/1.16</f>
        <v/>
      </c>
      <c r="H12" s="92" t="n">
        <v>0</v>
      </c>
      <c r="I12" s="26" t="n">
        <v>4.02472</v>
      </c>
      <c r="J12" s="74">
        <f>LET(dec, I12-INT(I12), IF(dec&lt;0.1, INT(I12), IF(dec&lt;=0.7, INT(I12)+0.5, INT(I12)+1)))</f>
        <v/>
      </c>
      <c r="K12" s="93" t="n">
        <v>45425</v>
      </c>
      <c r="L12" s="38" t="inlineStr">
        <is>
          <t>MARCO</t>
        </is>
      </c>
      <c r="M12" s="36" t="n"/>
      <c r="N12" s="36" t="n"/>
      <c r="O12" s="38" t="n"/>
      <c r="P12" s="38" t="n"/>
      <c r="Q12" s="38" t="n"/>
      <c r="R12" s="38" t="inlineStr">
        <is>
          <t>OSCAR</t>
        </is>
      </c>
    </row>
    <row r="13">
      <c r="A13" s="91" t="inlineStr">
        <is>
          <t>7639885912758848263</t>
        </is>
      </c>
      <c r="B13" s="91" t="inlineStr">
        <is>
          <t>amora_the_beauty_market</t>
        </is>
      </c>
      <c r="C13" s="91" t="inlineStr">
        <is>
          <t>MX</t>
        </is>
      </c>
      <c r="D13" s="39" t="n">
        <v>54124</v>
      </c>
      <c r="E13" s="40">
        <f>D13/1.16</f>
        <v/>
      </c>
      <c r="F13" s="40" t="n">
        <v>13486.94</v>
      </c>
      <c r="G13" s="40">
        <f>F13/1.16</f>
        <v/>
      </c>
      <c r="H13" s="92" t="n">
        <v>0</v>
      </c>
      <c r="I13" s="26" t="n">
        <v>4.01306</v>
      </c>
      <c r="J13" s="74">
        <f>LET(dec, I13-INT(I13), IF(dec&lt;0.1, INT(I13), IF(dec&lt;=0.7, INT(I13)+0.5, INT(I13)+1)))</f>
        <v/>
      </c>
      <c r="K13" s="93" t="n">
        <v>45426</v>
      </c>
      <c r="L13" s="38" t="inlineStr">
        <is>
          <t>MARCO</t>
        </is>
      </c>
      <c r="M13" s="36" t="n"/>
      <c r="N13" s="36" t="n"/>
      <c r="O13" s="38" t="n"/>
      <c r="P13" s="38" t="n"/>
      <c r="Q13" s="38" t="n"/>
      <c r="R13" s="38" t="inlineStr">
        <is>
          <t>OSCAR</t>
        </is>
      </c>
    </row>
    <row r="14">
      <c r="A14" s="91" t="inlineStr">
        <is>
          <t>7640242139699497736</t>
        </is>
      </c>
      <c r="B14" s="91" t="inlineStr">
        <is>
          <t>amora_the_beauty_market</t>
        </is>
      </c>
      <c r="C14" s="91" t="inlineStr">
        <is>
          <t>MX</t>
        </is>
      </c>
      <c r="D14" s="39" t="n">
        <v>91165</v>
      </c>
      <c r="E14" s="40">
        <f>D14/1.16</f>
        <v/>
      </c>
      <c r="F14" s="40" t="n">
        <v>15099.06</v>
      </c>
      <c r="G14" s="40">
        <f>F14/1.16</f>
        <v/>
      </c>
      <c r="H14" s="92" t="n">
        <v>0</v>
      </c>
      <c r="I14" s="26" t="n">
        <v>6.03778</v>
      </c>
      <c r="J14" s="74">
        <f>LET(dec, I14-INT(I14), IF(dec&lt;0.1, INT(I14), IF(dec&lt;=0.7, INT(I14)+0.5, INT(I14)+1)))</f>
        <v/>
      </c>
      <c r="K14" s="93" t="n">
        <v>45427</v>
      </c>
      <c r="L14" s="38" t="inlineStr">
        <is>
          <t>MARCO</t>
        </is>
      </c>
      <c r="M14" s="36" t="n"/>
      <c r="N14" s="36" t="n"/>
      <c r="O14" s="38" t="n"/>
      <c r="P14" s="38" t="n"/>
      <c r="Q14" s="38" t="n"/>
      <c r="R14" s="38" t="inlineStr">
        <is>
          <t>OSCAR</t>
        </is>
      </c>
    </row>
    <row r="15">
      <c r="A15" s="91" t="inlineStr">
        <is>
          <t>7641370480837954312</t>
        </is>
      </c>
      <c r="B15" s="91" t="inlineStr">
        <is>
          <t>amora_the_beauty_market</t>
        </is>
      </c>
      <c r="C15" s="91" t="inlineStr">
        <is>
          <t>MX</t>
        </is>
      </c>
      <c r="D15" s="39" t="n">
        <v>93252</v>
      </c>
      <c r="E15" s="40">
        <f>D15/1.16</f>
        <v/>
      </c>
      <c r="F15" s="40" t="n">
        <v>23386.02</v>
      </c>
      <c r="G15" s="40">
        <f>F15/1.16</f>
        <v/>
      </c>
      <c r="H15" s="92" t="n">
        <v>0</v>
      </c>
      <c r="I15" s="26" t="n">
        <v>3.9875</v>
      </c>
      <c r="J15" s="74">
        <f>LET(dec, I15-INT(I15), IF(dec&lt;0.1, INT(I15), IF(dec&lt;=0.7, INT(I15)+0.5, INT(I15)+1)))</f>
        <v/>
      </c>
      <c r="K15" s="93" t="n">
        <v>45430</v>
      </c>
      <c r="L15" s="38" t="inlineStr">
        <is>
          <t>MARCO</t>
        </is>
      </c>
      <c r="M15" s="36" t="n"/>
      <c r="N15" s="36" t="n"/>
      <c r="O15" s="38" t="n"/>
      <c r="P15" s="38" t="n"/>
      <c r="Q15" s="38" t="n"/>
      <c r="R15" s="38" t="inlineStr">
        <is>
          <t>OSCAR</t>
        </is>
      </c>
    </row>
    <row r="16">
      <c r="A16" s="91" t="inlineStr">
        <is>
          <t>7641741408780569362</t>
        </is>
      </c>
      <c r="B16" s="91" t="inlineStr">
        <is>
          <t>amora_the_beauty_market</t>
        </is>
      </c>
      <c r="C16" s="91" t="inlineStr">
        <is>
          <t>MX</t>
        </is>
      </c>
      <c r="D16" s="39" t="n">
        <v>55373</v>
      </c>
      <c r="E16" s="40">
        <f>D16/1.16</f>
        <v/>
      </c>
      <c r="F16" s="40" t="n">
        <v>13770.54</v>
      </c>
      <c r="G16" s="40">
        <f>F16/1.16</f>
        <v/>
      </c>
      <c r="H16" s="92" t="n">
        <v>0</v>
      </c>
      <c r="I16" s="26" t="n">
        <v>4.03111</v>
      </c>
      <c r="J16" s="74">
        <f>LET(dec, I16-INT(I16), IF(dec&lt;0.1, INT(I16), IF(dec&lt;=0.7, INT(I16)+0.5, INT(I16)+1)))</f>
        <v/>
      </c>
      <c r="K16" s="93" t="n">
        <v>45431</v>
      </c>
      <c r="L16" s="38" t="inlineStr">
        <is>
          <t>PAOLA</t>
        </is>
      </c>
      <c r="M16" s="36" t="n"/>
      <c r="N16" s="36" t="n"/>
      <c r="O16" s="38" t="n"/>
      <c r="P16" s="38" t="n"/>
      <c r="Q16" s="38" t="n"/>
      <c r="R16" s="38" t="inlineStr">
        <is>
          <t>OSCAR</t>
        </is>
      </c>
    </row>
    <row r="17">
      <c r="A17" s="91" t="inlineStr">
        <is>
          <t>7642112357531061000</t>
        </is>
      </c>
      <c r="B17" s="91" t="inlineStr">
        <is>
          <t>amora_the_beauty_market</t>
        </is>
      </c>
      <c r="C17" s="91" t="inlineStr">
        <is>
          <t>MX</t>
        </is>
      </c>
      <c r="D17" s="39" t="n">
        <v>69631</v>
      </c>
      <c r="E17" s="40">
        <f>D17/1.16</f>
        <v/>
      </c>
      <c r="F17" s="40" t="n">
        <v>17399.37</v>
      </c>
      <c r="G17" s="40">
        <f>F17/1.16</f>
        <v/>
      </c>
      <c r="H17" s="92" t="n">
        <v>0</v>
      </c>
      <c r="I17" s="26" t="n">
        <v>4.00194</v>
      </c>
      <c r="J17" s="74">
        <f>LET(dec, I17-INT(I17), IF(dec&lt;0.1, INT(I17), IF(dec&lt;=0.7, INT(I17)+0.5, INT(I17)+1)))</f>
        <v/>
      </c>
      <c r="K17" s="93" t="n">
        <v>45432</v>
      </c>
      <c r="L17" s="38" t="inlineStr">
        <is>
          <t>MARCO</t>
        </is>
      </c>
      <c r="M17" s="36" t="n"/>
      <c r="N17" s="36" t="n"/>
      <c r="O17" s="38" t="n"/>
      <c r="P17" s="38" t="n"/>
      <c r="Q17" s="38" t="n"/>
      <c r="R17" s="38" t="inlineStr">
        <is>
          <t>OSCAR</t>
        </is>
      </c>
    </row>
    <row r="18">
      <c r="A18" s="91" t="inlineStr">
        <is>
          <t>7642483612555725586</t>
        </is>
      </c>
      <c r="B18" s="91" t="inlineStr">
        <is>
          <t>amora_the_beauty_market</t>
        </is>
      </c>
      <c r="C18" s="91" t="inlineStr">
        <is>
          <t>MX</t>
        </is>
      </c>
      <c r="D18" s="39" t="n">
        <v>38532</v>
      </c>
      <c r="E18" s="40">
        <f>D18/1.16</f>
        <v/>
      </c>
      <c r="F18" s="40" t="n">
        <v>9622.32</v>
      </c>
      <c r="G18" s="40">
        <f>F18/1.16</f>
        <v/>
      </c>
      <c r="H18" s="92" t="n">
        <v>0</v>
      </c>
      <c r="I18" s="26" t="n">
        <v>3.98333</v>
      </c>
      <c r="J18" s="74">
        <f>LET(dec, I18-INT(I18), IF(dec&lt;0.1, INT(I18), IF(dec&lt;=0.7, INT(I18)+0.5, INT(I18)+1)))</f>
        <v/>
      </c>
      <c r="K18" s="93" t="n">
        <v>45433</v>
      </c>
      <c r="L18" s="36" t="inlineStr">
        <is>
          <t>PAOLA</t>
        </is>
      </c>
      <c r="M18" s="36" t="n"/>
      <c r="N18" s="36" t="n"/>
      <c r="O18" s="38" t="n"/>
      <c r="P18" s="38" t="n"/>
      <c r="Q18" s="38" t="n"/>
      <c r="R18" s="38" t="inlineStr">
        <is>
          <t>OSCAR</t>
        </is>
      </c>
    </row>
    <row r="19">
      <c r="A19" s="91" t="inlineStr">
        <is>
          <t>7642857479915375378</t>
        </is>
      </c>
      <c r="B19" s="91" t="inlineStr">
        <is>
          <t>amora_the_beauty_market</t>
        </is>
      </c>
      <c r="C19" s="91" t="inlineStr">
        <is>
          <t>MX</t>
        </is>
      </c>
      <c r="D19" s="39" t="n">
        <v>56967</v>
      </c>
      <c r="E19" s="40">
        <f>D19/1.16</f>
        <v/>
      </c>
      <c r="F19" s="40" t="n">
        <v>14250.75</v>
      </c>
      <c r="G19" s="40">
        <f>F19/1.16</f>
        <v/>
      </c>
      <c r="H19" s="92" t="n">
        <v>0</v>
      </c>
      <c r="I19" s="26" t="n">
        <v>3.9975</v>
      </c>
      <c r="J19" s="74">
        <f>LET(dec, I19-INT(I19), IF(dec&lt;0.1, INT(I19), IF(dec&lt;=0.7, INT(I19)+0.5, INT(I19)+1)))</f>
        <v/>
      </c>
      <c r="K19" s="93" t="n">
        <v>45434</v>
      </c>
      <c r="L19" s="38" t="inlineStr">
        <is>
          <t>MARCO</t>
        </is>
      </c>
      <c r="M19" s="36" t="n"/>
      <c r="N19" s="36" t="n"/>
      <c r="O19" s="38" t="n"/>
      <c r="P19" s="38" t="n"/>
      <c r="Q19" s="38" t="n"/>
      <c r="R19" s="38" t="inlineStr">
        <is>
          <t>RODRIGO</t>
        </is>
      </c>
      <c r="S19" s="45" t="inlineStr">
        <is>
          <t>JUAN PABLO</t>
        </is>
      </c>
    </row>
    <row r="20">
      <c r="A20" s="63" t="inlineStr">
        <is>
          <t>7643952502074018568</t>
        </is>
      </c>
      <c r="B20" s="91" t="inlineStr">
        <is>
          <t>amora_the_beauty_market</t>
        </is>
      </c>
      <c r="C20" s="91" t="inlineStr">
        <is>
          <t>MX</t>
        </is>
      </c>
      <c r="D20" s="39" t="n">
        <v>127543</v>
      </c>
      <c r="E20" s="40">
        <f>D20/1.16</f>
        <v/>
      </c>
      <c r="F20" s="40" t="n">
        <v>21150.48</v>
      </c>
      <c r="G20" s="40">
        <f>F20/1.16</f>
        <v/>
      </c>
      <c r="H20" s="92" t="n">
        <v>27530</v>
      </c>
      <c r="I20" s="26" t="n">
        <v>6.03028</v>
      </c>
      <c r="J20" s="74">
        <f>LET(dec, I20-INT(I20), IF(dec&lt;0.1, INT(I20), IF(dec&lt;=0.7, INT(I20)+0.5, INT(I20)+1)))</f>
        <v/>
      </c>
      <c r="K20" s="93" t="n">
        <v>45437</v>
      </c>
      <c r="L20" s="74" t="inlineStr">
        <is>
          <t>PAOLA</t>
        </is>
      </c>
      <c r="M20" s="36" t="n"/>
      <c r="N20" s="36" t="inlineStr">
        <is>
          <t>MARCO</t>
        </is>
      </c>
      <c r="O20" s="38" t="n"/>
      <c r="P20" s="38" t="n"/>
      <c r="Q20" s="38" t="n"/>
      <c r="R20" s="38" t="inlineStr">
        <is>
          <t>OSCAR</t>
        </is>
      </c>
    </row>
    <row r="21">
      <c r="A21" s="63" t="inlineStr">
        <is>
          <t>7644339119216184072</t>
        </is>
      </c>
      <c r="B21" s="91" t="inlineStr">
        <is>
          <t>amora_the_beauty_market</t>
        </is>
      </c>
      <c r="C21" s="91" t="inlineStr">
        <is>
          <t>MX</t>
        </is>
      </c>
      <c r="D21" s="39" t="n">
        <v>55563</v>
      </c>
      <c r="E21" s="40">
        <f>D21/1.16</f>
        <v/>
      </c>
      <c r="F21" s="40" t="n">
        <v>13886.95</v>
      </c>
      <c r="G21" s="40">
        <f>F21/1.16</f>
        <v/>
      </c>
      <c r="H21" s="92" t="n">
        <v>0</v>
      </c>
      <c r="I21" s="26" t="n">
        <v>4.00111</v>
      </c>
      <c r="J21" s="74">
        <f>LET(dec, I21-INT(I21), IF(dec&lt;0.1, INT(I21), IF(dec&lt;=0.7, INT(I21)+0.5, INT(I21)+1)))</f>
        <v/>
      </c>
      <c r="K21" s="93" t="n">
        <v>45438</v>
      </c>
      <c r="L21" s="74" t="inlineStr">
        <is>
          <t>PAOLA</t>
        </is>
      </c>
      <c r="M21" s="36" t="n"/>
      <c r="N21" s="36" t="n"/>
      <c r="O21" s="38" t="n"/>
      <c r="P21" s="38" t="n"/>
      <c r="Q21" s="38" t="n"/>
      <c r="R21" s="38" t="inlineStr">
        <is>
          <t>OSCAR</t>
        </is>
      </c>
    </row>
    <row r="22">
      <c r="A22" s="63" t="inlineStr">
        <is>
          <t>7644709850047990546</t>
        </is>
      </c>
      <c r="B22" s="91" t="inlineStr">
        <is>
          <t>amora_the_beauty_market</t>
        </is>
      </c>
      <c r="C22" s="91" t="inlineStr">
        <is>
          <t>MX</t>
        </is>
      </c>
      <c r="D22" s="39" t="n">
        <v>51935</v>
      </c>
      <c r="E22" s="40">
        <f>D22/1.16</f>
        <v/>
      </c>
      <c r="F22" s="40" t="n">
        <v>12944.3</v>
      </c>
      <c r="G22" s="40">
        <f>F22/1.16</f>
        <v/>
      </c>
      <c r="H22" s="92" t="n">
        <v>0</v>
      </c>
      <c r="I22" s="26" t="n">
        <v>4.01222</v>
      </c>
      <c r="J22" s="74">
        <f>LET(dec, I22-INT(I22), IF(dec&lt;0.1, INT(I22), IF(dec&lt;=0.7, INT(I22)+0.5, INT(I22)+1)))</f>
        <v/>
      </c>
      <c r="K22" s="93" t="n">
        <v>45439</v>
      </c>
      <c r="L22" s="74" t="inlineStr">
        <is>
          <t>MARCO</t>
        </is>
      </c>
      <c r="M22" s="36" t="n"/>
      <c r="N22" s="36" t="n"/>
      <c r="O22" s="38" t="n"/>
      <c r="P22" s="38" t="n"/>
      <c r="Q22" s="38" t="n"/>
      <c r="R22" s="38" t="inlineStr">
        <is>
          <t>OSCAR</t>
        </is>
      </c>
    </row>
    <row r="23">
      <c r="A23" s="63" t="n"/>
      <c r="B23" s="91" t="n"/>
      <c r="C23" s="91" t="n"/>
      <c r="D23" s="65" t="n"/>
      <c r="E23" s="40" t="n"/>
      <c r="F23" s="52" t="n"/>
      <c r="G23" s="40" t="n"/>
      <c r="H23" s="92" t="n"/>
      <c r="I23" s="26" t="n"/>
      <c r="J23" s="74" t="n"/>
      <c r="K23" s="93" t="n"/>
      <c r="L23" s="63" t="n"/>
      <c r="M23" s="36" t="n"/>
      <c r="N23" s="36" t="n"/>
      <c r="O23" s="38" t="n"/>
      <c r="P23" s="38" t="n"/>
      <c r="Q23" s="38" t="n"/>
      <c r="R23" s="38" t="n"/>
    </row>
    <row r="24">
      <c r="A24" s="7" t="inlineStr">
        <is>
          <t>Room ID</t>
        </is>
      </c>
      <c r="B24" s="7" t="inlineStr">
        <is>
          <t>TT Handle</t>
        </is>
      </c>
      <c r="C24" s="7" t="inlineStr">
        <is>
          <t>Country</t>
        </is>
      </c>
      <c r="D24" s="7" t="inlineStr">
        <is>
          <t>GMV</t>
        </is>
      </c>
      <c r="E24" s="7" t="inlineStr">
        <is>
          <t>GMV/sin EVA</t>
        </is>
      </c>
      <c r="F24" s="7" t="inlineStr">
        <is>
          <t>GMV PER HOUR</t>
        </is>
      </c>
      <c r="G24" s="7" t="inlineStr">
        <is>
          <t>GMV PER HOUR/sin EVA</t>
        </is>
      </c>
      <c r="H24" s="7" t="inlineStr">
        <is>
          <t>Ads Cost</t>
        </is>
      </c>
      <c r="I24" s="9" t="inlineStr">
        <is>
          <t>Duration (H)</t>
        </is>
      </c>
      <c r="J24" s="70" t="inlineStr">
        <is>
          <t>Duration （Formula）</t>
        </is>
      </c>
      <c r="K24" s="101" t="inlineStr">
        <is>
          <t>Start date</t>
        </is>
      </c>
      <c r="L24" s="71" t="inlineStr">
        <is>
          <t>HOST1</t>
        </is>
      </c>
      <c r="M24" s="71" t="n"/>
      <c r="N24" s="71" t="inlineStr">
        <is>
          <t xml:space="preserve">HOST 2 </t>
        </is>
      </c>
      <c r="O24" s="71" t="n"/>
      <c r="P24" s="71" t="n"/>
      <c r="Q24" s="71" t="n"/>
      <c r="R24" s="71" t="inlineStr">
        <is>
          <t>Operator</t>
        </is>
      </c>
      <c r="S24" s="71" t="inlineStr">
        <is>
          <t>Operator</t>
        </is>
      </c>
    </row>
    <row r="25">
      <c r="A25" s="47" t="inlineStr">
        <is>
          <t>7645081237064911623</t>
        </is>
      </c>
      <c r="B25" s="83" t="inlineStr">
        <is>
          <t>amora_the_beauty_market</t>
        </is>
      </c>
      <c r="C25" s="91" t="inlineStr">
        <is>
          <t>MX</t>
        </is>
      </c>
      <c r="D25" s="65" t="n">
        <v>56827.08</v>
      </c>
      <c r="E25" s="40">
        <f>D25/1.16</f>
        <v/>
      </c>
      <c r="F25" s="52" t="n">
        <v>14206.77</v>
      </c>
      <c r="G25" s="40">
        <f>F25/1.16</f>
        <v/>
      </c>
      <c r="H25" s="92" t="n">
        <v>4559.91</v>
      </c>
      <c r="I25" s="26" t="n">
        <v>4</v>
      </c>
      <c r="J25" s="74">
        <f>LET(dec, I25-INT(I25), IF(dec&lt;0.1, INT(I25), IF(dec&lt;=0.7, INT(I25)+0.5, INT(I25)+1)))</f>
        <v/>
      </c>
      <c r="K25" s="93" t="n">
        <v>46170</v>
      </c>
      <c r="L25" s="36" t="inlineStr">
        <is>
          <t>PAOLA</t>
        </is>
      </c>
      <c r="M25" s="36" t="n"/>
      <c r="N25" s="36" t="n"/>
      <c r="O25" s="38" t="n"/>
      <c r="P25" s="38" t="n"/>
      <c r="Q25" s="38" t="n"/>
      <c r="R25" s="38" t="inlineStr">
        <is>
          <t>OSCAR</t>
        </is>
      </c>
    </row>
    <row r="26">
      <c r="A26" s="47" t="inlineStr">
        <is>
          <t>7645315134345562898</t>
        </is>
      </c>
      <c r="B26" s="83" t="inlineStr">
        <is>
          <t>amora_the_beauty_market</t>
        </is>
      </c>
      <c r="C26" s="91" t="inlineStr">
        <is>
          <t>MX</t>
        </is>
      </c>
      <c r="D26" s="65" t="n">
        <v>280596.88</v>
      </c>
      <c r="E26" s="40">
        <f>D26/1.16</f>
        <v/>
      </c>
      <c r="F26" s="52" t="n">
        <v>15230.055</v>
      </c>
      <c r="G26" s="40">
        <f>F26/1.16</f>
        <v/>
      </c>
      <c r="H26" s="92" t="n">
        <v>13118.05</v>
      </c>
      <c r="I26" s="26" t="n">
        <v>14</v>
      </c>
      <c r="J26" s="74">
        <f>LET(dec, I26-INT(I26), IF(dec&lt;0.1, INT(I26), IF(dec&lt;=0.7, INT(I26)+0.5, INT(I26)+1)))</f>
        <v/>
      </c>
      <c r="K26" s="93" t="n">
        <v>46171</v>
      </c>
      <c r="L26" s="36" t="inlineStr">
        <is>
          <t>MARCO</t>
        </is>
      </c>
      <c r="M26" s="36" t="n"/>
      <c r="N26" s="36" t="inlineStr">
        <is>
          <t>PAOLA</t>
        </is>
      </c>
      <c r="O26" s="38" t="n"/>
      <c r="P26" s="38" t="n"/>
      <c r="Q26" s="38" t="n"/>
      <c r="R26" s="38" t="inlineStr">
        <is>
          <t>OSCAR</t>
        </is>
      </c>
    </row>
    <row r="27">
      <c r="A27" s="47" t="inlineStr">
        <is>
          <t>7646550633273297672</t>
        </is>
      </c>
      <c r="B27" s="83" t="inlineStr">
        <is>
          <t>amora_the_beauty_market</t>
        </is>
      </c>
      <c r="C27" s="91" t="inlineStr">
        <is>
          <t>MX</t>
        </is>
      </c>
      <c r="D27" s="65" t="n">
        <v>193703.34</v>
      </c>
      <c r="E27" s="40">
        <f>D27/1.16</f>
        <v/>
      </c>
      <c r="F27" s="52" t="n">
        <v>32373.82</v>
      </c>
      <c r="G27" s="40">
        <f>F27/1.16</f>
        <v/>
      </c>
      <c r="H27" s="92" t="n">
        <v>172.3</v>
      </c>
      <c r="I27" s="26" t="n">
        <v>5.98</v>
      </c>
      <c r="J27" s="74">
        <f>LET(dec, I27-INT(I27), IF(dec&lt;0.1, INT(I27), IF(dec&lt;=0.7, INT(I27)+0.5, INT(I27)+1)))</f>
        <v/>
      </c>
      <c r="K27" s="93" t="n">
        <v>46174</v>
      </c>
      <c r="L27" s="36" t="inlineStr">
        <is>
          <t>MARCO</t>
        </is>
      </c>
      <c r="M27" s="36" t="n"/>
      <c r="N27" s="36" t="n"/>
      <c r="O27" s="38" t="n"/>
      <c r="P27" s="38" t="n"/>
      <c r="Q27" s="38" t="n"/>
      <c r="R27" s="38" t="inlineStr">
        <is>
          <t>OSCAR</t>
        </is>
      </c>
    </row>
    <row r="28">
      <c r="A28" s="47" t="inlineStr">
        <is>
          <t>7646937613567937288</t>
        </is>
      </c>
      <c r="B28" s="83" t="inlineStr">
        <is>
          <t>amora_the_beauty_market</t>
        </is>
      </c>
      <c r="C28" s="91" t="inlineStr">
        <is>
          <t>MX</t>
        </is>
      </c>
      <c r="D28" s="65" t="n">
        <v>135027.84</v>
      </c>
      <c r="E28" s="40">
        <f>D28/1.16</f>
        <v/>
      </c>
      <c r="F28" s="52" t="n">
        <v>22693.75</v>
      </c>
      <c r="G28" s="40">
        <f>F28/1.16</f>
        <v/>
      </c>
      <c r="H28" s="92" t="n">
        <v>2020.84</v>
      </c>
      <c r="I28" s="26" t="n">
        <v>5.95</v>
      </c>
      <c r="J28" s="74">
        <f>LET(dec, I28-INT(I28), IF(dec&lt;0.1, INT(I28), IF(dec&lt;=0.7, INT(I28)+0.5, INT(I28)+1)))</f>
        <v/>
      </c>
      <c r="K28" s="93" t="n">
        <v>46175</v>
      </c>
      <c r="L28" s="36" t="inlineStr">
        <is>
          <t>MARCO</t>
        </is>
      </c>
      <c r="M28" s="36" t="n"/>
      <c r="N28" s="36" t="n"/>
      <c r="O28" s="38" t="n"/>
      <c r="P28" s="38" t="n"/>
      <c r="Q28" s="38" t="n"/>
      <c r="R28" s="38" t="inlineStr">
        <is>
          <t>OSCAR</t>
        </is>
      </c>
    </row>
    <row r="29">
      <c r="A29" s="47" t="inlineStr">
        <is>
          <t>7647307575155444498</t>
        </is>
      </c>
      <c r="B29" s="83" t="inlineStr">
        <is>
          <t>amora_the_beauty_market</t>
        </is>
      </c>
      <c r="C29" s="91" t="inlineStr">
        <is>
          <t>MX</t>
        </is>
      </c>
      <c r="D29" s="65" t="n">
        <v>72072.3</v>
      </c>
      <c r="E29" s="40">
        <f>D29/1.16</f>
        <v/>
      </c>
      <c r="F29" s="52" t="n">
        <v>17943.31</v>
      </c>
      <c r="G29" s="40">
        <f>F29/1.16</f>
        <v/>
      </c>
      <c r="H29" s="92" t="n">
        <v>2024.42</v>
      </c>
      <c r="I29" s="26" t="n">
        <v>4.02</v>
      </c>
      <c r="J29" s="74">
        <f>LET(dec, I29-INT(I29), IF(dec&lt;0.1, INT(I29), IF(dec&lt;=0.7, INT(I29)+0.5, INT(I29)+1)))</f>
        <v/>
      </c>
      <c r="K29" s="93" t="n">
        <v>46176</v>
      </c>
      <c r="L29" s="36" t="inlineStr">
        <is>
          <t>MARCO</t>
        </is>
      </c>
      <c r="M29" s="36" t="n"/>
      <c r="N29" s="36" t="n"/>
      <c r="O29" s="38" t="n"/>
      <c r="P29" s="38" t="n"/>
      <c r="Q29" s="38" t="n"/>
      <c r="R29" s="38" t="inlineStr">
        <is>
          <t>OSCAR</t>
        </is>
      </c>
    </row>
    <row r="30">
      <c r="A30" s="47" t="inlineStr">
        <is>
          <t>7647307575155444498</t>
        </is>
      </c>
      <c r="B30" s="83" t="inlineStr">
        <is>
          <t>amora_the_beauty_market</t>
        </is>
      </c>
      <c r="C30" s="91" t="inlineStr">
        <is>
          <t>MX</t>
        </is>
      </c>
      <c r="D30" s="65" t="n">
        <v>48788</v>
      </c>
      <c r="E30" s="40">
        <f>D30/1.16</f>
        <v/>
      </c>
      <c r="F30" s="52" t="n">
        <v>11996.92</v>
      </c>
      <c r="G30" s="40">
        <f>F30/1.16</f>
        <v/>
      </c>
      <c r="H30" s="92" t="n">
        <v>0</v>
      </c>
      <c r="I30" s="26" t="n">
        <v>4.05</v>
      </c>
      <c r="J30" s="74">
        <f>LET(dec, I30-INT(I30), IF(dec&lt;0.1, INT(I30), IF(dec&lt;=0.7, INT(I30)+0.5, INT(I30)+1)))</f>
        <v/>
      </c>
      <c r="K30" s="93" t="n">
        <v>46177</v>
      </c>
      <c r="L30" s="36" t="inlineStr">
        <is>
          <t>PAOLA</t>
        </is>
      </c>
      <c r="M30" s="36" t="n"/>
      <c r="N30" s="36" t="n"/>
      <c r="O30" s="38" t="n"/>
      <c r="P30" s="38" t="n"/>
      <c r="Q30" s="38" t="n"/>
      <c r="R30" s="38" t="inlineStr">
        <is>
          <t>OSCAR</t>
        </is>
      </c>
    </row>
    <row r="31">
      <c r="A31" s="47" t="inlineStr">
        <is>
          <t>7648049192565066504</t>
        </is>
      </c>
      <c r="B31" s="83" t="inlineStr">
        <is>
          <t>amora_the_beauty_market</t>
        </is>
      </c>
      <c r="C31" s="91" t="inlineStr">
        <is>
          <t>MX</t>
        </is>
      </c>
      <c r="D31" s="65" t="n">
        <v>70828</v>
      </c>
      <c r="E31" s="40">
        <f>D31/1.16</f>
        <v/>
      </c>
      <c r="F31" s="52" t="n">
        <v>17560.66</v>
      </c>
      <c r="G31" s="40">
        <f>F31/1.16</f>
        <v/>
      </c>
      <c r="H31" s="92" t="n">
        <v>0</v>
      </c>
      <c r="I31" s="26" t="n">
        <v>4.03</v>
      </c>
      <c r="J31" s="74">
        <f>LET(dec, I31-INT(I31), IF(dec&lt;0.1, INT(I31), IF(dec&lt;=0.7, INT(I31)+0.5, INT(I31)+1)))</f>
        <v/>
      </c>
      <c r="K31" s="93" t="n">
        <v>46178</v>
      </c>
      <c r="L31" s="36" t="inlineStr">
        <is>
          <t>MARCO</t>
        </is>
      </c>
      <c r="M31" s="36" t="n"/>
      <c r="N31" s="36" t="n"/>
      <c r="O31" s="38" t="n"/>
      <c r="P31" s="38" t="n"/>
      <c r="Q31" s="38" t="n"/>
      <c r="R31" s="38" t="inlineStr">
        <is>
          <t>OSCAR</t>
        </is>
      </c>
    </row>
    <row r="32">
      <c r="A32" s="47" t="inlineStr">
        <is>
          <t>7649148034072808199</t>
        </is>
      </c>
      <c r="B32" s="83" t="inlineStr">
        <is>
          <t>amora_the_beauty_market</t>
        </is>
      </c>
      <c r="C32" s="91" t="inlineStr">
        <is>
          <t>MX</t>
        </is>
      </c>
      <c r="D32" s="65" t="n">
        <v>89039.78</v>
      </c>
      <c r="E32" s="40">
        <f>D32/1.16</f>
        <v/>
      </c>
      <c r="F32" s="52" t="n">
        <v>22259.94</v>
      </c>
      <c r="G32" s="40">
        <f>F32/1.16</f>
        <v/>
      </c>
      <c r="H32" s="92" t="n">
        <v>0</v>
      </c>
      <c r="I32" s="26" t="n">
        <v>4</v>
      </c>
      <c r="J32" s="74">
        <f>LET(dec, I32-INT(I32), IF(dec&lt;0.1, INT(I32), IF(dec&lt;=0.7, INT(I32)+0.5, INT(I32)+1)))</f>
        <v/>
      </c>
      <c r="K32" s="93" t="n">
        <v>46181</v>
      </c>
      <c r="L32" s="36" t="inlineStr">
        <is>
          <t>MARCO</t>
        </is>
      </c>
      <c r="M32" s="36" t="n"/>
      <c r="N32" s="36" t="n"/>
      <c r="O32" s="38" t="n"/>
      <c r="P32" s="38" t="n"/>
      <c r="Q32" s="38" t="n"/>
      <c r="R32" s="38" t="inlineStr">
        <is>
          <t>OSCAR</t>
        </is>
      </c>
    </row>
    <row r="33">
      <c r="A33" s="47" t="inlineStr">
        <is>
          <t>7649534769969089288</t>
        </is>
      </c>
      <c r="B33" s="83" t="inlineStr">
        <is>
          <t>amora_the_beauty_market</t>
        </is>
      </c>
      <c r="C33" s="91" t="inlineStr">
        <is>
          <t>MX</t>
        </is>
      </c>
      <c r="D33" s="65" t="n">
        <v>62164.24</v>
      </c>
      <c r="E33" s="40">
        <f>D33/1.16</f>
        <v/>
      </c>
      <c r="F33" s="52" t="n">
        <v>15541.06</v>
      </c>
      <c r="G33" s="40">
        <f>F33/1.16</f>
        <v/>
      </c>
      <c r="H33" s="92" t="n">
        <v>0</v>
      </c>
      <c r="I33" s="26" t="n">
        <v>4</v>
      </c>
      <c r="J33" s="74">
        <f>LET(dec, I33-INT(I33), IF(dec&lt;0.1, INT(I33), IF(dec&lt;=0.7, INT(I33)+0.5, INT(I33)+1)))</f>
        <v/>
      </c>
      <c r="K33" s="93" t="n">
        <v>46182</v>
      </c>
      <c r="L33" s="36" t="inlineStr">
        <is>
          <t>PAOLA</t>
        </is>
      </c>
      <c r="M33" s="36" t="n"/>
      <c r="N33" s="36" t="n"/>
      <c r="O33" s="38" t="n"/>
      <c r="P33" s="38" t="n"/>
      <c r="Q33" s="38" t="n"/>
      <c r="R33" s="38" t="inlineStr">
        <is>
          <t>OSCAR</t>
        </is>
      </c>
    </row>
    <row r="34">
      <c r="A34" s="47" t="inlineStr">
        <is>
          <t>7649905222181063442</t>
        </is>
      </c>
      <c r="B34" s="83" t="inlineStr">
        <is>
          <t>amora_the_beauty_market</t>
        </is>
      </c>
      <c r="C34" s="91" t="inlineStr">
        <is>
          <t>MX</t>
        </is>
      </c>
      <c r="D34" s="65" t="n">
        <v>70761.50999999999</v>
      </c>
      <c r="E34" s="40">
        <f>D34/1.16</f>
        <v/>
      </c>
      <c r="F34" s="52" t="n">
        <v>17690.38</v>
      </c>
      <c r="G34" s="40">
        <f>F34/1.16</f>
        <v/>
      </c>
      <c r="H34" s="92" t="n">
        <v>2007.57</v>
      </c>
      <c r="I34" s="26" t="n">
        <v>4</v>
      </c>
      <c r="J34" s="74">
        <f>LET(dec, I34-INT(I34), IF(dec&lt;0.1, INT(I34), IF(dec&lt;=0.7, INT(I34)+0.5, INT(I34)+1)))</f>
        <v/>
      </c>
      <c r="K34" s="93" t="n">
        <v>46183</v>
      </c>
      <c r="L34" s="36" t="inlineStr">
        <is>
          <t>MARCO</t>
        </is>
      </c>
      <c r="M34" s="36" t="n"/>
      <c r="N34" s="36" t="n"/>
      <c r="O34" s="38" t="n"/>
      <c r="P34" s="38" t="n"/>
      <c r="Q34" s="38" t="n"/>
      <c r="R34" s="38" t="inlineStr">
        <is>
          <t>OSCAR</t>
        </is>
      </c>
    </row>
    <row r="35">
      <c r="A35" s="47" t="inlineStr">
        <is>
          <t>7650647334159960839</t>
        </is>
      </c>
      <c r="B35" s="83" t="inlineStr">
        <is>
          <t>amora_the_beauty_market</t>
        </is>
      </c>
      <c r="C35" s="91" t="inlineStr">
        <is>
          <t>MX</t>
        </is>
      </c>
      <c r="D35" s="65" t="n">
        <v>104524.39</v>
      </c>
      <c r="E35" s="40">
        <f>D35/1.16</f>
        <v/>
      </c>
      <c r="F35" s="52" t="n">
        <v>26131.1</v>
      </c>
      <c r="G35" s="40">
        <f>F35/1.16</f>
        <v/>
      </c>
      <c r="H35" s="92" t="n">
        <v>2011.32</v>
      </c>
      <c r="I35" s="26" t="n">
        <v>4</v>
      </c>
      <c r="J35" s="74">
        <f>LET(dec, I35-INT(I35), IF(dec&lt;0.1, INT(I35), IF(dec&lt;=0.7, INT(I35)+0.5, INT(I35)+1)))</f>
        <v/>
      </c>
      <c r="K35" s="93" t="n">
        <v>46185</v>
      </c>
      <c r="L35" s="36" t="inlineStr">
        <is>
          <t>MARCO</t>
        </is>
      </c>
      <c r="M35" s="36" t="n"/>
      <c r="N35" s="36" t="n"/>
      <c r="O35" s="38" t="n"/>
      <c r="P35" s="38" t="n"/>
      <c r="Q35" s="38" t="n"/>
      <c r="R35" s="38" t="inlineStr">
        <is>
          <t>OSCAR</t>
        </is>
      </c>
    </row>
    <row r="36">
      <c r="A36" s="47" t="inlineStr">
        <is>
          <t>7650897271542483720</t>
        </is>
      </c>
      <c r="B36" s="83" t="inlineStr">
        <is>
          <t>amora_the_beauty_market</t>
        </is>
      </c>
      <c r="C36" s="91" t="inlineStr">
        <is>
          <t>MX</t>
        </is>
      </c>
      <c r="D36" s="65" t="n">
        <v>63109.98</v>
      </c>
      <c r="E36" s="40">
        <f>D36/1.16</f>
        <v/>
      </c>
      <c r="F36" s="52" t="n">
        <v>15843.51</v>
      </c>
      <c r="G36" s="40">
        <f>F36/1.16</f>
        <v/>
      </c>
      <c r="H36" s="92" t="n">
        <v>2030.46</v>
      </c>
      <c r="I36" s="26" t="n">
        <v>3.98</v>
      </c>
      <c r="J36" s="74">
        <f>LET(dec, I36-INT(I36), IF(dec&lt;0.1, INT(I36), IF(dec&lt;=0.7, INT(I36)+0.5, INT(I36)+1)))</f>
        <v/>
      </c>
      <c r="K36" s="93" t="n">
        <v>46186</v>
      </c>
      <c r="L36" s="36" t="inlineStr">
        <is>
          <t>PAOLA</t>
        </is>
      </c>
      <c r="M36" s="36" t="n"/>
      <c r="N36" s="36" t="n"/>
      <c r="O36" s="38" t="n"/>
      <c r="P36" s="38" t="n"/>
      <c r="Q36" s="38" t="n"/>
      <c r="R36" s="38" t="inlineStr">
        <is>
          <t>OSCAR</t>
        </is>
      </c>
    </row>
    <row r="37">
      <c r="A37" s="47" t="inlineStr">
        <is>
          <t>7651745223290276616</t>
        </is>
      </c>
      <c r="B37" s="83" t="inlineStr">
        <is>
          <t>amora_the_beauty_market</t>
        </is>
      </c>
      <c r="C37" s="91" t="inlineStr">
        <is>
          <t>MX</t>
        </is>
      </c>
      <c r="D37" s="65" t="n">
        <v>123569.8</v>
      </c>
      <c r="E37" s="40">
        <f>D37/1.16</f>
        <v/>
      </c>
      <c r="F37" s="52" t="n">
        <v>20537.92</v>
      </c>
      <c r="G37" s="40">
        <f>F37/1.16</f>
        <v/>
      </c>
      <c r="H37" s="92" t="n">
        <v>2039.33</v>
      </c>
      <c r="I37" s="26" t="n">
        <v>6.02</v>
      </c>
      <c r="J37" s="74">
        <f>LET(dec, I37-INT(I37), IF(dec&lt;0.1, INT(I37), IF(dec&lt;=0.7, INT(I37)+0.5, INT(I37)+1)))</f>
        <v/>
      </c>
      <c r="K37" s="93" t="n">
        <v>46188</v>
      </c>
      <c r="L37" s="36" t="inlineStr">
        <is>
          <t>MARCO</t>
        </is>
      </c>
      <c r="M37" s="36" t="n"/>
      <c r="N37" s="36" t="n"/>
      <c r="O37" s="38" t="n"/>
      <c r="P37" s="38" t="n"/>
      <c r="Q37" s="38" t="n"/>
      <c r="R37" s="38" t="inlineStr">
        <is>
          <t>OSCAR</t>
        </is>
      </c>
    </row>
    <row r="38">
      <c r="A38" s="47" t="inlineStr">
        <is>
          <t>7652132069305649938</t>
        </is>
      </c>
      <c r="B38" s="83" t="inlineStr">
        <is>
          <t>amora_the_beauty_market</t>
        </is>
      </c>
      <c r="C38" s="91" t="inlineStr">
        <is>
          <t>MX</t>
        </is>
      </c>
      <c r="D38" s="65" t="n">
        <v>101861.35</v>
      </c>
      <c r="E38" s="40">
        <f>D38/1.16</f>
        <v/>
      </c>
      <c r="F38" s="52" t="n">
        <v>25175.72</v>
      </c>
      <c r="G38" s="40">
        <f>F38/1.16</f>
        <v/>
      </c>
      <c r="H38" s="92" t="n">
        <v>2036.71</v>
      </c>
      <c r="I38" s="26" t="n">
        <v>4.03</v>
      </c>
      <c r="J38" s="74">
        <f>LET(dec, I38-INT(I38), IF(dec&lt;0.1, INT(I38), IF(dec&lt;=0.7, INT(I38)+0.5, INT(I38)+1)))</f>
        <v/>
      </c>
      <c r="K38" s="93" t="n">
        <v>46189</v>
      </c>
      <c r="L38" s="36" t="inlineStr">
        <is>
          <t>PAOLA</t>
        </is>
      </c>
      <c r="M38" s="36" t="n"/>
      <c r="N38" s="36" t="n"/>
      <c r="O38" s="38" t="n"/>
      <c r="P38" s="38" t="n"/>
      <c r="Q38" s="38" t="n"/>
      <c r="R38" s="38" t="inlineStr">
        <is>
          <t>OSCAR</t>
        </is>
      </c>
    </row>
    <row r="39">
      <c r="A39" s="47" t="inlineStr">
        <is>
          <t>7653230493370600200</t>
        </is>
      </c>
      <c r="B39" s="83" t="inlineStr">
        <is>
          <t>amora_the_beauty_market</t>
        </is>
      </c>
      <c r="C39" s="91" t="inlineStr">
        <is>
          <t>MX</t>
        </is>
      </c>
      <c r="D39" s="65" t="n">
        <v>113982.07</v>
      </c>
      <c r="E39" s="40">
        <f>D39/1.16</f>
        <v/>
      </c>
      <c r="F39" s="52" t="n">
        <v>16077.91</v>
      </c>
      <c r="G39" s="40">
        <f>F39/1.16</f>
        <v/>
      </c>
      <c r="H39" s="92" t="n">
        <v>2022.64</v>
      </c>
      <c r="I39" s="26" t="n">
        <v>6.98</v>
      </c>
      <c r="J39" s="74">
        <f>LET(dec, I39-INT(I39), IF(dec&lt;0.1, INT(I39), IF(dec&lt;=0.7, INT(I39)+0.5, INT(I39)+1)))</f>
        <v/>
      </c>
      <c r="K39" s="93" t="n">
        <v>46192</v>
      </c>
      <c r="L39" s="36" t="inlineStr">
        <is>
          <t>MARCO</t>
        </is>
      </c>
      <c r="M39" s="36" t="n"/>
      <c r="N39" s="36" t="n"/>
      <c r="O39" s="38" t="n"/>
      <c r="P39" s="38" t="n"/>
      <c r="Q39" s="38" t="n"/>
      <c r="R39" s="38" t="inlineStr">
        <is>
          <t>OSCAR</t>
        </is>
      </c>
    </row>
    <row r="40">
      <c r="A40" s="47" t="inlineStr">
        <is>
          <t>7654343289507695378</t>
        </is>
      </c>
      <c r="B40" s="83" t="inlineStr">
        <is>
          <t>amora_the_beauty_market</t>
        </is>
      </c>
      <c r="C40" s="91" t="inlineStr">
        <is>
          <t>MX</t>
        </is>
      </c>
      <c r="D40" s="65" t="n">
        <v>50816.61</v>
      </c>
      <c r="E40" s="40">
        <f>D40/1.16</f>
        <v/>
      </c>
      <c r="F40" s="52" t="n">
        <v>10644.8</v>
      </c>
      <c r="G40" s="40">
        <f>F40/1.16</f>
        <v/>
      </c>
      <c r="H40" s="92" t="n">
        <v>2020.78</v>
      </c>
      <c r="I40" s="26" t="n">
        <v>4.02</v>
      </c>
      <c r="J40" s="74">
        <f>LET(dec, I40-INT(I40), IF(dec&lt;0.1, INT(I40), IF(dec&lt;=0.7, INT(I40)+0.5, INT(I40)+1)))</f>
        <v/>
      </c>
      <c r="K40" s="93" t="n">
        <v>46195</v>
      </c>
      <c r="L40" s="36" t="inlineStr">
        <is>
          <t>MARCO</t>
        </is>
      </c>
      <c r="M40" s="36" t="n"/>
      <c r="N40" s="36" t="n"/>
      <c r="O40" s="38" t="n"/>
      <c r="P40" s="38" t="n"/>
      <c r="Q40" s="38" t="n"/>
      <c r="R40" s="38" t="inlineStr">
        <is>
          <t>OSCAR</t>
        </is>
      </c>
    </row>
    <row r="41">
      <c r="A41" s="47" t="inlineStr">
        <is>
          <t>7654729471639816980</t>
        </is>
      </c>
      <c r="B41" s="83" t="inlineStr">
        <is>
          <t>amora_the_beauty_market</t>
        </is>
      </c>
      <c r="C41" s="91" t="inlineStr">
        <is>
          <t>MX</t>
        </is>
      </c>
      <c r="D41" s="65" t="n">
        <v>36318.12</v>
      </c>
      <c r="E41" s="40">
        <f>D41/1.16</f>
        <v/>
      </c>
      <c r="F41" s="52" t="n">
        <v>8939.73</v>
      </c>
      <c r="G41" s="40">
        <f>F41/1.16</f>
        <v/>
      </c>
      <c r="H41" s="92" t="n">
        <v>306.35</v>
      </c>
      <c r="I41" s="26" t="n">
        <v>4</v>
      </c>
      <c r="J41" s="74">
        <f>LET(dec, I41-INT(I41), IF(dec&lt;0.1, INT(I41), IF(dec&lt;=0.7, INT(I41)+0.5, INT(I41)+1)))</f>
        <v/>
      </c>
      <c r="K41" s="93" t="n">
        <v>46196</v>
      </c>
      <c r="L41" s="36" t="inlineStr">
        <is>
          <t>PAOLA</t>
        </is>
      </c>
      <c r="M41" s="36" t="n"/>
      <c r="N41" s="36" t="n"/>
      <c r="O41" s="38" t="n"/>
      <c r="P41" s="38" t="n"/>
      <c r="Q41" s="38" t="n"/>
      <c r="R41" s="38" t="inlineStr">
        <is>
          <t>OSCAR</t>
        </is>
      </c>
    </row>
    <row r="42">
      <c r="A42" s="47" t="inlineStr">
        <is>
          <t>7656584866618903316</t>
        </is>
      </c>
      <c r="B42" s="83" t="inlineStr">
        <is>
          <t>amora_the_beauty_market</t>
        </is>
      </c>
      <c r="C42" s="91" t="inlineStr">
        <is>
          <t>MX</t>
        </is>
      </c>
      <c r="D42" s="65" t="n">
        <v>91380.33</v>
      </c>
      <c r="E42" s="40">
        <f>D42/1.16</f>
        <v/>
      </c>
      <c r="F42" s="52" t="n">
        <v>15551.21</v>
      </c>
      <c r="G42" s="40">
        <f>F42/1.16</f>
        <v/>
      </c>
      <c r="H42" s="92" t="n">
        <v>1987.23</v>
      </c>
      <c r="I42" s="26" t="n">
        <v>6</v>
      </c>
      <c r="J42" s="74">
        <f>LET(dec, I42-INT(I42), IF(dec&lt;0.1, INT(I42), IF(dec&lt;=0.7, INT(I42)+0.5, INT(I42)+1)))</f>
        <v/>
      </c>
      <c r="K42" s="93" t="n">
        <v>46199</v>
      </c>
      <c r="L42" s="36" t="inlineStr">
        <is>
          <t>MARCO</t>
        </is>
      </c>
      <c r="M42" s="36" t="n"/>
      <c r="N42" s="36" t="n"/>
      <c r="O42" s="38" t="n"/>
      <c r="P42" s="38" t="n"/>
      <c r="Q42" s="38" t="n"/>
      <c r="R42" s="38" t="inlineStr">
        <is>
          <t>NAHOMI</t>
        </is>
      </c>
    </row>
    <row r="43">
      <c r="A43" s="47" t="inlineStr">
        <is>
          <t>7656584866618903316</t>
        </is>
      </c>
      <c r="B43" s="83" t="inlineStr">
        <is>
          <t>amora_the_beauty_market</t>
        </is>
      </c>
      <c r="C43" s="91" t="inlineStr">
        <is>
          <t>MX</t>
        </is>
      </c>
      <c r="D43" s="65" t="n">
        <v>119456.75</v>
      </c>
      <c r="E43" s="40">
        <f>D43/1.16</f>
        <v/>
      </c>
      <c r="F43" s="52" t="n">
        <v>29914.04</v>
      </c>
      <c r="G43" s="40">
        <f>F43/1.16</f>
        <v/>
      </c>
      <c r="H43" s="52" t="n">
        <v>2000.8</v>
      </c>
      <c r="I43" s="26" t="n">
        <v>4</v>
      </c>
      <c r="J43" s="74">
        <f>LET(dec, I43-INT(I43), IF(dec&lt;0.1, INT(I43), IF(dec&lt;=0.7, INT(I43)+0.5, INT(I43)+1)))</f>
        <v/>
      </c>
      <c r="K43" s="93" t="n">
        <v>46201</v>
      </c>
      <c r="L43" s="36" t="inlineStr">
        <is>
          <t>PAOLA</t>
        </is>
      </c>
      <c r="M43" s="36" t="n"/>
      <c r="N43" s="36" t="n"/>
      <c r="O43" s="38" t="n"/>
      <c r="P43" s="38" t="n"/>
      <c r="Q43" s="38" t="n"/>
      <c r="R43" s="38" t="inlineStr">
        <is>
          <t>NAHOMI</t>
        </is>
      </c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56" t="n"/>
      <c r="L44" s="17" t="n"/>
      <c r="M44" s="17" t="n"/>
      <c r="N44" s="17" t="n"/>
      <c r="O44" s="17" t="n"/>
      <c r="P44" s="17" t="n"/>
      <c r="Q44" s="17" t="n"/>
      <c r="R44" s="17" t="n"/>
      <c r="S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56" t="n"/>
      <c r="L45" s="17" t="n"/>
      <c r="M45" s="17" t="n"/>
      <c r="N45" s="17" t="n"/>
      <c r="O45" s="17" t="n"/>
      <c r="P45" s="17" t="n"/>
      <c r="Q45" s="17" t="n"/>
      <c r="R45" s="17" t="n"/>
      <c r="S45" s="17" t="n"/>
    </row>
    <row r="46">
      <c r="A46" s="7" t="inlineStr">
        <is>
          <t>Room ID</t>
        </is>
      </c>
      <c r="B46" s="7" t="inlineStr">
        <is>
          <t>TT Handle</t>
        </is>
      </c>
      <c r="C46" s="7" t="inlineStr">
        <is>
          <t>Country</t>
        </is>
      </c>
      <c r="D46" s="7" t="inlineStr">
        <is>
          <t>GMV</t>
        </is>
      </c>
      <c r="E46" s="7" t="inlineStr">
        <is>
          <t>GMV/sin EVA</t>
        </is>
      </c>
      <c r="F46" s="7" t="inlineStr">
        <is>
          <t>GMV PER HOUR</t>
        </is>
      </c>
      <c r="G46" s="7" t="inlineStr">
        <is>
          <t>GMV PER HOUR/sin EVA</t>
        </is>
      </c>
      <c r="H46" s="7" t="inlineStr">
        <is>
          <t>Ads Cost</t>
        </is>
      </c>
      <c r="I46" s="9" t="inlineStr">
        <is>
          <t>Duration (H)</t>
        </is>
      </c>
      <c r="J46" s="70" t="inlineStr">
        <is>
          <t>Duration （Formula）</t>
        </is>
      </c>
      <c r="K46" s="101" t="inlineStr">
        <is>
          <t>Start date</t>
        </is>
      </c>
      <c r="L46" s="71" t="inlineStr">
        <is>
          <t>HOST1</t>
        </is>
      </c>
      <c r="M46" s="71" t="n"/>
      <c r="N46" s="71" t="inlineStr">
        <is>
          <t xml:space="preserve">HOST 2 </t>
        </is>
      </c>
      <c r="O46" s="71" t="n"/>
      <c r="P46" s="71" t="n"/>
      <c r="Q46" s="71" t="n"/>
      <c r="R46" s="71" t="inlineStr">
        <is>
          <t>Operator</t>
        </is>
      </c>
      <c r="S46" s="71" t="inlineStr">
        <is>
          <t>Operator</t>
        </is>
      </c>
    </row>
    <row r="47">
      <c r="A47" s="63" t="inlineStr">
        <is>
          <t>7656943999961713428</t>
        </is>
      </c>
      <c r="B47" s="83" t="inlineStr">
        <is>
          <t>amora_the_beauty_market</t>
        </is>
      </c>
      <c r="C47" s="91" t="inlineStr">
        <is>
          <t>MX</t>
        </is>
      </c>
      <c r="D47" s="65" t="n">
        <v>73795</v>
      </c>
      <c r="E47" s="40">
        <f>D47/1.16</f>
        <v/>
      </c>
      <c r="F47" s="40" t="n">
        <v>12270.22</v>
      </c>
      <c r="G47" s="40">
        <f>F47/1.16</f>
        <v/>
      </c>
      <c r="H47" s="66" t="n">
        <v>110.33</v>
      </c>
      <c r="I47" s="74" t="n">
        <v>6.01417</v>
      </c>
      <c r="J47" s="74">
        <f>LET(dec, I47-INT(I47), IF(dec&lt;0.1, INT(I47), IF(dec&lt;=0.7, INT(I47)+0.5, INT(I47)+1)))</f>
        <v/>
      </c>
      <c r="K47" s="67" t="n">
        <v>46202</v>
      </c>
      <c r="L47" s="61" t="inlineStr">
        <is>
          <t>MARCO</t>
        </is>
      </c>
      <c r="M47" s="62" t="n"/>
      <c r="N47" s="63" t="n"/>
      <c r="O47" s="63" t="n"/>
      <c r="P47" s="63" t="n"/>
      <c r="Q47" s="63" t="n"/>
      <c r="R47" s="63" t="inlineStr">
        <is>
          <t>NAHOMI</t>
        </is>
      </c>
      <c r="S47" s="63" t="n"/>
    </row>
    <row r="48">
      <c r="A48" s="63" t="inlineStr">
        <is>
          <t>7657249993200012053</t>
        </is>
      </c>
      <c r="B48" s="83" t="inlineStr">
        <is>
          <t>amora_the_beauty_market</t>
        </is>
      </c>
      <c r="C48" s="91" t="inlineStr">
        <is>
          <t>MX</t>
        </is>
      </c>
      <c r="D48" s="65" t="n">
        <v>106476</v>
      </c>
      <c r="E48" s="40">
        <f>D48/1.16</f>
        <v/>
      </c>
      <c r="F48" s="40" t="n">
        <v>17347.58</v>
      </c>
      <c r="G48" s="40">
        <f>F48/1.16</f>
        <v/>
      </c>
      <c r="H48" s="66" t="n">
        <v>110.37</v>
      </c>
      <c r="I48" s="74" t="n">
        <v>6.01417</v>
      </c>
      <c r="J48" s="74">
        <f>LET(dec, I48-INT(I48), IF(dec&lt;0.1, INT(I48), IF(dec&lt;=0.7, INT(I48)+0.5, INT(I48)+1)))</f>
        <v/>
      </c>
      <c r="K48" s="67" t="n">
        <v>46203</v>
      </c>
      <c r="L48" s="61" t="inlineStr">
        <is>
          <t>MARCO</t>
        </is>
      </c>
      <c r="M48" s="62" t="n"/>
      <c r="N48" s="63" t="n"/>
      <c r="O48" s="63" t="n"/>
      <c r="P48" s="63" t="n"/>
      <c r="Q48" s="63" t="n"/>
      <c r="R48" s="63" t="inlineStr">
        <is>
          <t>NAHOMI</t>
        </is>
      </c>
      <c r="S48" s="63" t="n"/>
    </row>
    <row r="49">
      <c r="A49" s="63" t="inlineStr">
        <is>
          <t>7657700332356651796</t>
        </is>
      </c>
      <c r="B49" s="83" t="inlineStr">
        <is>
          <t>amora_the_beauty_market</t>
        </is>
      </c>
      <c r="C49" s="91" t="inlineStr">
        <is>
          <t>MX</t>
        </is>
      </c>
      <c r="D49" s="65" t="n">
        <v>88343.63</v>
      </c>
      <c r="E49" s="40">
        <f>D49/1.16</f>
        <v/>
      </c>
      <c r="F49" s="40" t="n">
        <v>21878.99</v>
      </c>
      <c r="G49" s="40">
        <f>F49/1.16</f>
        <v/>
      </c>
      <c r="H49" s="66" t="n">
        <v>2010.1</v>
      </c>
      <c r="I49" s="74" t="n">
        <v>4.02</v>
      </c>
      <c r="J49" s="74">
        <f>LET(dec, I49-INT(I49), IF(dec&lt;0.1, INT(I49), IF(dec&lt;=0.7, INT(I49)+0.5, INT(I49)+1)))</f>
        <v/>
      </c>
      <c r="K49" s="67" t="n">
        <v>46204</v>
      </c>
      <c r="L49" s="36" t="inlineStr">
        <is>
          <t>MARCO</t>
        </is>
      </c>
      <c r="M49" s="63" t="n"/>
      <c r="N49" s="63" t="n"/>
      <c r="O49" s="63" t="n"/>
      <c r="P49" s="63" t="n"/>
      <c r="Q49" s="63" t="n"/>
      <c r="R49" s="63" t="inlineStr">
        <is>
          <t>NAHOMI</t>
        </is>
      </c>
      <c r="S49" s="63" t="n"/>
    </row>
    <row r="50">
      <c r="A50" s="63" t="inlineStr">
        <is>
          <t>7658069717520878357</t>
        </is>
      </c>
      <c r="B50" s="83" t="inlineStr">
        <is>
          <t>amora_the_beauty_market</t>
        </is>
      </c>
      <c r="C50" s="91" t="inlineStr">
        <is>
          <t>MX</t>
        </is>
      </c>
      <c r="D50" s="65" t="n">
        <v>63501.35</v>
      </c>
      <c r="E50" s="40">
        <f>D50/1.16</f>
        <v/>
      </c>
      <c r="F50" s="40" t="n">
        <v>15580.81</v>
      </c>
      <c r="G50" s="40">
        <f>F50/1.16</f>
        <v/>
      </c>
      <c r="H50" s="66" t="n">
        <v>2005.08</v>
      </c>
      <c r="I50" s="74" t="n">
        <v>4</v>
      </c>
      <c r="J50" s="74">
        <f>LET(dec, I50-INT(I50), IF(dec&lt;0.1, INT(I50), IF(dec&lt;=0.7, INT(I50)+0.5, INT(I50)+1)))</f>
        <v/>
      </c>
      <c r="K50" s="67" t="n">
        <v>46205</v>
      </c>
      <c r="L50" s="36" t="inlineStr">
        <is>
          <t>MARCO</t>
        </is>
      </c>
      <c r="M50" s="63" t="n"/>
      <c r="N50" s="63" t="n"/>
      <c r="O50" s="63" t="n"/>
      <c r="P50" s="63" t="n"/>
      <c r="Q50" s="63" t="n"/>
      <c r="R50" s="63" t="inlineStr">
        <is>
          <t>NAHOMI</t>
        </is>
      </c>
      <c r="S50" s="63" t="n"/>
    </row>
    <row r="51">
      <c r="A51" s="63" t="inlineStr">
        <is>
          <t>7658440391378324244</t>
        </is>
      </c>
      <c r="B51" s="83" t="inlineStr">
        <is>
          <t>amora_the_beauty_market</t>
        </is>
      </c>
      <c r="C51" s="91" t="inlineStr">
        <is>
          <t>MX</t>
        </is>
      </c>
      <c r="D51" s="65" t="n">
        <v>57719.18</v>
      </c>
      <c r="E51" s="40">
        <f>D51/1.16</f>
        <v/>
      </c>
      <c r="F51" s="40" t="n">
        <v>14287.84</v>
      </c>
      <c r="G51" s="40">
        <f>F51/1.16</f>
        <v/>
      </c>
      <c r="H51" s="66" t="n">
        <v>2001.69</v>
      </c>
      <c r="I51" s="74" t="n">
        <v>4</v>
      </c>
      <c r="J51" s="74">
        <f>LET(dec, I51-INT(I51), IF(dec&lt;0.1, INT(I51), IF(dec&lt;=0.7, INT(I51)+0.5, INT(I51)+1)))</f>
        <v/>
      </c>
      <c r="K51" s="67" t="n">
        <v>46206</v>
      </c>
      <c r="L51" s="36" t="inlineStr">
        <is>
          <t>PAOLA</t>
        </is>
      </c>
      <c r="M51" s="63" t="n"/>
      <c r="N51" s="63" t="n"/>
      <c r="O51" s="63" t="n"/>
      <c r="P51" s="63" t="n"/>
      <c r="Q51" s="63" t="n"/>
      <c r="R51" s="63" t="inlineStr">
        <is>
          <t>NAHOMI</t>
        </is>
      </c>
      <c r="S51" s="63" t="n"/>
    </row>
    <row r="52">
      <c r="A52" s="63" t="inlineStr">
        <is>
          <t>7659541412069526293</t>
        </is>
      </c>
      <c r="B52" s="83" t="inlineStr">
        <is>
          <t>amora_the_beauty_market</t>
        </is>
      </c>
      <c r="C52" s="91" t="inlineStr">
        <is>
          <t>MX</t>
        </is>
      </c>
      <c r="D52" s="65" t="n">
        <v>64234.92</v>
      </c>
      <c r="E52" s="40">
        <f>D52/1.16</f>
        <v/>
      </c>
      <c r="F52" s="40" t="n">
        <v>10464.98</v>
      </c>
      <c r="G52" s="40">
        <f>F52/1.16</f>
        <v/>
      </c>
      <c r="H52" s="66" t="n">
        <v>2011.29</v>
      </c>
      <c r="I52" s="74" t="n">
        <v>5.98</v>
      </c>
      <c r="J52" s="74">
        <f>LET(dec, I52-INT(I52), IF(dec&lt;0.1, INT(I52), IF(dec&lt;=0.7, INT(I52)+0.5, INT(I52)+1)))</f>
        <v/>
      </c>
      <c r="K52" s="67" t="n">
        <v>46209</v>
      </c>
      <c r="L52" s="36" t="inlineStr">
        <is>
          <t>MARCO</t>
        </is>
      </c>
      <c r="M52" s="63" t="n"/>
      <c r="N52" s="63" t="n"/>
      <c r="O52" s="63" t="n"/>
      <c r="P52" s="63" t="n"/>
      <c r="Q52" s="63" t="n"/>
      <c r="R52" s="63" t="inlineStr">
        <is>
          <t>NAHOMI</t>
        </is>
      </c>
      <c r="S52" s="63" t="n"/>
    </row>
    <row r="53">
      <c r="A53" s="63" t="inlineStr">
        <is>
          <t>7659924545707690773</t>
        </is>
      </c>
      <c r="B53" s="83" t="inlineStr">
        <is>
          <t>amora_the_beauty_market</t>
        </is>
      </c>
      <c r="C53" s="91" t="inlineStr">
        <is>
          <t>MX</t>
        </is>
      </c>
      <c r="D53" s="65" t="n">
        <v>85076.53999999999</v>
      </c>
      <c r="E53" s="40">
        <f>D53/1.16</f>
        <v/>
      </c>
      <c r="F53" s="40" t="n">
        <v>20460.6</v>
      </c>
      <c r="G53" s="40">
        <f>F53/1.16</f>
        <v/>
      </c>
      <c r="H53" s="66" t="n">
        <v>2010.66</v>
      </c>
      <c r="I53" s="74" t="n">
        <v>3.98</v>
      </c>
      <c r="J53" s="74">
        <f>LET(dec, I53-INT(I53), IF(dec&lt;0.1, INT(I53), IF(dec&lt;=0.7, INT(I53)+0.5, INT(I53)+1)))</f>
        <v/>
      </c>
      <c r="K53" s="67" t="n">
        <v>46210</v>
      </c>
      <c r="L53" s="89" t="inlineStr">
        <is>
          <t>SILVANA</t>
        </is>
      </c>
      <c r="M53" s="63" t="n"/>
      <c r="N53" s="63" t="n"/>
      <c r="O53" s="63" t="n"/>
      <c r="P53" s="63" t="n"/>
      <c r="Q53" s="63" t="n"/>
      <c r="R53" s="63" t="inlineStr">
        <is>
          <t>NAHOMI</t>
        </is>
      </c>
      <c r="S53" s="63" t="n"/>
    </row>
    <row r="54">
      <c r="A54" s="63" t="inlineStr">
        <is>
          <t>7660280370143808274</t>
        </is>
      </c>
      <c r="B54" s="83" t="inlineStr">
        <is>
          <t>amora_the_beauty_market</t>
        </is>
      </c>
      <c r="C54" s="91" t="inlineStr">
        <is>
          <t>MX</t>
        </is>
      </c>
      <c r="D54" s="65" t="n">
        <v>93379.97</v>
      </c>
      <c r="E54" s="40">
        <f>D54/1.16</f>
        <v/>
      </c>
      <c r="F54" s="40" t="n">
        <v>14106.52</v>
      </c>
      <c r="G54" s="40">
        <f>F54/1.16</f>
        <v/>
      </c>
      <c r="H54" s="66" t="n">
        <v>2020.7</v>
      </c>
      <c r="I54" s="74" t="n">
        <v>6</v>
      </c>
      <c r="J54" s="74">
        <f>LET(dec, I54-INT(I54), IF(dec&lt;0.1, INT(I54), IF(dec&lt;=0.7, INT(I54)+0.5, INT(I54)+1)))</f>
        <v/>
      </c>
      <c r="K54" s="67" t="n">
        <v>46211</v>
      </c>
      <c r="L54" s="36" t="inlineStr">
        <is>
          <t>PAOLA</t>
        </is>
      </c>
      <c r="M54" s="63" t="n"/>
      <c r="N54" s="63" t="n"/>
      <c r="O54" s="63" t="n"/>
      <c r="P54" s="63" t="n"/>
      <c r="Q54" s="63" t="n"/>
      <c r="R54" s="63" t="inlineStr">
        <is>
          <t>NAHOMI</t>
        </is>
      </c>
      <c r="S54" s="63" t="n"/>
    </row>
    <row r="55">
      <c r="A55" s="63" t="inlineStr">
        <is>
          <t>7660666640912190229</t>
        </is>
      </c>
      <c r="B55" s="83" t="inlineStr">
        <is>
          <t>amora_the_beauty_market</t>
        </is>
      </c>
      <c r="C55" s="91" t="inlineStr">
        <is>
          <t>MX</t>
        </is>
      </c>
      <c r="D55" s="65" t="n">
        <v>72565.31</v>
      </c>
      <c r="E55" s="40">
        <f>D55/1.16</f>
        <v/>
      </c>
      <c r="F55" s="40" t="n">
        <v>18051.07</v>
      </c>
      <c r="G55" s="40">
        <f>F55/1.16</f>
        <v/>
      </c>
      <c r="H55" s="66" t="n">
        <v>3940</v>
      </c>
      <c r="I55" s="74" t="n">
        <v>4.02</v>
      </c>
      <c r="J55" s="74">
        <f>LET(dec, I55-INT(I55), IF(dec&lt;0.1, INT(I55), IF(dec&lt;=0.7, INT(I55)+0.5, INT(I55)+1)))</f>
        <v/>
      </c>
      <c r="K55" s="67" t="n">
        <v>46212</v>
      </c>
      <c r="L55" s="89" t="inlineStr">
        <is>
          <t>SILVANA</t>
        </is>
      </c>
      <c r="M55" s="63" t="n"/>
      <c r="N55" s="63" t="n"/>
      <c r="O55" s="63" t="n"/>
      <c r="P55" s="63" t="n"/>
      <c r="Q55" s="63" t="n"/>
      <c r="R55" s="63" t="inlineStr">
        <is>
          <t>NAHOMI</t>
        </is>
      </c>
      <c r="S55" s="63" t="n"/>
    </row>
    <row r="56">
      <c r="A56" s="63" t="inlineStr">
        <is>
          <t>7661037761981451028</t>
        </is>
      </c>
      <c r="B56" s="83" t="inlineStr">
        <is>
          <t>amora_the_beauty_market</t>
        </is>
      </c>
      <c r="C56" s="91" t="inlineStr">
        <is>
          <t>MX</t>
        </is>
      </c>
      <c r="D56" s="65" t="n">
        <v>81103.52</v>
      </c>
      <c r="E56" s="40">
        <f>D56/1.16</f>
        <v/>
      </c>
      <c r="F56" s="40" t="n">
        <v>20275.88</v>
      </c>
      <c r="G56" s="40">
        <f>F56/1.16</f>
        <v/>
      </c>
      <c r="H56" s="66" t="n">
        <v>3980</v>
      </c>
      <c r="I56" s="74" t="n">
        <v>4</v>
      </c>
      <c r="J56" s="74">
        <f>LET(dec, I56-INT(I56), IF(dec&lt;0.1, INT(I56), IF(dec&lt;=0.7, INT(I56)+0.5, INT(I56)+1)))</f>
        <v/>
      </c>
      <c r="K56" s="67" t="n">
        <v>46213</v>
      </c>
      <c r="L56" s="36" t="inlineStr">
        <is>
          <t>MARCO</t>
        </is>
      </c>
      <c r="M56" s="63" t="n"/>
      <c r="N56" s="63" t="n"/>
      <c r="O56" s="63" t="n"/>
      <c r="P56" s="63" t="n"/>
      <c r="Q56" s="63" t="n"/>
      <c r="R56" s="63" t="inlineStr">
        <is>
          <t>NAHOMI</t>
        </is>
      </c>
      <c r="S56" s="63" t="n"/>
    </row>
    <row r="57">
      <c r="A57" s="63" t="inlineStr">
        <is>
          <t>7661779750637767442</t>
        </is>
      </c>
      <c r="B57" s="83" t="inlineStr">
        <is>
          <t>amora_the_beauty_market</t>
        </is>
      </c>
      <c r="C57" s="91" t="inlineStr">
        <is>
          <t>MX</t>
        </is>
      </c>
      <c r="D57" s="65" t="n">
        <v>77588.75</v>
      </c>
      <c r="E57" s="40">
        <f>D57/1.16</f>
        <v/>
      </c>
      <c r="F57" s="40" t="n">
        <v>19300.68</v>
      </c>
      <c r="G57" s="40">
        <f>F57/1.16</f>
        <v/>
      </c>
      <c r="H57" s="66" t="n">
        <v>3980</v>
      </c>
      <c r="I57" s="74" t="n">
        <v>4.02</v>
      </c>
      <c r="J57" s="74">
        <f>LET(dec, I57-INT(I57), IF(dec&lt;0.1, INT(I57), IF(dec&lt;=0.7, INT(I57)+0.5, INT(I57)+1)))</f>
        <v/>
      </c>
      <c r="K57" s="67" t="n">
        <v>46215</v>
      </c>
      <c r="L57" s="36" t="inlineStr">
        <is>
          <t>PAOLA</t>
        </is>
      </c>
      <c r="M57" s="63" t="n"/>
      <c r="N57" s="63" t="n"/>
      <c r="O57" s="63" t="n"/>
      <c r="P57" s="63" t="n"/>
      <c r="Q57" s="63" t="n"/>
      <c r="R57" s="63" t="inlineStr">
        <is>
          <t>NAHOMI</t>
        </is>
      </c>
      <c r="S57" s="63" t="n"/>
    </row>
    <row r="58">
      <c r="A58" s="63" t="inlineStr">
        <is>
          <t>7662042777967872775</t>
        </is>
      </c>
      <c r="B58" s="83" t="inlineStr">
        <is>
          <t>amora_the_beauty_market</t>
        </is>
      </c>
      <c r="C58" s="91" t="inlineStr">
        <is>
          <t>MX</t>
        </is>
      </c>
      <c r="D58" s="65" t="n">
        <v>56778.25</v>
      </c>
      <c r="E58" s="40">
        <f>D58/1.16</f>
        <v/>
      </c>
      <c r="F58" s="40" t="n">
        <v>14265.89</v>
      </c>
      <c r="G58" s="40">
        <f>F58/1.16</f>
        <v/>
      </c>
      <c r="H58" s="66" t="n">
        <v>3980</v>
      </c>
      <c r="I58" s="74" t="n">
        <v>3.98</v>
      </c>
      <c r="J58" s="74">
        <f>LET(dec, I58-INT(I58), IF(dec&lt;0.1, INT(I58), IF(dec&lt;=0.7, INT(I58)+0.5, INT(I58)+1)))</f>
        <v/>
      </c>
      <c r="K58" s="67" t="n">
        <v>46216</v>
      </c>
      <c r="L58" s="36" t="inlineStr">
        <is>
          <t>PAOLA</t>
        </is>
      </c>
      <c r="M58" s="63" t="n"/>
      <c r="N58" s="63" t="n"/>
      <c r="O58" s="63" t="n"/>
      <c r="P58" s="63" t="n"/>
      <c r="Q58" s="63" t="n"/>
      <c r="R58" s="63" t="inlineStr">
        <is>
          <t>NAHOMI</t>
        </is>
      </c>
      <c r="S58" s="63" t="n"/>
    </row>
    <row r="59">
      <c r="A59" s="63" t="inlineStr">
        <is>
          <t>7662522036137593608</t>
        </is>
      </c>
      <c r="B59" s="83" t="inlineStr">
        <is>
          <t>amora_the_beauty_market</t>
        </is>
      </c>
      <c r="C59" s="91" t="inlineStr">
        <is>
          <t>MX</t>
        </is>
      </c>
      <c r="D59" s="65" t="n">
        <v>77213.46000000001</v>
      </c>
      <c r="E59" s="40">
        <f>D59/1.16</f>
        <v/>
      </c>
      <c r="F59" s="40" t="n">
        <v>19065.05</v>
      </c>
      <c r="G59" s="40">
        <f>F59/1.16</f>
        <v/>
      </c>
      <c r="H59" s="66" t="n">
        <v>7950</v>
      </c>
      <c r="I59" s="74" t="n">
        <v>4.05</v>
      </c>
      <c r="J59" s="74">
        <f>LET(dec, I59-INT(I59), IF(dec&lt;0.1, INT(I59), IF(dec&lt;=0.7, INT(I59)+0.5, INT(I59)+1)))</f>
        <v/>
      </c>
      <c r="K59" s="67" t="n">
        <v>46217</v>
      </c>
      <c r="L59" s="89" t="inlineStr">
        <is>
          <t>SILVANA</t>
        </is>
      </c>
      <c r="M59" s="63" t="n"/>
      <c r="N59" s="63" t="n"/>
      <c r="O59" s="63" t="n"/>
      <c r="P59" s="63" t="n"/>
      <c r="Q59" s="63" t="n"/>
      <c r="R59" s="63" t="inlineStr">
        <is>
          <t>NAHOMI</t>
        </is>
      </c>
      <c r="S59" s="63" t="n"/>
    </row>
    <row r="60">
      <c r="A60" s="63" t="inlineStr">
        <is>
          <t>7662878110325017352</t>
        </is>
      </c>
      <c r="B60" s="83" t="inlineStr">
        <is>
          <t>amora_the_beauty_market</t>
        </is>
      </c>
      <c r="C60" s="91" t="inlineStr">
        <is>
          <t>MX</t>
        </is>
      </c>
      <c r="D60" s="65" t="n">
        <v>90988.89</v>
      </c>
      <c r="E60" s="40">
        <f>D60/1.16</f>
        <v/>
      </c>
      <c r="F60" s="40" t="n">
        <v>15114.43</v>
      </c>
      <c r="G60" s="40">
        <f>F60/1.16</f>
        <v/>
      </c>
      <c r="H60" s="66" t="n">
        <v>1990</v>
      </c>
      <c r="I60" s="74" t="n">
        <v>6.02</v>
      </c>
      <c r="J60" s="74">
        <f>LET(dec, I60-INT(I60), IF(dec&lt;0.1, INT(I60), IF(dec&lt;=0.7, INT(I60)+0.5, INT(I60)+1)))</f>
        <v/>
      </c>
      <c r="K60" s="67" t="n">
        <v>46218</v>
      </c>
      <c r="L60" s="36" t="inlineStr">
        <is>
          <t>MARCO</t>
        </is>
      </c>
      <c r="M60" s="36" t="n"/>
      <c r="N60" s="36" t="inlineStr">
        <is>
          <t>PAOLA</t>
        </is>
      </c>
      <c r="O60" s="63" t="n"/>
      <c r="P60" s="63" t="n"/>
      <c r="Q60" s="63" t="n"/>
      <c r="R60" s="63" t="inlineStr">
        <is>
          <t>NAHOMI</t>
        </is>
      </c>
      <c r="S60" s="63" t="n"/>
    </row>
    <row r="61">
      <c r="A61" s="63" t="inlineStr">
        <is>
          <t>7663142442912238343</t>
        </is>
      </c>
      <c r="B61" s="83" t="inlineStr">
        <is>
          <t>amora_the_beauty_market</t>
        </is>
      </c>
      <c r="C61" s="91" t="inlineStr">
        <is>
          <t>MX</t>
        </is>
      </c>
      <c r="D61" s="65" t="n">
        <v>35285.53</v>
      </c>
      <c r="E61" s="40">
        <f>D61/1.16</f>
        <v/>
      </c>
      <c r="F61" s="40" t="n">
        <v>8865.709999999999</v>
      </c>
      <c r="G61" s="40">
        <f>F61/1.16</f>
        <v/>
      </c>
      <c r="H61" s="66" t="n">
        <v>2000</v>
      </c>
      <c r="I61" s="74" t="n">
        <v>3.98</v>
      </c>
      <c r="J61" s="74">
        <f>LET(dec, I61-INT(I61), IF(dec&lt;0.1, INT(I61), IF(dec&lt;=0.7, INT(I61)+0.5, INT(I61)+1)))</f>
        <v/>
      </c>
      <c r="K61" s="67" t="n">
        <v>46219</v>
      </c>
      <c r="L61" s="89" t="inlineStr">
        <is>
          <t>SILVANA</t>
        </is>
      </c>
      <c r="M61" s="63" t="n"/>
      <c r="N61" s="63" t="n"/>
      <c r="O61" s="63" t="n"/>
      <c r="P61" s="63" t="n"/>
      <c r="Q61" s="63" t="n"/>
      <c r="R61" s="63" t="inlineStr">
        <is>
          <t>NAHOMI</t>
        </is>
      </c>
      <c r="S61" s="63" t="n"/>
    </row>
    <row r="62">
      <c r="A62" s="63" t="inlineStr">
        <is>
          <t>7663636133611408135</t>
        </is>
      </c>
      <c r="B62" s="83" t="inlineStr">
        <is>
          <t>amora_the_beauty_market</t>
        </is>
      </c>
      <c r="C62" s="91" t="inlineStr">
        <is>
          <t>MX</t>
        </is>
      </c>
      <c r="D62" s="65" t="n">
        <v>91803.83</v>
      </c>
      <c r="E62" s="40">
        <f>D62/1.16</f>
        <v/>
      </c>
      <c r="F62" s="40" t="n">
        <v>22950.96</v>
      </c>
      <c r="G62" s="40">
        <f>F62/1.16</f>
        <v/>
      </c>
      <c r="H62" s="66" t="n">
        <v>2010</v>
      </c>
      <c r="I62" s="74" t="n">
        <v>4</v>
      </c>
      <c r="J62" s="74">
        <f>LET(dec, I62-INT(I62), IF(dec&lt;0.1, INT(I62), IF(dec&lt;=0.7, INT(I62)+0.5, INT(I62)+1)))</f>
        <v/>
      </c>
      <c r="K62" s="67" t="n">
        <v>46220</v>
      </c>
      <c r="L62" s="36" t="inlineStr">
        <is>
          <t>MARCO</t>
        </is>
      </c>
      <c r="M62" s="63" t="n"/>
      <c r="N62" s="63" t="n"/>
      <c r="O62" s="63" t="n"/>
      <c r="P62" s="63" t="n"/>
      <c r="Q62" s="63" t="n"/>
      <c r="R62" s="63" t="inlineStr">
        <is>
          <t>NAHOMI</t>
        </is>
      </c>
      <c r="S62" s="63" t="n"/>
    </row>
    <row r="63">
      <c r="A63" s="63" t="inlineStr">
        <is>
          <t>7664736031144872725</t>
        </is>
      </c>
      <c r="B63" s="83" t="inlineStr">
        <is>
          <t>amora_the_beauty_market</t>
        </is>
      </c>
      <c r="C63" s="91" t="inlineStr">
        <is>
          <t>MX</t>
        </is>
      </c>
      <c r="D63" s="65" t="n">
        <v>65802.56</v>
      </c>
      <c r="E63" s="40">
        <f>D63/1.16</f>
        <v/>
      </c>
      <c r="F63" s="40" t="n">
        <v>16450.64</v>
      </c>
      <c r="G63" s="40">
        <f>F63/1.16</f>
        <v/>
      </c>
      <c r="H63" s="66" t="n">
        <v>1990</v>
      </c>
      <c r="I63" s="74" t="n">
        <v>4</v>
      </c>
      <c r="J63" s="74">
        <f>LET(dec, I63-INT(I63), IF(dec&lt;0.1, INT(I63), IF(dec&lt;=0.7, INT(I63)+0.5, INT(I63)+1)))</f>
        <v/>
      </c>
      <c r="K63" s="67" t="n">
        <v>46223</v>
      </c>
      <c r="L63" s="36" t="inlineStr">
        <is>
          <t>MARCO</t>
        </is>
      </c>
      <c r="M63" s="63" t="n"/>
      <c r="N63" s="63" t="n"/>
      <c r="O63" s="63" t="n"/>
      <c r="P63" s="63" t="n"/>
      <c r="Q63" s="63" t="n"/>
      <c r="R63" s="63" t="inlineStr">
        <is>
          <t>NAHOMI</t>
        </is>
      </c>
      <c r="S63" s="63" t="n"/>
    </row>
    <row r="64">
      <c r="A64" s="63" t="inlineStr">
        <is>
          <t>7665119780311878420</t>
        </is>
      </c>
      <c r="B64" s="83" t="inlineStr">
        <is>
          <t>amora_the_beauty_market</t>
        </is>
      </c>
      <c r="C64" s="91" t="inlineStr">
        <is>
          <t>MX</t>
        </is>
      </c>
      <c r="D64" s="65" t="n">
        <v>43768.53</v>
      </c>
      <c r="E64" s="40">
        <f>D64/1.16</f>
        <v/>
      </c>
      <c r="F64" s="40" t="n">
        <v>10942.13</v>
      </c>
      <c r="G64" s="40">
        <f>F64/1.16</f>
        <v/>
      </c>
      <c r="H64" s="66" t="n">
        <v>1990</v>
      </c>
      <c r="I64" s="74" t="n">
        <v>4</v>
      </c>
      <c r="J64" s="74">
        <f>LET(dec, I64-INT(I64), IF(dec&lt;0.1, INT(I64), IF(dec&lt;=0.7, INT(I64)+0.5, INT(I64)+1)))</f>
        <v/>
      </c>
      <c r="K64" s="67" t="n">
        <v>46224</v>
      </c>
      <c r="L64" s="89" t="inlineStr">
        <is>
          <t>SILVANA</t>
        </is>
      </c>
      <c r="M64" s="63" t="n"/>
      <c r="N64" s="63" t="n"/>
      <c r="O64" s="63" t="n"/>
      <c r="P64" s="63" t="n"/>
      <c r="Q64" s="63" t="n"/>
      <c r="R64" s="63" t="inlineStr">
        <is>
          <t>NAHOMI</t>
        </is>
      </c>
      <c r="S64" s="63" t="n"/>
    </row>
    <row r="65">
      <c r="A65" s="63" t="inlineStr">
        <is>
          <t>7665446455808756498</t>
        </is>
      </c>
      <c r="B65" s="83" t="inlineStr">
        <is>
          <t>amora_the_beauty_market</t>
        </is>
      </c>
      <c r="C65" s="91" t="inlineStr">
        <is>
          <t>MX</t>
        </is>
      </c>
      <c r="D65" s="65" t="n">
        <v>83134.49000000001</v>
      </c>
      <c r="E65" s="40">
        <f>D65/1.16</f>
        <v/>
      </c>
      <c r="F65" s="40" t="n">
        <v>10417.86</v>
      </c>
      <c r="G65" s="40">
        <f>F65/1.16</f>
        <v/>
      </c>
      <c r="H65" s="66" t="n">
        <v>2000</v>
      </c>
      <c r="I65" s="74" t="n">
        <v>7.98</v>
      </c>
      <c r="J65" s="74">
        <f>LET(dec, I65-INT(I65), IF(dec&lt;0.1, INT(I65), IF(dec&lt;=0.7, INT(I65)+0.5, INT(I65)+1)))</f>
        <v/>
      </c>
      <c r="K65" s="67" t="n">
        <v>46225</v>
      </c>
      <c r="L65" s="36" t="inlineStr">
        <is>
          <t>MARCO</t>
        </is>
      </c>
      <c r="M65" s="36" t="n"/>
      <c r="N65" s="36" t="inlineStr">
        <is>
          <t>PAOLA</t>
        </is>
      </c>
      <c r="O65" s="63" t="n"/>
      <c r="P65" s="63" t="n"/>
      <c r="Q65" s="63" t="n"/>
      <c r="R65" s="63" t="inlineStr">
        <is>
          <t>NAHOMI</t>
        </is>
      </c>
      <c r="S65" s="63" t="n"/>
    </row>
    <row r="66">
      <c r="A66" s="63" t="inlineStr">
        <is>
          <t>7665815689437383445</t>
        </is>
      </c>
      <c r="B66" s="83" t="inlineStr">
        <is>
          <t>amora_the_beauty_market</t>
        </is>
      </c>
      <c r="C66" s="91" t="inlineStr">
        <is>
          <t>MX</t>
        </is>
      </c>
      <c r="D66" s="65" t="n">
        <v>81222.00999999999</v>
      </c>
      <c r="E66" s="40">
        <f>D66/1.16</f>
        <v/>
      </c>
      <c r="F66" s="40" t="n">
        <v>10178.2</v>
      </c>
      <c r="G66" s="40">
        <f>F66/1.16</f>
        <v/>
      </c>
      <c r="H66" s="66" t="n">
        <v>2000</v>
      </c>
      <c r="I66" s="74" t="n">
        <v>7.98</v>
      </c>
      <c r="J66" s="74">
        <f>LET(dec, I66-INT(I66), IF(dec&lt;0.1, INT(I66), IF(dec&lt;=0.7, INT(I66)+0.5, INT(I66)+1)))</f>
        <v/>
      </c>
      <c r="K66" s="67" t="n">
        <v>46226</v>
      </c>
      <c r="L66" s="36" t="inlineStr">
        <is>
          <t>PAOLA</t>
        </is>
      </c>
      <c r="M66" s="89" t="n"/>
      <c r="N66" s="89" t="inlineStr">
        <is>
          <t>SILVANA</t>
        </is>
      </c>
      <c r="O66" s="63" t="n"/>
      <c r="P66" s="63" t="n"/>
      <c r="Q66" s="63" t="n"/>
      <c r="R66" s="63" t="inlineStr">
        <is>
          <t>NAHOMI</t>
        </is>
      </c>
      <c r="S66" s="63" t="n"/>
    </row>
    <row r="67">
      <c r="A67" s="63" t="inlineStr">
        <is>
          <t>7666186686343465748</t>
        </is>
      </c>
      <c r="B67" s="83" t="inlineStr">
        <is>
          <t>amora_the_beauty_market</t>
        </is>
      </c>
      <c r="C67" s="91" t="inlineStr">
        <is>
          <t>MX</t>
        </is>
      </c>
      <c r="D67" s="65" t="n">
        <v>93302.58</v>
      </c>
      <c r="E67" s="40">
        <f>D67/1.16</f>
        <v/>
      </c>
      <c r="F67" s="40" t="n">
        <v>11662.82</v>
      </c>
      <c r="G67" s="40">
        <f>F67/1.16</f>
        <v/>
      </c>
      <c r="H67" s="66" t="n">
        <v>2000</v>
      </c>
      <c r="I67" s="74" t="n">
        <v>8</v>
      </c>
      <c r="J67" s="74">
        <f>LET(dec, I67-INT(I67), IF(dec&lt;0.1, INT(I67), IF(dec&lt;=0.7, INT(I67)+0.5, INT(I67)+1)))</f>
        <v/>
      </c>
      <c r="K67" s="67" t="n">
        <v>46227</v>
      </c>
      <c r="L67" s="36" t="inlineStr">
        <is>
          <t>MARCO</t>
        </is>
      </c>
      <c r="M67" s="89" t="n"/>
      <c r="N67" s="89" t="inlineStr">
        <is>
          <t>SILVANA</t>
        </is>
      </c>
      <c r="O67" s="63" t="n"/>
      <c r="P67" s="63" t="n"/>
      <c r="Q67" s="63" t="n"/>
      <c r="R67" s="63" t="inlineStr">
        <is>
          <t>NAHOMI</t>
        </is>
      </c>
      <c r="S67" s="63" t="n"/>
    </row>
    <row r="68">
      <c r="A68" s="63" t="inlineStr">
        <is>
          <t>7666186686343465748</t>
        </is>
      </c>
      <c r="B68" s="83" t="inlineStr">
        <is>
          <t>amora_the_beauty_market</t>
        </is>
      </c>
      <c r="C68" s="91" t="inlineStr">
        <is>
          <t>MX</t>
        </is>
      </c>
      <c r="D68" s="65" t="n">
        <v>49579.9</v>
      </c>
      <c r="E68" s="40">
        <f>D68/1.16</f>
        <v/>
      </c>
      <c r="F68" s="40" t="n">
        <v>12488.64</v>
      </c>
      <c r="G68" s="40">
        <f>F68/1.16</f>
        <v/>
      </c>
      <c r="H68" s="66" t="n">
        <v>1990</v>
      </c>
      <c r="I68" s="74" t="n">
        <v>3.97</v>
      </c>
      <c r="J68" s="74">
        <f>LET(dec, I68-INT(I68), IF(dec&lt;0.1, INT(I68), IF(dec&lt;=0.7, INT(I68)+0.5, INT(I68)+1)))</f>
        <v/>
      </c>
      <c r="K68" s="67" t="n">
        <v>46229</v>
      </c>
      <c r="L68" s="36" t="inlineStr">
        <is>
          <t>PAOLA</t>
        </is>
      </c>
      <c r="M68" s="63" t="n"/>
      <c r="N68" s="63" t="n"/>
      <c r="O68" s="63" t="n"/>
      <c r="P68" s="63" t="n"/>
      <c r="Q68" s="63" t="n"/>
      <c r="R68" s="63" t="inlineStr">
        <is>
          <t>NAHOMI</t>
        </is>
      </c>
      <c r="S68" s="63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56" t="n"/>
      <c r="L69" s="17" t="n"/>
      <c r="M69" s="17" t="n"/>
      <c r="N69" s="17" t="n"/>
      <c r="O69" s="17" t="n"/>
      <c r="P69" s="17" t="n"/>
      <c r="Q69" s="17" t="n"/>
      <c r="R69" s="17" t="n"/>
      <c r="S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56" t="n"/>
      <c r="L70" s="17" t="n"/>
      <c r="M70" s="17" t="n"/>
      <c r="N70" s="17" t="n"/>
      <c r="O70" s="17" t="n"/>
      <c r="P70" s="17" t="n"/>
      <c r="Q70" s="17" t="n"/>
      <c r="R70" s="17" t="n"/>
      <c r="S70" s="17" t="n"/>
    </row>
    <row r="71">
      <c r="A71" s="7" t="inlineStr">
        <is>
          <t>Room ID</t>
        </is>
      </c>
      <c r="B71" s="7" t="inlineStr">
        <is>
          <t>TT Handle</t>
        </is>
      </c>
      <c r="C71" s="7" t="inlineStr">
        <is>
          <t>Country</t>
        </is>
      </c>
      <c r="D71" s="7" t="inlineStr">
        <is>
          <t>GMV</t>
        </is>
      </c>
      <c r="E71" s="7" t="inlineStr">
        <is>
          <t>GMV/sin EVA</t>
        </is>
      </c>
      <c r="F71" s="7" t="inlineStr">
        <is>
          <t>GMV PER HOUR</t>
        </is>
      </c>
      <c r="G71" s="7" t="inlineStr">
        <is>
          <t>GMV PER HOUR/sin EVA</t>
        </is>
      </c>
      <c r="H71" s="7" t="inlineStr">
        <is>
          <t>Ads Cost</t>
        </is>
      </c>
      <c r="I71" s="9" t="inlineStr">
        <is>
          <t>Duration (H)</t>
        </is>
      </c>
      <c r="J71" s="70" t="inlineStr">
        <is>
          <t>Duration （Formula）</t>
        </is>
      </c>
      <c r="K71" s="101" t="inlineStr">
        <is>
          <t>Start date</t>
        </is>
      </c>
      <c r="L71" s="71" t="inlineStr">
        <is>
          <t>HOST1</t>
        </is>
      </c>
      <c r="M71" s="71" t="inlineStr">
        <is>
          <t xml:space="preserve"> </t>
        </is>
      </c>
      <c r="N71" s="71" t="inlineStr">
        <is>
          <t xml:space="preserve">HOST 2 </t>
        </is>
      </c>
      <c r="O71" s="71" t="n"/>
      <c r="P71" s="71" t="inlineStr">
        <is>
          <t xml:space="preserve">HOST 2 </t>
        </is>
      </c>
      <c r="Q71" s="71" t="n"/>
      <c r="R71" s="71" t="inlineStr">
        <is>
          <t>Operator</t>
        </is>
      </c>
      <c r="S71" s="71" t="inlineStr">
        <is>
          <t>Operator</t>
        </is>
      </c>
    </row>
    <row r="72">
      <c r="A72" s="63" t="inlineStr">
        <is>
          <t>7667717367076899604</t>
        </is>
      </c>
      <c r="B72" s="83" t="inlineStr">
        <is>
          <t>amora_the_beauty_market</t>
        </is>
      </c>
      <c r="C72" s="91" t="inlineStr">
        <is>
          <t>MX</t>
        </is>
      </c>
      <c r="D72" s="65" t="n">
        <v>60445</v>
      </c>
      <c r="E72" s="40">
        <f>D72/1.16</f>
        <v/>
      </c>
      <c r="F72" s="52" t="n">
        <v>14992.56</v>
      </c>
      <c r="G72" s="40">
        <f>F72/1.16</f>
        <v/>
      </c>
      <c r="H72" s="66" t="n">
        <v>0</v>
      </c>
      <c r="I72" s="74" t="n">
        <v>4.03</v>
      </c>
      <c r="J72" s="74">
        <f>LET(dec, I72-INT(I72), IF(dec&lt;0.1, INT(I72), IF(dec&lt;=0.7, INT(I72)+0.5, INT(I72)+1)))</f>
        <v/>
      </c>
      <c r="K72" s="67" t="n">
        <v>46231</v>
      </c>
      <c r="L72" s="36" t="inlineStr">
        <is>
          <t>SILVANA</t>
        </is>
      </c>
      <c r="M72" s="63" t="n"/>
      <c r="N72" s="63" t="n"/>
      <c r="O72" s="63" t="n"/>
      <c r="P72" s="63" t="n"/>
      <c r="Q72" s="63" t="n"/>
      <c r="R72" s="63" t="inlineStr">
        <is>
          <t>NAHOMI</t>
        </is>
      </c>
      <c r="S72" s="17" t="n"/>
    </row>
    <row r="73">
      <c r="A73" s="63" t="inlineStr">
        <is>
          <t>7667717367076899604</t>
        </is>
      </c>
      <c r="B73" s="83" t="inlineStr">
        <is>
          <t>amora_the_beauty_market</t>
        </is>
      </c>
      <c r="C73" s="91" t="inlineStr">
        <is>
          <t>MX</t>
        </is>
      </c>
      <c r="D73" s="65" t="n">
        <v>72384</v>
      </c>
      <c r="E73" s="40">
        <f>D73/1.16</f>
        <v/>
      </c>
      <c r="F73" s="52" t="n">
        <v>17930.39</v>
      </c>
      <c r="G73" s="40">
        <f>F73/1.16</f>
        <v/>
      </c>
      <c r="H73" s="66" t="n">
        <v>0</v>
      </c>
      <c r="I73" s="74" t="n">
        <v>4.04</v>
      </c>
      <c r="J73" s="74">
        <f>LET(dec, I73-INT(I73), IF(dec&lt;0.1, INT(I73), IF(dec&lt;=0.7, INT(I73)+0.5, INT(I73)+1)))</f>
        <v/>
      </c>
      <c r="K73" s="67" t="n">
        <v>46232</v>
      </c>
      <c r="L73" s="36" t="inlineStr">
        <is>
          <t>PAOLA LUNA</t>
        </is>
      </c>
      <c r="M73" s="63" t="n"/>
      <c r="N73" s="63" t="n"/>
      <c r="O73" s="63" t="n"/>
      <c r="P73" s="63" t="n"/>
      <c r="Q73" s="63" t="n"/>
      <c r="R73" s="63" t="inlineStr">
        <is>
          <t>GUILLERMO</t>
        </is>
      </c>
      <c r="S73" s="17" t="n"/>
    </row>
    <row r="74">
      <c r="A74" s="63" t="inlineStr">
        <is>
          <t>7668460221132163847</t>
        </is>
      </c>
      <c r="B74" s="83" t="inlineStr">
        <is>
          <t>amora_the_beauty_market</t>
        </is>
      </c>
      <c r="C74" s="91" t="inlineStr">
        <is>
          <t>MX</t>
        </is>
      </c>
      <c r="D74" s="65" t="n">
        <v>62545</v>
      </c>
      <c r="E74" s="40">
        <f>D74/1.16</f>
        <v/>
      </c>
      <c r="F74" s="40" t="n">
        <v>15616.83</v>
      </c>
      <c r="G74" s="40">
        <f>F74/1.16</f>
        <v/>
      </c>
      <c r="H74" s="66" t="n">
        <v>0</v>
      </c>
      <c r="I74" s="74" t="n">
        <v>4</v>
      </c>
      <c r="J74" s="74">
        <f>LET(dec, I74-INT(I74), IF(dec&lt;0.1, INT(I74), IF(dec&lt;=0.7, INT(I74)+0.5, INT(I74)+1)))</f>
        <v/>
      </c>
      <c r="K74" s="67" t="n">
        <v>46233</v>
      </c>
      <c r="L74" s="36" t="inlineStr">
        <is>
          <t>MARCO</t>
        </is>
      </c>
      <c r="M74" s="63" t="n"/>
      <c r="N74" s="63" t="n"/>
      <c r="O74" s="63" t="n"/>
      <c r="P74" s="63" t="n"/>
      <c r="Q74" s="63" t="n"/>
      <c r="R74" s="63" t="inlineStr">
        <is>
          <t>NAHOMI</t>
        </is>
      </c>
      <c r="S74" s="17" t="n"/>
    </row>
    <row r="75">
      <c r="A75" s="63" t="inlineStr">
        <is>
          <t>7668815320791960327</t>
        </is>
      </c>
      <c r="B75" s="83" t="inlineStr">
        <is>
          <t>amora_the_beauty_market</t>
        </is>
      </c>
      <c r="C75" s="91" t="inlineStr">
        <is>
          <t>MX</t>
        </is>
      </c>
      <c r="D75" s="65" t="n">
        <v>82937</v>
      </c>
      <c r="E75" s="40">
        <f>D75/1.16</f>
        <v/>
      </c>
      <c r="F75" s="40" t="n">
        <v>13831.83</v>
      </c>
      <c r="G75" s="40">
        <f>F75/1.16</f>
        <v/>
      </c>
      <c r="H75" s="66" t="n">
        <v>0</v>
      </c>
      <c r="I75" s="74" t="n">
        <v>3</v>
      </c>
      <c r="J75" s="74" t="n">
        <v>3</v>
      </c>
      <c r="K75" s="67" t="n">
        <v>46234</v>
      </c>
      <c r="L75" s="36" t="inlineStr">
        <is>
          <t>PAOLA LUNA</t>
        </is>
      </c>
      <c r="M75" s="63" t="n"/>
      <c r="N75" s="63" t="inlineStr">
        <is>
          <t>MARCO</t>
        </is>
      </c>
      <c r="O75" s="63" t="n"/>
      <c r="P75" s="63" t="n"/>
      <c r="Q75" s="63" t="n"/>
      <c r="R75" s="63" t="inlineStr">
        <is>
          <t>GUILLERMO</t>
        </is>
      </c>
      <c r="S75" s="17" t="n"/>
    </row>
    <row r="76">
      <c r="A76" s="63" t="inlineStr">
        <is>
          <t>7669928827535035154</t>
        </is>
      </c>
      <c r="B76" s="83" t="inlineStr">
        <is>
          <t>amora_the_beauty_market</t>
        </is>
      </c>
      <c r="C76" s="91" t="inlineStr">
        <is>
          <t>MX</t>
        </is>
      </c>
      <c r="D76" s="65" t="n">
        <v>69556</v>
      </c>
      <c r="E76" s="40">
        <f>D76/1.16</f>
        <v/>
      </c>
      <c r="F76" s="40" t="n">
        <v>11625.45</v>
      </c>
      <c r="G76" s="40" t="n">
        <v>11923.99137931035</v>
      </c>
      <c r="H76" s="66" t="n">
        <v>0</v>
      </c>
      <c r="I76" s="74" t="n">
        <v>3</v>
      </c>
      <c r="J76" s="74" t="n">
        <v>3</v>
      </c>
      <c r="K76" s="67" t="n">
        <v>46237</v>
      </c>
      <c r="L76" s="36" t="inlineStr">
        <is>
          <t>PAOLA LUNA</t>
        </is>
      </c>
      <c r="M76" s="63" t="n"/>
      <c r="N76" s="63" t="inlineStr">
        <is>
          <t>MARCO</t>
        </is>
      </c>
      <c r="O76" s="63" t="n"/>
      <c r="P76" s="63" t="n"/>
      <c r="Q76" s="63" t="n"/>
      <c r="R76" s="63" t="inlineStr">
        <is>
          <t>NAHOMI</t>
        </is>
      </c>
      <c r="S76" s="17" t="n"/>
    </row>
    <row r="77">
      <c r="A77" s="63" t="inlineStr">
        <is>
          <t>7670318118534662933</t>
        </is>
      </c>
      <c r="B77" s="83" t="inlineStr">
        <is>
          <t>amora_the_beauty_market</t>
        </is>
      </c>
      <c r="C77" s="91" t="inlineStr">
        <is>
          <t>MX</t>
        </is>
      </c>
      <c r="D77" s="65" t="n">
        <v>60181</v>
      </c>
      <c r="E77" s="40">
        <f>D77/1.16</f>
        <v/>
      </c>
      <c r="F77" s="40" t="n">
        <v>15040</v>
      </c>
      <c r="G77" s="40">
        <f>F77/1.16</f>
        <v/>
      </c>
      <c r="H77" s="66" t="n">
        <v>0</v>
      </c>
      <c r="I77" s="74" t="n">
        <v>1.5</v>
      </c>
      <c r="J77" s="74" t="n">
        <v>1.5</v>
      </c>
      <c r="K77" s="67" t="n">
        <v>46238</v>
      </c>
      <c r="L77" s="36" t="inlineStr">
        <is>
          <t>MARCO</t>
        </is>
      </c>
      <c r="M77" s="63" t="n"/>
      <c r="N77" s="63" t="n"/>
      <c r="O77" s="63" t="n"/>
      <c r="P77" s="63" t="n"/>
      <c r="Q77" s="63" t="n"/>
      <c r="R77" s="63" t="inlineStr">
        <is>
          <t>NAHOMI</t>
        </is>
      </c>
      <c r="S77" s="17" t="n"/>
    </row>
    <row r="78">
      <c r="A78" s="63" t="inlineStr">
        <is>
          <t>7670685944816028437</t>
        </is>
      </c>
      <c r="B78" s="83" t="inlineStr">
        <is>
          <t>amora_the_beauty_market</t>
        </is>
      </c>
      <c r="C78" s="91" t="inlineStr">
        <is>
          <t>MX</t>
        </is>
      </c>
      <c r="D78" s="65" t="n">
        <v>33576</v>
      </c>
      <c r="E78" s="40">
        <f>D78/1.16</f>
        <v/>
      </c>
      <c r="F78" s="52" t="n">
        <v>8396.92</v>
      </c>
      <c r="G78" s="40">
        <f>F78/1.16</f>
        <v/>
      </c>
      <c r="H78" s="66" t="n">
        <v>0</v>
      </c>
      <c r="I78" s="74" t="n">
        <v>4</v>
      </c>
      <c r="J78" s="74" t="n">
        <v>4</v>
      </c>
      <c r="K78" s="67" t="n">
        <v>46239</v>
      </c>
      <c r="L78" s="36" t="inlineStr">
        <is>
          <t>PAOLA LUNA</t>
        </is>
      </c>
      <c r="M78" s="63" t="n"/>
      <c r="N78" s="63" t="n"/>
      <c r="O78" s="63" t="n"/>
      <c r="P78" s="63" t="n"/>
      <c r="Q78" s="63" t="n"/>
      <c r="R78" s="63" t="inlineStr">
        <is>
          <t>NAHOMI</t>
        </is>
      </c>
      <c r="S78" s="17" t="n"/>
    </row>
    <row r="79">
      <c r="A79" s="63" t="inlineStr">
        <is>
          <t>7671057031923305237</t>
        </is>
      </c>
      <c r="B79" s="83" t="inlineStr">
        <is>
          <t>amora_the_beauty_market</t>
        </is>
      </c>
      <c r="C79" s="91" t="inlineStr">
        <is>
          <t>MX</t>
        </is>
      </c>
      <c r="D79" s="65" t="n">
        <v>48021</v>
      </c>
      <c r="E79" s="40">
        <f>D79/1.16</f>
        <v/>
      </c>
      <c r="F79" s="52" t="n">
        <v>12011.09</v>
      </c>
      <c r="G79" s="40">
        <f>F79/1.16</f>
        <v/>
      </c>
      <c r="H79" s="66" t="n">
        <v>0</v>
      </c>
      <c r="I79" s="74" t="n">
        <v>4</v>
      </c>
      <c r="J79" s="74" t="n">
        <v>4</v>
      </c>
      <c r="K79" s="67" t="n">
        <v>46240</v>
      </c>
      <c r="L79" s="36" t="inlineStr">
        <is>
          <t>JORGE DURAN</t>
        </is>
      </c>
      <c r="M79" s="63" t="n"/>
      <c r="N79" s="63" t="n"/>
      <c r="O79" s="63" t="n"/>
      <c r="P79" s="63" t="n"/>
      <c r="Q79" s="63" t="n"/>
      <c r="R79" s="63" t="inlineStr">
        <is>
          <t>NAHOMI</t>
        </is>
      </c>
      <c r="S79" s="17" t="n"/>
    </row>
    <row r="80">
      <c r="A80" s="63" t="inlineStr">
        <is>
          <t>7671428331736173332</t>
        </is>
      </c>
      <c r="B80" s="83" t="inlineStr">
        <is>
          <t>amora_the_beauty_market</t>
        </is>
      </c>
      <c r="C80" s="91" t="inlineStr">
        <is>
          <t>MX</t>
        </is>
      </c>
      <c r="D80" s="65" t="n">
        <v>61393</v>
      </c>
      <c r="E80" s="40">
        <f>D80/1.16</f>
        <v/>
      </c>
      <c r="F80" s="52" t="n">
        <v>15329.09</v>
      </c>
      <c r="G80" s="40">
        <f>F80/1.16</f>
        <v/>
      </c>
      <c r="H80" s="66" t="n">
        <v>2980</v>
      </c>
      <c r="I80" s="74" t="n">
        <v>4</v>
      </c>
      <c r="J80" s="74" t="n">
        <v>4</v>
      </c>
      <c r="K80" s="67" t="n">
        <v>46241</v>
      </c>
      <c r="L80" s="36" t="inlineStr">
        <is>
          <t>PAOLA LUNA</t>
        </is>
      </c>
      <c r="M80" s="63" t="n"/>
      <c r="N80" s="63" t="n"/>
      <c r="O80" s="63" t="n"/>
      <c r="P80" s="63" t="n"/>
      <c r="Q80" s="63" t="n"/>
      <c r="R80" s="63" t="inlineStr">
        <is>
          <t>NAHOMI</t>
        </is>
      </c>
      <c r="S80" s="17" t="n"/>
    </row>
    <row r="81">
      <c r="A81" s="63" t="inlineStr">
        <is>
          <t>7672541702162369287</t>
        </is>
      </c>
      <c r="B81" s="83" t="inlineStr">
        <is>
          <t>amora_the_beauty_market</t>
        </is>
      </c>
      <c r="C81" s="91" t="inlineStr">
        <is>
          <t>MX</t>
        </is>
      </c>
      <c r="D81" s="65" t="n">
        <v>76321</v>
      </c>
      <c r="E81" s="40">
        <f>D81/1.16</f>
        <v/>
      </c>
      <c r="F81" s="52" t="n">
        <v>19102.8</v>
      </c>
      <c r="G81" s="40">
        <f>F81/1.16</f>
        <v/>
      </c>
      <c r="H81" s="66" t="n">
        <v>2990</v>
      </c>
      <c r="I81" s="74" t="n">
        <v>4</v>
      </c>
      <c r="J81" s="74" t="n">
        <v>4</v>
      </c>
      <c r="K81" s="67" t="n">
        <v>46244</v>
      </c>
      <c r="L81" s="36" t="inlineStr">
        <is>
          <t>PAOLA LUNA</t>
        </is>
      </c>
      <c r="M81" s="63" t="n"/>
      <c r="N81" s="63" t="n"/>
      <c r="O81" s="63" t="n"/>
      <c r="P81" s="63" t="n"/>
      <c r="Q81" s="63" t="n"/>
      <c r="R81" s="63" t="inlineStr">
        <is>
          <t>NAHOMI</t>
        </is>
      </c>
      <c r="S81" s="17" t="n"/>
    </row>
    <row r="82">
      <c r="A82" s="63" t="inlineStr">
        <is>
          <t>7673283664756181780</t>
        </is>
      </c>
      <c r="B82" s="83" t="inlineStr">
        <is>
          <t>amora_the_beauty_market</t>
        </is>
      </c>
      <c r="C82" s="91" t="inlineStr">
        <is>
          <t>MX</t>
        </is>
      </c>
      <c r="D82" s="65" t="n">
        <v>75358</v>
      </c>
      <c r="E82" s="40">
        <f>D82/1.16</f>
        <v/>
      </c>
      <c r="F82" s="52" t="n">
        <v>18779.51</v>
      </c>
      <c r="G82" s="40">
        <f>F82/1.16</f>
        <v/>
      </c>
      <c r="H82" s="66" t="n">
        <v>2990</v>
      </c>
      <c r="I82" s="74" t="n">
        <v>4.01</v>
      </c>
      <c r="J82" s="74" t="n">
        <v>4.01</v>
      </c>
      <c r="K82" s="67" t="n">
        <v>46246</v>
      </c>
      <c r="L82" s="36" t="inlineStr">
        <is>
          <t>PAOLA LUNA</t>
        </is>
      </c>
      <c r="M82" s="63" t="n"/>
      <c r="N82" s="63" t="n"/>
      <c r="O82" s="63" t="n"/>
      <c r="P82" s="63" t="n"/>
      <c r="Q82" s="63" t="n"/>
      <c r="R82" s="63" t="inlineStr">
        <is>
          <t>NAHOMI</t>
        </is>
      </c>
      <c r="S82" s="17" t="n"/>
    </row>
    <row r="83">
      <c r="A83" s="63" t="inlineStr">
        <is>
          <t>7673657961584478997</t>
        </is>
      </c>
      <c r="B83" s="83" t="inlineStr">
        <is>
          <t>amora_the_beauty_market</t>
        </is>
      </c>
      <c r="C83" s="91" t="inlineStr">
        <is>
          <t>MX</t>
        </is>
      </c>
      <c r="D83" s="65" t="n">
        <v>62950</v>
      </c>
      <c r="E83" s="40">
        <f>D83/1.16</f>
        <v/>
      </c>
      <c r="F83" s="52" t="n">
        <v>15791.23</v>
      </c>
      <c r="G83" s="40">
        <f>F83/1.16</f>
        <v/>
      </c>
      <c r="H83" s="66" t="n">
        <v>3000</v>
      </c>
      <c r="I83" s="74" t="n">
        <v>3.99</v>
      </c>
      <c r="J83" s="74" t="n">
        <v>3.99</v>
      </c>
      <c r="K83" s="67" t="n">
        <v>46247</v>
      </c>
      <c r="L83" s="36" t="inlineStr">
        <is>
          <t>PAOLA LUNA</t>
        </is>
      </c>
      <c r="M83" s="36" t="n"/>
      <c r="N83" s="36" t="inlineStr">
        <is>
          <t>JORGE HERRERA</t>
        </is>
      </c>
      <c r="O83" s="63" t="n"/>
      <c r="P83" s="63" t="n"/>
      <c r="Q83" s="63" t="n"/>
      <c r="R83" s="63" t="inlineStr">
        <is>
          <t>NAHOMI</t>
        </is>
      </c>
      <c r="S83" s="17" t="n"/>
    </row>
    <row r="84">
      <c r="A84" s="63" t="inlineStr">
        <is>
          <t>7674026014483401492</t>
        </is>
      </c>
      <c r="B84" s="83" t="inlineStr">
        <is>
          <t>amora_the_beauty_market</t>
        </is>
      </c>
      <c r="C84" s="91" t="inlineStr">
        <is>
          <t>MX</t>
        </is>
      </c>
      <c r="D84" s="65" t="n">
        <v>70177</v>
      </c>
      <c r="E84" s="40">
        <f>D84/1.16</f>
        <v/>
      </c>
      <c r="F84" s="52" t="n">
        <v>17533.29</v>
      </c>
      <c r="G84" s="40">
        <f>F84/1.16</f>
        <v/>
      </c>
      <c r="H84" s="66" t="n">
        <v>2990</v>
      </c>
      <c r="I84" s="74" t="n">
        <v>4</v>
      </c>
      <c r="J84" s="74" t="n">
        <v>4</v>
      </c>
      <c r="K84" s="67" t="n">
        <v>46248</v>
      </c>
      <c r="L84" s="36" t="inlineStr">
        <is>
          <t>PAOLA LUNA</t>
        </is>
      </c>
      <c r="M84" s="63" t="n"/>
      <c r="N84" s="63" t="n"/>
      <c r="O84" s="63" t="n"/>
      <c r="P84" s="63" t="n"/>
      <c r="Q84" s="63" t="n"/>
      <c r="R84" s="63" t="inlineStr">
        <is>
          <t>NAHOMI</t>
        </is>
      </c>
      <c r="S84" s="17" t="n"/>
    </row>
    <row r="85">
      <c r="A85" s="63" t="inlineStr">
        <is>
          <t>7674296238623542024</t>
        </is>
      </c>
      <c r="B85" s="83" t="inlineStr">
        <is>
          <t>amora_the_beauty_market</t>
        </is>
      </c>
      <c r="C85" s="91" t="inlineStr">
        <is>
          <t>MX</t>
        </is>
      </c>
      <c r="D85" s="65" t="n">
        <v>98585</v>
      </c>
      <c r="E85" s="40">
        <f>D85/1.16</f>
        <v/>
      </c>
      <c r="F85" s="52" t="n">
        <v>17930.88</v>
      </c>
      <c r="G85" s="40">
        <f>F85/1.16</f>
        <v/>
      </c>
      <c r="H85" s="66" t="n">
        <v>3990</v>
      </c>
      <c r="I85" s="74" t="n">
        <v>5.5</v>
      </c>
      <c r="J85" s="74" t="n">
        <v>5.5</v>
      </c>
      <c r="K85" s="67" t="n">
        <v>46249</v>
      </c>
      <c r="L85" s="36" t="inlineStr">
        <is>
          <t>JORGE HERRERA</t>
        </is>
      </c>
      <c r="M85" s="63" t="n"/>
      <c r="N85" s="63" t="n"/>
      <c r="O85" s="63" t="n"/>
      <c r="P85" s="63" t="n"/>
      <c r="Q85" s="63" t="n"/>
      <c r="R85" s="63" t="inlineStr">
        <is>
          <t>NAHOMI</t>
        </is>
      </c>
      <c r="S85" s="17" t="n"/>
    </row>
    <row r="86">
      <c r="A86" s="63" t="inlineStr">
        <is>
          <t>7675138854584961800</t>
        </is>
      </c>
      <c r="B86" s="83" t="inlineStr">
        <is>
          <t>amora_the_beauty_market</t>
        </is>
      </c>
      <c r="C86" s="91" t="inlineStr">
        <is>
          <t>MX</t>
        </is>
      </c>
      <c r="D86" s="65" t="n">
        <v>93673</v>
      </c>
      <c r="E86" s="40">
        <f>D86/1.16</f>
        <v/>
      </c>
      <c r="F86" s="52" t="n">
        <v>23413.3</v>
      </c>
      <c r="G86" s="40">
        <f>F86/1.16</f>
        <v/>
      </c>
      <c r="H86" s="66" t="n">
        <v>2990.28</v>
      </c>
      <c r="I86" s="74" t="n">
        <v>4</v>
      </c>
      <c r="J86" s="74" t="n">
        <v>4</v>
      </c>
      <c r="K86" s="67" t="n">
        <v>46251</v>
      </c>
      <c r="L86" s="36" t="inlineStr">
        <is>
          <t>PAOLA LUNA</t>
        </is>
      </c>
      <c r="M86" s="63" t="n"/>
      <c r="N86" s="63" t="n"/>
      <c r="O86" s="63" t="n"/>
      <c r="P86" s="63" t="n"/>
      <c r="Q86" s="63" t="n"/>
      <c r="R86" s="63" t="inlineStr">
        <is>
          <t>NAHOMI</t>
        </is>
      </c>
      <c r="S86" s="17" t="n"/>
    </row>
    <row r="87">
      <c r="A87" s="63" t="inlineStr">
        <is>
          <t>7675528514270038791</t>
        </is>
      </c>
      <c r="B87" s="83" t="inlineStr">
        <is>
          <t>amora_the_beauty_market</t>
        </is>
      </c>
      <c r="C87" s="91" t="inlineStr">
        <is>
          <t>MX</t>
        </is>
      </c>
      <c r="D87" s="65" t="n">
        <v>298068</v>
      </c>
      <c r="E87" s="40">
        <f>D87/1.16</f>
        <v/>
      </c>
      <c r="F87" s="52" t="n">
        <v>74724.49000000001</v>
      </c>
      <c r="G87" s="40">
        <f>F87/1.16</f>
        <v/>
      </c>
      <c r="H87" s="66" t="n">
        <v>3989.72</v>
      </c>
      <c r="I87" s="74" t="n">
        <v>4</v>
      </c>
      <c r="J87" s="74" t="n">
        <v>4</v>
      </c>
      <c r="K87" s="67" t="n">
        <v>46252</v>
      </c>
      <c r="L87" s="36" t="inlineStr">
        <is>
          <t>JORGE HERRERA</t>
        </is>
      </c>
      <c r="M87" s="36" t="n"/>
      <c r="N87" s="36" t="inlineStr">
        <is>
          <t>JORGE DURAN</t>
        </is>
      </c>
      <c r="O87" s="63" t="n"/>
      <c r="P87" s="63" t="n"/>
      <c r="Q87" s="63" t="n"/>
      <c r="R87" s="63" t="inlineStr">
        <is>
          <t>NAHOMI</t>
        </is>
      </c>
      <c r="S87" s="17" t="n"/>
    </row>
    <row r="88">
      <c r="A88" s="63" t="inlineStr">
        <is>
          <t>7675881359571471112</t>
        </is>
      </c>
      <c r="B88" s="83" t="inlineStr">
        <is>
          <t>amora_the_beauty_market</t>
        </is>
      </c>
      <c r="C88" s="91" t="inlineStr">
        <is>
          <t>MX</t>
        </is>
      </c>
      <c r="D88" s="65" t="n">
        <v>89829</v>
      </c>
      <c r="E88" s="40">
        <f>D88/1.16</f>
        <v/>
      </c>
      <c r="F88" s="52" t="n">
        <v>22504.05</v>
      </c>
      <c r="G88" s="40">
        <f>F88/1.16</f>
        <v/>
      </c>
      <c r="H88" s="66" t="n">
        <v>3017.94</v>
      </c>
      <c r="I88" s="74" t="n">
        <v>4</v>
      </c>
      <c r="J88" s="74" t="n">
        <v>4</v>
      </c>
      <c r="K88" s="67" t="n">
        <v>46253</v>
      </c>
      <c r="L88" s="36" t="inlineStr">
        <is>
          <t>SILVANA</t>
        </is>
      </c>
      <c r="M88" s="63" t="n"/>
      <c r="N88" s="63" t="n"/>
      <c r="O88" s="63" t="n"/>
      <c r="P88" s="63" t="n"/>
      <c r="Q88" s="63" t="n"/>
      <c r="R88" s="63" t="inlineStr">
        <is>
          <t>NAHOMI</t>
        </is>
      </c>
      <c r="S88" s="17" t="n"/>
    </row>
    <row r="89">
      <c r="A89" s="63" t="inlineStr">
        <is>
          <t>7676252438315797269</t>
        </is>
      </c>
      <c r="B89" s="83" t="inlineStr">
        <is>
          <t>amora_the_beauty_market</t>
        </is>
      </c>
      <c r="C89" s="91" t="inlineStr">
        <is>
          <t>MX</t>
        </is>
      </c>
      <c r="D89" s="65" t="n">
        <v>98018</v>
      </c>
      <c r="E89" s="40">
        <f>D89/1.16</f>
        <v/>
      </c>
      <c r="F89" s="52" t="n">
        <v>24429.97</v>
      </c>
      <c r="G89" s="40">
        <f>F89/1.16</f>
        <v/>
      </c>
      <c r="H89" s="66" t="n">
        <v>3027.76</v>
      </c>
      <c r="I89" s="74" t="n">
        <v>4</v>
      </c>
      <c r="J89" s="74" t="n">
        <v>4</v>
      </c>
      <c r="K89" s="67" t="n">
        <v>46254</v>
      </c>
      <c r="L89" s="36" t="inlineStr">
        <is>
          <t>PAOLA LUNA</t>
        </is>
      </c>
      <c r="M89" s="63" t="n"/>
      <c r="N89" s="63" t="n"/>
      <c r="O89" s="63" t="n"/>
      <c r="P89" s="63" t="n"/>
      <c r="Q89" s="63" t="n"/>
      <c r="R89" s="63" t="inlineStr">
        <is>
          <t>NAHOMI</t>
        </is>
      </c>
      <c r="S89" s="17" t="n"/>
    </row>
    <row r="90">
      <c r="A90" s="63" t="inlineStr">
        <is>
          <t>7676623417253333780</t>
        </is>
      </c>
      <c r="B90" s="83" t="inlineStr">
        <is>
          <t>amora_the_beauty_market</t>
        </is>
      </c>
      <c r="C90" s="91" t="inlineStr">
        <is>
          <t>MX</t>
        </is>
      </c>
      <c r="D90" s="65" t="n">
        <v>96048</v>
      </c>
      <c r="E90" s="40">
        <f>D90/1.16</f>
        <v/>
      </c>
      <c r="F90" s="52" t="n">
        <v>23975.3</v>
      </c>
      <c r="G90" s="40">
        <f>F90/1.16</f>
        <v/>
      </c>
      <c r="H90" s="66" t="n">
        <v>3001.87</v>
      </c>
      <c r="I90" s="74" t="n">
        <v>4</v>
      </c>
      <c r="J90" s="74" t="n">
        <v>4</v>
      </c>
      <c r="K90" s="67" t="n">
        <v>46255</v>
      </c>
      <c r="L90" s="36" t="inlineStr">
        <is>
          <t>SILVANA</t>
        </is>
      </c>
      <c r="M90" s="63" t="n"/>
      <c r="N90" s="63" t="n"/>
      <c r="O90" s="63" t="n"/>
      <c r="P90" s="63" t="n"/>
      <c r="Q90" s="63" t="n"/>
      <c r="R90" s="63" t="inlineStr">
        <is>
          <t>NAHOMI</t>
        </is>
      </c>
      <c r="S90" s="17" t="n"/>
    </row>
    <row r="91">
      <c r="A91" s="63" t="inlineStr">
        <is>
          <t>7677736445783640840</t>
        </is>
      </c>
      <c r="B91" s="83" t="inlineStr">
        <is>
          <t>amora_the_beauty_market</t>
        </is>
      </c>
      <c r="C91" s="91" t="inlineStr">
        <is>
          <t>MX</t>
        </is>
      </c>
      <c r="D91" s="65" t="n">
        <v>52633</v>
      </c>
      <c r="E91" s="40">
        <f>D91/1.16</f>
        <v/>
      </c>
      <c r="F91" s="52" t="n">
        <v>13156.5</v>
      </c>
      <c r="G91" s="40">
        <f>F91/1.16</f>
        <v/>
      </c>
      <c r="H91" s="66" t="n">
        <v>3011.26</v>
      </c>
      <c r="I91" s="74" t="n">
        <v>4</v>
      </c>
      <c r="J91" s="74" t="n">
        <v>4</v>
      </c>
      <c r="K91" s="67" t="n">
        <v>46258</v>
      </c>
      <c r="L91" s="36" t="inlineStr">
        <is>
          <t>SILVANA</t>
        </is>
      </c>
      <c r="M91" s="63" t="n"/>
      <c r="N91" s="63" t="n"/>
      <c r="O91" s="63" t="n"/>
      <c r="P91" s="63" t="n"/>
      <c r="Q91" s="63" t="n"/>
      <c r="R91" s="63" t="inlineStr">
        <is>
          <t>NAHOMI</t>
        </is>
      </c>
      <c r="S91" s="17" t="n"/>
    </row>
    <row r="92">
      <c r="A92" s="63" t="inlineStr">
        <is>
          <t>7678110028963793682</t>
        </is>
      </c>
      <c r="B92" s="83" t="inlineStr">
        <is>
          <t>amora_the_beauty_market</t>
        </is>
      </c>
      <c r="C92" s="91" t="inlineStr">
        <is>
          <t>MX</t>
        </is>
      </c>
      <c r="D92" s="65" t="n">
        <v>95091</v>
      </c>
      <c r="E92" s="40">
        <f>D92/1.16</f>
        <v/>
      </c>
      <c r="F92" s="52" t="n">
        <v>23746.25</v>
      </c>
      <c r="G92" s="40">
        <f>F92/1.16</f>
        <v/>
      </c>
      <c r="H92" s="66" t="n">
        <v>3007.1</v>
      </c>
      <c r="I92" s="74" t="n">
        <v>4</v>
      </c>
      <c r="J92" s="74" t="n">
        <v>4</v>
      </c>
      <c r="K92" s="67" t="n">
        <v>46259</v>
      </c>
      <c r="L92" s="36" t="inlineStr">
        <is>
          <t>PAOLA LUNA</t>
        </is>
      </c>
      <c r="M92" s="63" t="n"/>
      <c r="N92" s="63" t="n"/>
      <c r="O92" s="63" t="n"/>
      <c r="P92" s="63" t="n"/>
      <c r="Q92" s="63" t="n"/>
      <c r="R92" s="63" t="inlineStr">
        <is>
          <t>NAHOMI</t>
        </is>
      </c>
      <c r="S92" s="17" t="n"/>
    </row>
    <row r="93">
      <c r="A93" s="63" t="inlineStr">
        <is>
          <t>7678478860993678087</t>
        </is>
      </c>
      <c r="B93" s="83" t="inlineStr">
        <is>
          <t>amora_the_beauty_market</t>
        </is>
      </c>
      <c r="C93" s="91" t="inlineStr">
        <is>
          <t>MX</t>
        </is>
      </c>
      <c r="D93" s="65" t="n">
        <v>104960</v>
      </c>
      <c r="E93" s="40">
        <f>D93/1.16</f>
        <v/>
      </c>
      <c r="F93" s="52" t="n">
        <v>26234.56</v>
      </c>
      <c r="G93" s="40">
        <f>F93/1.16</f>
        <v/>
      </c>
      <c r="H93" s="66" t="n">
        <v>3001.56</v>
      </c>
      <c r="I93" s="74" t="n">
        <v>4</v>
      </c>
      <c r="J93" s="74" t="n">
        <v>4</v>
      </c>
      <c r="K93" s="67" t="n">
        <v>46260</v>
      </c>
      <c r="L93" s="36" t="inlineStr">
        <is>
          <t>PAOLA LUNA</t>
        </is>
      </c>
      <c r="M93" s="63" t="n"/>
      <c r="N93" s="63" t="n"/>
      <c r="O93" s="63" t="n"/>
      <c r="P93" s="63" t="n"/>
      <c r="Q93" s="63" t="n"/>
      <c r="R93" s="63" t="inlineStr">
        <is>
          <t>NAHOMI</t>
        </is>
      </c>
      <c r="S93" s="17" t="n"/>
    </row>
    <row r="94">
      <c r="A94" s="63" t="inlineStr">
        <is>
          <t>7678850090661104405</t>
        </is>
      </c>
      <c r="B94" s="83" t="inlineStr">
        <is>
          <t>amora_the_beauty_market</t>
        </is>
      </c>
      <c r="C94" s="91" t="inlineStr">
        <is>
          <t>MX</t>
        </is>
      </c>
      <c r="D94" s="65" t="n">
        <v>72884</v>
      </c>
      <c r="E94" s="40">
        <f>D94/1.16</f>
        <v/>
      </c>
      <c r="F94" s="52" t="n">
        <v>18275.47</v>
      </c>
      <c r="G94" s="40">
        <f>F94/1.16</f>
        <v/>
      </c>
      <c r="H94" s="66" t="n">
        <v>3003.6</v>
      </c>
      <c r="I94" s="74" t="n">
        <v>4</v>
      </c>
      <c r="J94" s="74" t="n">
        <v>4</v>
      </c>
      <c r="K94" s="67" t="n">
        <v>46261</v>
      </c>
      <c r="L94" s="36" t="inlineStr">
        <is>
          <t>SILVANA</t>
        </is>
      </c>
      <c r="M94" s="63" t="n"/>
      <c r="N94" s="63" t="n"/>
      <c r="O94" s="63" t="n"/>
      <c r="P94" s="63" t="n"/>
      <c r="Q94" s="63" t="n"/>
      <c r="R94" s="63" t="inlineStr">
        <is>
          <t>NAHOMI</t>
        </is>
      </c>
      <c r="S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56" t="n"/>
      <c r="L95" s="17" t="n"/>
      <c r="M95" s="17" t="n"/>
      <c r="N95" s="17" t="n"/>
      <c r="O95" s="17" t="n"/>
      <c r="P95" s="17" t="n"/>
      <c r="Q95" s="17" t="n"/>
      <c r="R95" s="17" t="n"/>
      <c r="S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56" t="n"/>
      <c r="L96" s="17" t="n"/>
      <c r="M96" s="17" t="n"/>
      <c r="N96" s="17" t="n"/>
      <c r="O96" s="17" t="n"/>
      <c r="P96" s="17" t="n"/>
      <c r="Q96" s="17" t="n"/>
      <c r="R96" s="17" t="n"/>
      <c r="S96" s="17" t="n"/>
    </row>
    <row r="97">
      <c r="A97" s="7" t="inlineStr">
        <is>
          <t>Room ID</t>
        </is>
      </c>
      <c r="B97" s="7" t="inlineStr">
        <is>
          <t>TT Handle</t>
        </is>
      </c>
      <c r="C97" s="7" t="inlineStr">
        <is>
          <t>Country</t>
        </is>
      </c>
      <c r="D97" s="7" t="inlineStr">
        <is>
          <t>GMV</t>
        </is>
      </c>
      <c r="E97" s="7" t="inlineStr">
        <is>
          <t>GMV/sin EVA</t>
        </is>
      </c>
      <c r="F97" s="7" t="inlineStr">
        <is>
          <t>GMV PER HOUR</t>
        </is>
      </c>
      <c r="G97" s="7" t="inlineStr">
        <is>
          <t>GMV PER HOUR/sin EVA</t>
        </is>
      </c>
      <c r="H97" s="7" t="inlineStr">
        <is>
          <t>Ads Cost</t>
        </is>
      </c>
      <c r="I97" s="9" t="inlineStr">
        <is>
          <t>Duration (H)</t>
        </is>
      </c>
      <c r="J97" s="70" t="inlineStr">
        <is>
          <t>Duration （Formula）</t>
        </is>
      </c>
      <c r="K97" s="101" t="inlineStr">
        <is>
          <t>Start date</t>
        </is>
      </c>
      <c r="L97" s="71" t="inlineStr">
        <is>
          <t>HOST1</t>
        </is>
      </c>
      <c r="M97" s="71" t="inlineStr">
        <is>
          <t>Hours</t>
        </is>
      </c>
      <c r="N97" s="71" t="inlineStr">
        <is>
          <t xml:space="preserve">HOST 2 </t>
        </is>
      </c>
      <c r="O97" s="71" t="inlineStr">
        <is>
          <t>Hours</t>
        </is>
      </c>
      <c r="P97" s="71" t="inlineStr">
        <is>
          <t>HOST 3</t>
        </is>
      </c>
      <c r="Q97" s="71" t="inlineStr">
        <is>
          <t>Hours</t>
        </is>
      </c>
      <c r="R97" s="71" t="inlineStr">
        <is>
          <t>Operator</t>
        </is>
      </c>
      <c r="S97" s="71" t="inlineStr">
        <is>
          <t>Operator</t>
        </is>
      </c>
    </row>
    <row r="98">
      <c r="A98" s="63" t="inlineStr">
        <is>
          <t>7679221105565551381</t>
        </is>
      </c>
      <c r="B98" s="83" t="inlineStr">
        <is>
          <t>amora_the_beauty_market</t>
        </is>
      </c>
      <c r="C98" s="91" t="inlineStr">
        <is>
          <t>MX</t>
        </is>
      </c>
      <c r="D98" s="65" t="n">
        <v>83217.28999999999</v>
      </c>
      <c r="E98" s="40">
        <f>D98/1.16</f>
        <v/>
      </c>
      <c r="F98" s="52">
        <f>D98/J98</f>
        <v/>
      </c>
      <c r="G98" s="40">
        <f>F98/1.16</f>
        <v/>
      </c>
      <c r="H98" s="66" t="n">
        <v>3014</v>
      </c>
      <c r="I98" s="74" t="n">
        <v>4.02</v>
      </c>
      <c r="J98" s="74">
        <f>LET(dec, I98-INT(I98), IF(dec&lt;0.1, INT(I98), IF(dec&lt;=0.7, INT(I98)+0.5, INT(I98)+1)))</f>
        <v/>
      </c>
      <c r="K98" s="67" t="n">
        <v>46262</v>
      </c>
      <c r="L98" s="36" t="inlineStr">
        <is>
          <t>SILVANA</t>
        </is>
      </c>
      <c r="M98" s="63" t="n">
        <v>4</v>
      </c>
      <c r="N98" s="63" t="n"/>
      <c r="O98" s="63" t="n"/>
      <c r="P98" s="63" t="n"/>
      <c r="Q98" s="63" t="n"/>
      <c r="R98" s="63" t="inlineStr">
        <is>
          <t>NAHOMI</t>
        </is>
      </c>
      <c r="S98" s="17" t="n"/>
    </row>
    <row r="99">
      <c r="A99" s="63" t="inlineStr">
        <is>
          <t>7679592076413684501</t>
        </is>
      </c>
      <c r="B99" s="83" t="inlineStr">
        <is>
          <t>amora_the_beauty_market</t>
        </is>
      </c>
      <c r="C99" s="91" t="inlineStr">
        <is>
          <t>MX</t>
        </is>
      </c>
      <c r="D99" s="65" t="n">
        <v>95013.77</v>
      </c>
      <c r="E99" s="40">
        <f>D99/1.16</f>
        <v/>
      </c>
      <c r="F99" s="52">
        <f>D99/J99</f>
        <v/>
      </c>
      <c r="G99" s="40">
        <f>F99/1.16</f>
        <v/>
      </c>
      <c r="H99" s="66" t="n">
        <v>2990</v>
      </c>
      <c r="I99" s="74" t="n">
        <v>4.04</v>
      </c>
      <c r="J99" s="74">
        <f>LET(dec, I99-INT(I99), IF(dec&lt;0.1, INT(I99), IF(dec&lt;=0.7, INT(I99)+0.5, INT(I99)+1)))</f>
        <v/>
      </c>
      <c r="K99" s="67" t="n">
        <v>46263</v>
      </c>
      <c r="L99" s="36" t="inlineStr">
        <is>
          <t>PAOLA LUNA</t>
        </is>
      </c>
      <c r="M99" s="63" t="n">
        <v>4</v>
      </c>
      <c r="N99" s="63" t="n"/>
      <c r="O99" s="63" t="n"/>
      <c r="P99" s="63" t="n"/>
      <c r="Q99" s="63" t="n"/>
      <c r="R99" s="38" t="inlineStr">
        <is>
          <t>RODRIGO LOPEZ</t>
        </is>
      </c>
      <c r="S99" s="17" t="n"/>
    </row>
    <row r="100">
      <c r="A100" s="63" t="inlineStr">
        <is>
          <t>7680319231514938132</t>
        </is>
      </c>
      <c r="B100" s="83" t="inlineStr">
        <is>
          <t>amora_the_beauty_market</t>
        </is>
      </c>
      <c r="C100" s="91" t="inlineStr">
        <is>
          <t>MX</t>
        </is>
      </c>
      <c r="D100" s="65" t="n">
        <v>184669.09</v>
      </c>
      <c r="E100" s="40">
        <f>D100/1.16</f>
        <v/>
      </c>
      <c r="F100" s="52">
        <f>D100/J100</f>
        <v/>
      </c>
      <c r="G100" s="40">
        <f>F100/1.16</f>
        <v/>
      </c>
      <c r="H100" s="66" t="n">
        <v>4970</v>
      </c>
      <c r="I100" s="74" t="n">
        <v>6.01</v>
      </c>
      <c r="J100" s="74">
        <f>LET(dec, I100-INT(I100), IF(dec&lt;0.1, INT(I100), IF(dec&lt;=0.7, INT(I100)+0.5, INT(I100)+1)))</f>
        <v/>
      </c>
      <c r="K100" s="67" t="n">
        <v>46265</v>
      </c>
      <c r="L100" s="36" t="inlineStr">
        <is>
          <t>SILVANA</t>
        </is>
      </c>
      <c r="M100" s="63" t="n">
        <v>3</v>
      </c>
      <c r="N100" s="36" t="inlineStr">
        <is>
          <t>PAOLA LUNA</t>
        </is>
      </c>
      <c r="O100" s="63" t="n">
        <v>3</v>
      </c>
      <c r="P100" s="63" t="n"/>
      <c r="Q100" s="63" t="n"/>
      <c r="R100" s="63" t="inlineStr">
        <is>
          <t>NAHOMI</t>
        </is>
      </c>
      <c r="S100" s="17" t="n"/>
    </row>
    <row r="101">
      <c r="A101" s="63" t="inlineStr">
        <is>
          <t>7680643417114462994</t>
        </is>
      </c>
      <c r="B101" s="83" t="inlineStr">
        <is>
          <t>amora_the_beauty_market</t>
        </is>
      </c>
      <c r="C101" s="91" t="inlineStr">
        <is>
          <t>MX</t>
        </is>
      </c>
      <c r="D101" s="65" t="n">
        <v>210461.43</v>
      </c>
      <c r="E101" s="40">
        <f>D101/1.16</f>
        <v/>
      </c>
      <c r="F101" s="52">
        <f>D101/J101</f>
        <v/>
      </c>
      <c r="G101" s="40">
        <f>F101/1.16</f>
        <v/>
      </c>
      <c r="H101" s="66" t="n">
        <v>5960</v>
      </c>
      <c r="I101" s="74" t="n">
        <v>8.01</v>
      </c>
      <c r="J101" s="74">
        <f>LET(dec, I101-INT(I101), IF(dec&lt;0.1, INT(I101), IF(dec&lt;=0.7, INT(I101)+0.5, INT(I101)+1)))</f>
        <v/>
      </c>
      <c r="K101" s="67" t="n">
        <v>46266</v>
      </c>
      <c r="L101" s="36" t="inlineStr">
        <is>
          <t>SILVANA</t>
        </is>
      </c>
      <c r="M101" s="63" t="n">
        <v>4</v>
      </c>
      <c r="N101" s="36" t="inlineStr">
        <is>
          <t>PAOLA LUNA</t>
        </is>
      </c>
      <c r="O101" s="63" t="n">
        <v>4</v>
      </c>
      <c r="P101" s="63" t="n"/>
      <c r="Q101" s="63" t="n"/>
      <c r="R101" s="63" t="inlineStr">
        <is>
          <t>NAHOMI</t>
        </is>
      </c>
      <c r="S101" s="17" t="n"/>
    </row>
    <row r="102">
      <c r="A102" s="63" t="inlineStr">
        <is>
          <t>7681030228751977223</t>
        </is>
      </c>
      <c r="B102" s="83" t="inlineStr">
        <is>
          <t>amora_the_beauty_market</t>
        </is>
      </c>
      <c r="C102" s="91" t="inlineStr">
        <is>
          <t>MX</t>
        </is>
      </c>
      <c r="D102" s="65" t="n">
        <v>475902.05</v>
      </c>
      <c r="E102" s="40">
        <f>D102/1.16</f>
        <v/>
      </c>
      <c r="F102" s="52">
        <f>D102/J102</f>
        <v/>
      </c>
      <c r="G102" s="40">
        <f>F102/1.16</f>
        <v/>
      </c>
      <c r="H102" s="66" t="n">
        <v>4070</v>
      </c>
      <c r="I102" s="74" t="n">
        <v>7.01</v>
      </c>
      <c r="J102" s="74">
        <f>LET(dec, I102-INT(I102), IF(dec&lt;0.1, INT(I102), IF(dec&lt;=0.7, INT(I102)+0.5, INT(I102)+1)))</f>
        <v/>
      </c>
      <c r="K102" s="67" t="n">
        <v>46267</v>
      </c>
      <c r="L102" s="36" t="inlineStr">
        <is>
          <t>SILVANA</t>
        </is>
      </c>
      <c r="M102" s="63" t="n">
        <v>7</v>
      </c>
      <c r="N102" s="36" t="n"/>
      <c r="O102" s="63" t="n"/>
      <c r="P102" s="36" t="n"/>
      <c r="Q102" s="63" t="n"/>
      <c r="R102" s="63" t="inlineStr">
        <is>
          <t>NAHOMI</t>
        </is>
      </c>
      <c r="S102" s="17" t="n"/>
    </row>
    <row r="103">
      <c r="A103" s="63" t="inlineStr">
        <is>
          <t>7681447599039105799</t>
        </is>
      </c>
      <c r="B103" s="83" t="inlineStr">
        <is>
          <t>amora_the_beauty_market</t>
        </is>
      </c>
      <c r="C103" s="91" t="inlineStr">
        <is>
          <t>MX</t>
        </is>
      </c>
      <c r="D103" s="65" t="n">
        <v>145524.78</v>
      </c>
      <c r="E103" s="40">
        <f>D103/1.16</f>
        <v/>
      </c>
      <c r="F103" s="52">
        <f>D103/J103</f>
        <v/>
      </c>
      <c r="G103" s="40">
        <f>F103/1.16</f>
        <v/>
      </c>
      <c r="H103" s="66" t="n">
        <v>4980</v>
      </c>
      <c r="I103" s="74" t="n">
        <v>4.01</v>
      </c>
      <c r="J103" s="74">
        <f>LET(dec, I103-INT(I103), IF(dec&lt;0.1, INT(I103), IF(dec&lt;=0.7, INT(I103)+0.5, INT(I103)+1)))</f>
        <v/>
      </c>
      <c r="K103" s="67" t="n">
        <v>46268</v>
      </c>
      <c r="L103" s="36" t="inlineStr">
        <is>
          <t>PAOLA LUNA</t>
        </is>
      </c>
      <c r="M103" s="63" t="n">
        <v>4</v>
      </c>
      <c r="N103" s="63" t="n"/>
      <c r="O103" s="63" t="n"/>
      <c r="P103" s="63" t="n"/>
      <c r="Q103" s="63" t="n"/>
      <c r="R103" s="89" t="inlineStr">
        <is>
          <t>GUILLERMO</t>
        </is>
      </c>
      <c r="S103" s="17" t="n"/>
    </row>
    <row r="104">
      <c r="A104" s="63" t="inlineStr">
        <is>
          <t>7681772334186466068</t>
        </is>
      </c>
      <c r="B104" s="83" t="inlineStr">
        <is>
          <t>amora_the_beauty_market</t>
        </is>
      </c>
      <c r="C104" s="91" t="inlineStr">
        <is>
          <t>MX</t>
        </is>
      </c>
      <c r="D104" s="65" t="n">
        <v>134673.58</v>
      </c>
      <c r="E104" s="40">
        <f>D104/1.16</f>
        <v/>
      </c>
      <c r="F104" s="52">
        <f>D104/J104</f>
        <v/>
      </c>
      <c r="G104" s="40">
        <f>F104/1.16</f>
        <v/>
      </c>
      <c r="H104" s="66" t="n">
        <v>3970</v>
      </c>
      <c r="I104" s="74" t="n">
        <v>7.01</v>
      </c>
      <c r="J104" s="74">
        <f>LET(dec, I104-INT(I104), IF(dec&lt;0.1, INT(I104), IF(dec&lt;=0.7, INT(I104)+0.5, INT(I104)+1)))</f>
        <v/>
      </c>
      <c r="K104" s="67" t="n">
        <v>46269</v>
      </c>
      <c r="L104" s="36" t="inlineStr">
        <is>
          <t>SILVANA</t>
        </is>
      </c>
      <c r="M104" s="63" t="n">
        <v>6</v>
      </c>
      <c r="N104" s="63" t="n"/>
      <c r="O104" s="63" t="n"/>
      <c r="P104" s="36" t="inlineStr">
        <is>
          <t>AISHA</t>
        </is>
      </c>
      <c r="Q104" s="63" t="n">
        <v>1</v>
      </c>
      <c r="R104" s="63" t="inlineStr">
        <is>
          <t>NAHOMI</t>
        </is>
      </c>
      <c r="S104" s="17" t="n"/>
    </row>
    <row r="105">
      <c r="A105" s="63" t="inlineStr">
        <is>
          <t>7682174166098807560</t>
        </is>
      </c>
      <c r="B105" s="83" t="inlineStr">
        <is>
          <t>amora_the_beauty_market</t>
        </is>
      </c>
      <c r="C105" s="91" t="inlineStr">
        <is>
          <t>MX</t>
        </is>
      </c>
      <c r="D105" s="65" t="n">
        <v>148461.04</v>
      </c>
      <c r="E105" s="40">
        <f>D105/1.16</f>
        <v/>
      </c>
      <c r="F105" s="52">
        <f>D105/J105</f>
        <v/>
      </c>
      <c r="G105" s="40">
        <f>F105/1.16</f>
        <v/>
      </c>
      <c r="H105" s="66" t="n">
        <v>4010</v>
      </c>
      <c r="I105" s="74" t="n">
        <v>5.01</v>
      </c>
      <c r="J105" s="74">
        <f>LET(dec, I105-INT(I105), IF(dec&lt;0.1, INT(I105), IF(dec&lt;=0.7, INT(I105)+0.5, INT(I105)+1)))</f>
        <v/>
      </c>
      <c r="K105" s="67" t="n">
        <v>46270</v>
      </c>
      <c r="L105" s="36" t="inlineStr">
        <is>
          <t>PAOLA LUNA</t>
        </is>
      </c>
      <c r="M105" s="63" t="n">
        <v>5</v>
      </c>
      <c r="N105" s="63" t="n"/>
      <c r="O105" s="63" t="n"/>
      <c r="P105" s="63" t="n"/>
      <c r="Q105" s="63" t="n"/>
      <c r="R105" s="63" t="inlineStr">
        <is>
          <t>NAHOMI</t>
        </is>
      </c>
      <c r="S105" s="17" t="n"/>
    </row>
    <row r="106">
      <c r="A106" s="63" t="inlineStr">
        <is>
          <t>7682885642422848264</t>
        </is>
      </c>
      <c r="B106" s="83" t="inlineStr">
        <is>
          <t>amora_the_beauty_market</t>
        </is>
      </c>
      <c r="C106" s="91" t="inlineStr">
        <is>
          <t>MX</t>
        </is>
      </c>
      <c r="D106" s="65" t="n">
        <v>116394.89</v>
      </c>
      <c r="E106" s="40">
        <f>D106/1.16</f>
        <v/>
      </c>
      <c r="F106" s="52">
        <f>D106/J106</f>
        <v/>
      </c>
      <c r="G106" s="40">
        <f>F106/1.16</f>
        <v/>
      </c>
      <c r="H106" s="66" t="n">
        <v>4020</v>
      </c>
      <c r="I106" s="74" t="n">
        <v>7.01</v>
      </c>
      <c r="J106" s="74">
        <f>LET(dec, I106-INT(I106), IF(dec&lt;0.1, INT(I106), IF(dec&lt;=0.7, INT(I106)+0.5, INT(I106)+1)))</f>
        <v/>
      </c>
      <c r="K106" s="67" t="n">
        <v>46272</v>
      </c>
      <c r="L106" s="36" t="inlineStr">
        <is>
          <t>SILVANA</t>
        </is>
      </c>
      <c r="M106" s="63" t="n">
        <v>3</v>
      </c>
      <c r="N106" s="36" t="inlineStr">
        <is>
          <t>PAOLA LUNA</t>
        </is>
      </c>
      <c r="O106" s="63" t="n">
        <v>4</v>
      </c>
      <c r="P106" s="63" t="n"/>
      <c r="Q106" s="63" t="n"/>
      <c r="R106" s="63" t="inlineStr">
        <is>
          <t>NAHOMI</t>
        </is>
      </c>
      <c r="S106" s="17" t="n"/>
    </row>
    <row r="107">
      <c r="A107" s="63" t="inlineStr">
        <is>
          <t>7683256486214306580</t>
        </is>
      </c>
      <c r="B107" s="83" t="inlineStr">
        <is>
          <t>amora_the_beauty_market</t>
        </is>
      </c>
      <c r="C107" s="91" t="inlineStr">
        <is>
          <t>MX</t>
        </is>
      </c>
      <c r="D107" s="65" t="n">
        <v>247479.25</v>
      </c>
      <c r="E107" s="40">
        <f>D107/1.16</f>
        <v/>
      </c>
      <c r="F107" s="52">
        <f>D107/J107</f>
        <v/>
      </c>
      <c r="G107" s="40">
        <f>F107/1.16</f>
        <v/>
      </c>
      <c r="H107" s="66" t="n">
        <v>4020</v>
      </c>
      <c r="I107" s="74" t="n">
        <v>7.01</v>
      </c>
      <c r="J107" s="74">
        <f>LET(dec, I107-INT(I107), IF(dec&lt;0.1, INT(I107), IF(dec&lt;=0.7, INT(I107)+0.5, INT(I107)+1)))</f>
        <v/>
      </c>
      <c r="K107" s="67" t="n">
        <v>46273</v>
      </c>
      <c r="L107" s="36" t="inlineStr">
        <is>
          <t>SILVANA</t>
        </is>
      </c>
      <c r="M107" s="63" t="n">
        <v>6</v>
      </c>
      <c r="N107" s="36" t="n"/>
      <c r="O107" s="63" t="n"/>
      <c r="P107" s="36" t="inlineStr">
        <is>
          <t>AISHA</t>
        </is>
      </c>
      <c r="Q107" s="63" t="n">
        <v>1</v>
      </c>
      <c r="R107" s="63" t="inlineStr">
        <is>
          <t>NAHOMI</t>
        </is>
      </c>
      <c r="S107" s="17" t="n"/>
    </row>
    <row r="108">
      <c r="A108" s="63" t="inlineStr">
        <is>
          <t>7683627924611795730</t>
        </is>
      </c>
      <c r="B108" s="83" t="inlineStr">
        <is>
          <t>amora_the_beauty_market</t>
        </is>
      </c>
      <c r="C108" s="91" t="inlineStr">
        <is>
          <t>MX</t>
        </is>
      </c>
      <c r="D108" s="65" t="n">
        <v>150873.57</v>
      </c>
      <c r="E108" s="40">
        <f>D108/1.16</f>
        <v/>
      </c>
      <c r="F108" s="52">
        <f>D108/J108</f>
        <v/>
      </c>
      <c r="G108" s="40">
        <f>F108/1.16</f>
        <v/>
      </c>
      <c r="H108" s="66" t="n">
        <v>4060</v>
      </c>
      <c r="I108" s="74" t="n">
        <v>6.99</v>
      </c>
      <c r="J108" s="74">
        <f>LET(dec, I108-INT(I108), IF(dec&lt;0.1, INT(I108), IF(dec&lt;=0.7, INT(I108)+0.5, INT(I108)+1)))</f>
        <v/>
      </c>
      <c r="K108" s="67" t="n">
        <v>46274</v>
      </c>
      <c r="L108" s="36" t="inlineStr">
        <is>
          <t>SILVANA</t>
        </is>
      </c>
      <c r="M108" s="63" t="n">
        <v>3</v>
      </c>
      <c r="N108" s="36" t="inlineStr">
        <is>
          <t>PAOLA LUNA</t>
        </is>
      </c>
      <c r="O108" s="63" t="n">
        <v>4</v>
      </c>
      <c r="P108" s="63" t="n"/>
      <c r="Q108" s="63" t="n"/>
      <c r="R108" s="38" t="inlineStr">
        <is>
          <t>RODRIGO LOPEZ</t>
        </is>
      </c>
      <c r="S108" s="17" t="n"/>
    </row>
    <row r="109">
      <c r="A109" s="63" t="inlineStr">
        <is>
          <t>7683998827138124552</t>
        </is>
      </c>
      <c r="B109" s="83" t="inlineStr">
        <is>
          <t>amora_the_beauty_market</t>
        </is>
      </c>
      <c r="C109" s="91" t="inlineStr">
        <is>
          <t>MX</t>
        </is>
      </c>
      <c r="D109" s="65" t="n">
        <v>139298.28</v>
      </c>
      <c r="E109" s="40">
        <f>D109/1.16</f>
        <v/>
      </c>
      <c r="F109" s="52">
        <f>D109/J109</f>
        <v/>
      </c>
      <c r="G109" s="40">
        <f>F109/1.16</f>
        <v/>
      </c>
      <c r="H109" s="66" t="n">
        <v>4060</v>
      </c>
      <c r="I109" s="74" t="n">
        <v>7.01</v>
      </c>
      <c r="J109" s="74">
        <f>LET(dec, I109-INT(I109), IF(dec&lt;0.1, INT(I109), IF(dec&lt;=0.7, INT(I109)+0.5, INT(I109)+1)))</f>
        <v/>
      </c>
      <c r="K109" s="67" t="n">
        <v>46275</v>
      </c>
      <c r="L109" s="36" t="inlineStr">
        <is>
          <t>SILVANA</t>
        </is>
      </c>
      <c r="M109" s="63" t="n">
        <v>6</v>
      </c>
      <c r="N109" s="63" t="n"/>
      <c r="O109" s="63" t="n"/>
      <c r="P109" s="36" t="inlineStr">
        <is>
          <t>AISHA</t>
        </is>
      </c>
      <c r="Q109" s="63" t="n">
        <v>1</v>
      </c>
      <c r="R109" s="63" t="inlineStr">
        <is>
          <t>NAHOMI</t>
        </is>
      </c>
      <c r="S109" s="17" t="n"/>
    </row>
    <row r="110">
      <c r="A110" s="63" t="inlineStr">
        <is>
          <t>7684369817385585429</t>
        </is>
      </c>
      <c r="B110" s="83" t="inlineStr">
        <is>
          <t>amora_the_beauty_market</t>
        </is>
      </c>
      <c r="C110" s="91" t="inlineStr">
        <is>
          <t>MX</t>
        </is>
      </c>
      <c r="D110" s="65" t="n">
        <v>125171.91</v>
      </c>
      <c r="E110" s="40">
        <f>D110/1.16</f>
        <v/>
      </c>
      <c r="F110" s="52">
        <f>D110/J110</f>
        <v/>
      </c>
      <c r="G110" s="40">
        <f>F110/1.16</f>
        <v/>
      </c>
      <c r="H110" s="66" t="n">
        <v>4070</v>
      </c>
      <c r="I110" s="74" t="n">
        <v>7.01</v>
      </c>
      <c r="J110" s="74">
        <f>LET(dec, I110-INT(I110), IF(dec&lt;0.1, INT(I110), IF(dec&lt;=0.7, INT(I110)+0.5, INT(I110)+1)))</f>
        <v/>
      </c>
      <c r="K110" s="67" t="n">
        <v>46276</v>
      </c>
      <c r="L110" s="36" t="inlineStr">
        <is>
          <t>SILVANA</t>
        </is>
      </c>
      <c r="M110" s="63" t="n">
        <v>3</v>
      </c>
      <c r="N110" s="36" t="inlineStr">
        <is>
          <t>PAOLA LUNA</t>
        </is>
      </c>
      <c r="O110" s="63" t="n">
        <v>4</v>
      </c>
      <c r="P110" s="63" t="n"/>
      <c r="Q110" s="63" t="n"/>
      <c r="R110" s="38" t="inlineStr">
        <is>
          <t>RODRIGO LOPEZ</t>
        </is>
      </c>
      <c r="S110" s="17" t="n"/>
    </row>
    <row r="111">
      <c r="A111" s="63" t="inlineStr">
        <is>
          <t>7684742894703446802</t>
        </is>
      </c>
      <c r="B111" s="83" t="inlineStr">
        <is>
          <t>amora_the_beauty_market</t>
        </is>
      </c>
      <c r="C111" s="91" t="inlineStr">
        <is>
          <t>MX</t>
        </is>
      </c>
      <c r="D111" s="65" t="n">
        <v>80682.33</v>
      </c>
      <c r="E111" s="40">
        <f>D111/1.16</f>
        <v/>
      </c>
      <c r="F111" s="52">
        <f>D111/J111</f>
        <v/>
      </c>
      <c r="G111" s="40">
        <f>F111/1.16</f>
        <v/>
      </c>
      <c r="H111" s="66" t="n">
        <v>4040</v>
      </c>
      <c r="I111" s="74" t="n">
        <v>4.01</v>
      </c>
      <c r="J111" s="74">
        <f>LET(dec, I111-INT(I111), IF(dec&lt;0.1, INT(I111), IF(dec&lt;=0.7, INT(I111)+0.5, INT(I111)+1)))</f>
        <v/>
      </c>
      <c r="K111" s="67" t="n">
        <v>46277</v>
      </c>
      <c r="L111" s="36" t="inlineStr">
        <is>
          <t>SILVANA</t>
        </is>
      </c>
      <c r="M111" s="63" t="n">
        <v>4</v>
      </c>
      <c r="N111" s="63" t="n"/>
      <c r="O111" s="63" t="n"/>
      <c r="P111" s="63" t="n"/>
      <c r="Q111" s="63" t="n"/>
      <c r="R111" s="89" t="inlineStr">
        <is>
          <t>GUILLERMO</t>
        </is>
      </c>
      <c r="S111" s="17" t="n"/>
    </row>
    <row r="112">
      <c r="A112" s="63" t="inlineStr">
        <is>
          <t>7685483267114158855</t>
        </is>
      </c>
      <c r="B112" s="83" t="inlineStr">
        <is>
          <t>amora_the_beauty_market</t>
        </is>
      </c>
      <c r="C112" s="91" t="inlineStr">
        <is>
          <t>MX</t>
        </is>
      </c>
      <c r="D112" s="65" t="n">
        <v>148884.98</v>
      </c>
      <c r="E112" s="40">
        <f>D112/1.16</f>
        <v/>
      </c>
      <c r="F112" s="52">
        <f>D112/J112</f>
        <v/>
      </c>
      <c r="G112" s="40">
        <f>F112/1.16</f>
        <v/>
      </c>
      <c r="H112" s="66" t="n">
        <v>4050</v>
      </c>
      <c r="I112" s="74" t="n">
        <v>7.01</v>
      </c>
      <c r="J112" s="74">
        <f>LET(dec, I112-INT(I112), IF(dec&lt;0.1, INT(I112), IF(dec&lt;=0.7, INT(I112)+0.5, INT(I112)+1)))</f>
        <v/>
      </c>
      <c r="K112" s="67" t="n">
        <v>46279</v>
      </c>
      <c r="L112" s="36" t="inlineStr">
        <is>
          <t>SILVANA</t>
        </is>
      </c>
      <c r="M112" s="63" t="n">
        <v>6</v>
      </c>
      <c r="N112" s="63" t="n"/>
      <c r="O112" s="63" t="n"/>
      <c r="P112" s="36" t="inlineStr">
        <is>
          <t>AISHA</t>
        </is>
      </c>
      <c r="Q112" s="63" t="n">
        <v>1</v>
      </c>
      <c r="R112" s="63" t="inlineStr">
        <is>
          <t>NAHOMI</t>
        </is>
      </c>
      <c r="S112" s="17" t="n"/>
    </row>
    <row r="113">
      <c r="A113" s="63" t="inlineStr">
        <is>
          <t>7685792458559294228</t>
        </is>
      </c>
      <c r="B113" s="83" t="inlineStr">
        <is>
          <t>amora_the_beauty_market</t>
        </is>
      </c>
      <c r="C113" s="91" t="inlineStr">
        <is>
          <t>MX</t>
        </is>
      </c>
      <c r="D113" s="65" t="n">
        <v>186158.44</v>
      </c>
      <c r="E113" s="40">
        <f>D113/1.16</f>
        <v/>
      </c>
      <c r="F113" s="52">
        <f>D113/J113</f>
        <v/>
      </c>
      <c r="G113" s="40">
        <f>F113/1.16</f>
        <v/>
      </c>
      <c r="H113" s="66" t="n">
        <v>6080</v>
      </c>
      <c r="I113" s="74" t="n">
        <v>8.02</v>
      </c>
      <c r="J113" s="74">
        <f>LET(dec, I113-INT(I113), IF(dec&lt;0.1, INT(I113), IF(dec&lt;=0.7, INT(I113)+0.5, INT(I113)+1)))</f>
        <v/>
      </c>
      <c r="K113" s="67" t="n">
        <v>46280</v>
      </c>
      <c r="L113" s="36" t="inlineStr">
        <is>
          <t>SILVANA</t>
        </is>
      </c>
      <c r="M113" s="63" t="n">
        <v>4</v>
      </c>
      <c r="N113" s="36" t="inlineStr">
        <is>
          <t>PAOLA LUNA</t>
        </is>
      </c>
      <c r="O113" s="63" t="n">
        <v>4</v>
      </c>
      <c r="P113" s="63" t="n"/>
      <c r="Q113" s="63" t="n"/>
      <c r="R113" s="63" t="inlineStr">
        <is>
          <t>NAHOMI</t>
        </is>
      </c>
      <c r="S113" s="17" t="n"/>
    </row>
    <row r="114">
      <c r="A114" s="63" t="inlineStr">
        <is>
          <t>7686596006817860372</t>
        </is>
      </c>
      <c r="B114" s="83" t="inlineStr">
        <is>
          <t>amora_the_beauty_market</t>
        </is>
      </c>
      <c r="C114" s="91" t="inlineStr">
        <is>
          <t>MX</t>
        </is>
      </c>
      <c r="D114" s="65" t="n">
        <v>155300.81</v>
      </c>
      <c r="E114" s="40">
        <f>D114/1.16</f>
        <v/>
      </c>
      <c r="F114" s="52">
        <f>D114/J114</f>
        <v/>
      </c>
      <c r="G114" s="40">
        <f>F114/1.16</f>
        <v/>
      </c>
      <c r="H114" s="66" t="n">
        <v>4010</v>
      </c>
      <c r="I114" s="74" t="n">
        <v>8.02</v>
      </c>
      <c r="J114" s="74">
        <f>LET(dec, I114-INT(I114), IF(dec&lt;0.1, INT(I114), IF(dec&lt;=0.7, INT(I114)+0.5, INT(I114)+1)))</f>
        <v/>
      </c>
      <c r="K114" s="67" t="n">
        <v>46282</v>
      </c>
      <c r="L114" s="36" t="inlineStr">
        <is>
          <t>SILVANA</t>
        </is>
      </c>
      <c r="M114" s="63" t="n">
        <v>4</v>
      </c>
      <c r="N114" s="36" t="inlineStr">
        <is>
          <t>PAOLA LUNA</t>
        </is>
      </c>
      <c r="O114" s="63" t="n">
        <v>4</v>
      </c>
      <c r="P114" s="63" t="n"/>
      <c r="Q114" s="63" t="n"/>
      <c r="R114" s="63" t="inlineStr">
        <is>
          <t>NAHOMI</t>
        </is>
      </c>
      <c r="S114" s="17" t="n"/>
    </row>
    <row r="115">
      <c r="A115" s="63" t="inlineStr">
        <is>
          <t>7686967364463872776</t>
        </is>
      </c>
      <c r="B115" s="83" t="inlineStr">
        <is>
          <t>amora_the_beauty_market</t>
        </is>
      </c>
      <c r="C115" s="91" t="inlineStr">
        <is>
          <t>MX</t>
        </is>
      </c>
      <c r="D115" s="65" t="n">
        <v>242462.21</v>
      </c>
      <c r="E115" s="40">
        <f>D115/1.16</f>
        <v/>
      </c>
      <c r="F115" s="52">
        <f>D115/J115</f>
        <v/>
      </c>
      <c r="G115" s="40">
        <f>F115/1.16</f>
        <v/>
      </c>
      <c r="H115" s="66" t="n">
        <v>3990</v>
      </c>
      <c r="I115" s="74" t="n">
        <v>7.01</v>
      </c>
      <c r="J115" s="74">
        <f>LET(dec, I115-INT(I115), IF(dec&lt;0.1, INT(I115), IF(dec&lt;=0.7, INT(I115)+0.5, INT(I115)+1)))</f>
        <v/>
      </c>
      <c r="K115" s="67" t="n">
        <v>46283</v>
      </c>
      <c r="L115" s="36" t="inlineStr">
        <is>
          <t>SILVANA</t>
        </is>
      </c>
      <c r="M115" s="63" t="n">
        <v>3</v>
      </c>
      <c r="N115" s="36" t="inlineStr">
        <is>
          <t>PAOLA LUNA</t>
        </is>
      </c>
      <c r="O115" s="63" t="n">
        <v>4</v>
      </c>
      <c r="P115" s="63" t="n"/>
      <c r="Q115" s="63" t="n"/>
      <c r="R115" s="63" t="inlineStr">
        <is>
          <t>NAHOMI</t>
        </is>
      </c>
      <c r="S115" s="17" t="n"/>
    </row>
    <row r="116">
      <c r="A116" s="63" t="inlineStr">
        <is>
          <t>7687373840163605256</t>
        </is>
      </c>
      <c r="B116" s="83" t="inlineStr">
        <is>
          <t>amora_the_beauty_market</t>
        </is>
      </c>
      <c r="C116" s="91" t="inlineStr">
        <is>
          <t>MX</t>
        </is>
      </c>
      <c r="D116" s="65" t="n">
        <v>105930.74</v>
      </c>
      <c r="E116" s="40">
        <f>D116/1.16</f>
        <v/>
      </c>
      <c r="F116" s="52">
        <f>D116/J116</f>
        <v/>
      </c>
      <c r="G116" s="40">
        <f>F116/1.16</f>
        <v/>
      </c>
      <c r="H116" s="66" t="n">
        <v>4020</v>
      </c>
      <c r="I116" s="74" t="n">
        <v>4.73</v>
      </c>
      <c r="J116" s="74">
        <f>LET(dec, I116-INT(I116), IF(dec&lt;0.1, INT(I116), IF(dec&lt;=0.7, INT(I116)+0.5, INT(I116)+1)))</f>
        <v/>
      </c>
      <c r="K116" s="67" t="n">
        <v>46284</v>
      </c>
      <c r="L116" s="36" t="inlineStr">
        <is>
          <t>PAOLA LUNA</t>
        </is>
      </c>
      <c r="M116" s="63" t="n">
        <v>5</v>
      </c>
      <c r="N116" s="63" t="n"/>
      <c r="O116" s="63" t="n"/>
      <c r="P116" s="63" t="n"/>
      <c r="Q116" s="63" t="n"/>
      <c r="R116" s="89" t="inlineStr">
        <is>
          <t>GUILLERMO</t>
        </is>
      </c>
      <c r="S116" s="17" t="n"/>
    </row>
    <row r="117">
      <c r="A117" s="63" t="inlineStr">
        <is>
          <t>7688123318544730887</t>
        </is>
      </c>
      <c r="B117" s="83" t="inlineStr">
        <is>
          <t>amora_the_beauty_market</t>
        </is>
      </c>
      <c r="C117" s="91" t="inlineStr">
        <is>
          <t>MX</t>
        </is>
      </c>
      <c r="D117" s="65" t="n">
        <v>138978.63</v>
      </c>
      <c r="E117" s="40">
        <f>D117/1.16</f>
        <v/>
      </c>
      <c r="F117" s="52">
        <f>D117/J117</f>
        <v/>
      </c>
      <c r="G117" s="40">
        <f>F117/1.16</f>
        <v/>
      </c>
      <c r="H117" s="66" t="n">
        <v>4010</v>
      </c>
      <c r="I117" s="74" t="n">
        <v>5.25</v>
      </c>
      <c r="J117" s="74">
        <f>LET(dec, I117-INT(I117), IF(dec&lt;0.1, INT(I117), IF(dec&lt;=0.7, INT(I117)+0.5, INT(I117)+1)))</f>
        <v/>
      </c>
      <c r="K117" s="67" t="n">
        <v>46286</v>
      </c>
      <c r="L117" s="36" t="inlineStr">
        <is>
          <t>PAOLA LUNA</t>
        </is>
      </c>
      <c r="M117" s="63" t="n">
        <v>5.5</v>
      </c>
      <c r="N117" s="63" t="n"/>
      <c r="O117" s="63" t="n"/>
      <c r="P117" s="63" t="n"/>
      <c r="Q117" s="63" t="n"/>
      <c r="R117" s="63" t="inlineStr">
        <is>
          <t>NAHOMI</t>
        </is>
      </c>
      <c r="S117" s="17" t="n"/>
    </row>
    <row r="118">
      <c r="A118" s="63" t="inlineStr">
        <is>
          <t>7688451635194284821</t>
        </is>
      </c>
      <c r="B118" s="83" t="inlineStr">
        <is>
          <t>amora_the_beauty_market</t>
        </is>
      </c>
      <c r="C118" s="91" t="inlineStr">
        <is>
          <t>MX</t>
        </is>
      </c>
      <c r="D118" s="65" t="n">
        <v>135458.94</v>
      </c>
      <c r="E118" s="40">
        <f>D118/1.16</f>
        <v/>
      </c>
      <c r="F118" s="52">
        <f>D118/J118</f>
        <v/>
      </c>
      <c r="G118" s="40">
        <f>F118/1.16</f>
        <v/>
      </c>
      <c r="H118" s="66" t="n">
        <v>4050</v>
      </c>
      <c r="I118" s="74" t="n">
        <v>7.01</v>
      </c>
      <c r="J118" s="74">
        <f>LET(dec, I118-INT(I118), IF(dec&lt;0.1, INT(I118), IF(dec&lt;=0.7, INT(I118)+0.5, INT(I118)+1)))</f>
        <v/>
      </c>
      <c r="K118" s="67" t="n">
        <v>46287</v>
      </c>
      <c r="L118" s="36" t="inlineStr">
        <is>
          <t>SILVANA</t>
        </is>
      </c>
      <c r="M118" s="63" t="n">
        <v>6</v>
      </c>
      <c r="N118" s="63" t="n"/>
      <c r="O118" s="63" t="n"/>
      <c r="P118" s="36" t="inlineStr">
        <is>
          <t>Emily Bustamante</t>
        </is>
      </c>
      <c r="Q118" s="63" t="n">
        <v>1</v>
      </c>
      <c r="R118" s="63" t="inlineStr">
        <is>
          <t>NAHOMI</t>
        </is>
      </c>
      <c r="S118" s="17" t="n"/>
    </row>
    <row r="119">
      <c r="A119" s="63" t="inlineStr">
        <is>
          <t>7688822717294480148</t>
        </is>
      </c>
      <c r="B119" s="83" t="inlineStr">
        <is>
          <t>amora_the_beauty_market</t>
        </is>
      </c>
      <c r="C119" s="91" t="inlineStr">
        <is>
          <t>MX</t>
        </is>
      </c>
      <c r="D119" s="65" t="n">
        <v>136509.42</v>
      </c>
      <c r="E119" s="40">
        <f>D119/1.16</f>
        <v/>
      </c>
      <c r="F119" s="52">
        <f>D119/J119</f>
        <v/>
      </c>
      <c r="G119" s="40">
        <f>F119/1.16</f>
        <v/>
      </c>
      <c r="H119" s="66" t="n">
        <v>4070</v>
      </c>
      <c r="I119" s="74" t="n">
        <v>7.01</v>
      </c>
      <c r="J119" s="74">
        <f>LET(dec, I119-INT(I119), IF(dec&lt;0.1, INT(I119), IF(dec&lt;=0.7, INT(I119)+0.5, INT(I119)+1)))</f>
        <v/>
      </c>
      <c r="K119" s="67" t="n">
        <v>46288</v>
      </c>
      <c r="L119" s="36" t="inlineStr">
        <is>
          <t>SILVANA</t>
        </is>
      </c>
      <c r="M119" s="63" t="n">
        <v>4</v>
      </c>
      <c r="N119" s="36" t="inlineStr">
        <is>
          <t>PAOLA LUNA</t>
        </is>
      </c>
      <c r="O119" s="63" t="n">
        <v>3</v>
      </c>
      <c r="P119" s="63" t="n"/>
      <c r="Q119" s="63" t="n"/>
      <c r="R119" s="63" t="inlineStr">
        <is>
          <t>NAHOMI</t>
        </is>
      </c>
      <c r="S119" s="17" t="n"/>
    </row>
    <row r="120">
      <c r="A120" s="63" t="inlineStr">
        <is>
          <t>7689194034962696981</t>
        </is>
      </c>
      <c r="B120" s="83" t="inlineStr">
        <is>
          <t>amora_the_beauty_market</t>
        </is>
      </c>
      <c r="C120" s="91" t="inlineStr">
        <is>
          <t>MX</t>
        </is>
      </c>
      <c r="D120" s="65" t="n">
        <v>98900.45</v>
      </c>
      <c r="E120" s="40">
        <f>D120/1.16</f>
        <v/>
      </c>
      <c r="F120" s="52">
        <f>D120/J120</f>
        <v/>
      </c>
      <c r="G120" s="40">
        <f>F120/1.16</f>
        <v/>
      </c>
      <c r="H120" s="66" t="n">
        <v>4118.5</v>
      </c>
      <c r="I120" s="74" t="n">
        <v>7.01</v>
      </c>
      <c r="J120" s="74">
        <f>LET(dec, I120-INT(I120), IF(dec&lt;0.1, INT(I120), IF(dec&lt;=0.7, INT(I120)+0.5, INT(I120)+1)))</f>
        <v/>
      </c>
      <c r="K120" s="67" t="n">
        <v>46289</v>
      </c>
      <c r="L120" s="36" t="inlineStr">
        <is>
          <t>SILVANA</t>
        </is>
      </c>
      <c r="M120" s="63" t="n">
        <v>4</v>
      </c>
      <c r="N120" s="36" t="inlineStr">
        <is>
          <t>PAOLA LUNA</t>
        </is>
      </c>
      <c r="O120" s="63" t="n">
        <v>3</v>
      </c>
      <c r="P120" s="63" t="n"/>
      <c r="Q120" s="63" t="n"/>
      <c r="R120" s="63" t="inlineStr">
        <is>
          <t>NAHOMI</t>
        </is>
      </c>
      <c r="S120" s="17" t="n"/>
    </row>
    <row r="121">
      <c r="A121" s="63" t="inlineStr">
        <is>
          <t>7689564865073122066</t>
        </is>
      </c>
      <c r="B121" s="83" t="inlineStr">
        <is>
          <t>amora_the_beauty_market</t>
        </is>
      </c>
      <c r="C121" s="91" t="inlineStr">
        <is>
          <t>MX</t>
        </is>
      </c>
      <c r="D121" s="65" t="n">
        <v>113762.62</v>
      </c>
      <c r="E121" s="40">
        <f>D121/1.16</f>
        <v/>
      </c>
      <c r="F121" s="52">
        <f>D121/J121</f>
        <v/>
      </c>
      <c r="G121" s="40">
        <f>F121/1.16</f>
        <v/>
      </c>
      <c r="H121" s="66" t="n">
        <v>4060.51</v>
      </c>
      <c r="I121" s="74" t="n">
        <v>7.01</v>
      </c>
      <c r="J121" s="74">
        <f>LET(dec, I121-INT(I121), IF(dec&lt;0.1, INT(I121), IF(dec&lt;=0.7, INT(I121)+0.5, INT(I121)+1)))</f>
        <v/>
      </c>
      <c r="K121" s="67" t="n">
        <v>46290</v>
      </c>
      <c r="L121" s="36" t="inlineStr">
        <is>
          <t>SILVANA</t>
        </is>
      </c>
      <c r="M121" s="63" t="n">
        <v>4</v>
      </c>
      <c r="N121" s="36" t="inlineStr">
        <is>
          <t>PAOLA LUNA</t>
        </is>
      </c>
      <c r="O121" s="63" t="n">
        <v>3</v>
      </c>
      <c r="P121" s="63" t="n"/>
      <c r="Q121" s="63" t="n"/>
      <c r="R121" s="63" t="inlineStr">
        <is>
          <t>NAHOMI</t>
        </is>
      </c>
      <c r="S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56" t="n"/>
      <c r="L122" s="17" t="n"/>
      <c r="M122" s="17" t="n"/>
      <c r="N122" s="17" t="n"/>
      <c r="O122" s="17" t="n"/>
      <c r="P122" s="17" t="n"/>
      <c r="Q122" s="17" t="n"/>
      <c r="R122" s="17" t="n"/>
      <c r="S122" s="17" t="n"/>
    </row>
    <row r="123">
      <c r="A123" s="7" t="inlineStr">
        <is>
          <t>Room ID</t>
        </is>
      </c>
      <c r="B123" s="7" t="inlineStr">
        <is>
          <t>TT Handle</t>
        </is>
      </c>
      <c r="C123" s="7" t="inlineStr">
        <is>
          <t>Country</t>
        </is>
      </c>
      <c r="D123" s="7" t="inlineStr">
        <is>
          <t>GMV</t>
        </is>
      </c>
      <c r="E123" s="7" t="inlineStr">
        <is>
          <t>GMV/sin EVA</t>
        </is>
      </c>
      <c r="F123" s="7" t="inlineStr">
        <is>
          <t>GMV PER HOUR</t>
        </is>
      </c>
      <c r="G123" s="7" t="inlineStr">
        <is>
          <t>GMV PER HOUR/sin EVA</t>
        </is>
      </c>
      <c r="H123" s="7" t="inlineStr">
        <is>
          <t>Ads Cost</t>
        </is>
      </c>
      <c r="I123" s="9" t="inlineStr">
        <is>
          <t>Duration (H)</t>
        </is>
      </c>
      <c r="J123" s="70" t="inlineStr">
        <is>
          <t>Duration （Formula）</t>
        </is>
      </c>
      <c r="K123" s="101" t="inlineStr">
        <is>
          <t>Start date</t>
        </is>
      </c>
      <c r="L123" s="71" t="inlineStr">
        <is>
          <t>HOST1</t>
        </is>
      </c>
      <c r="M123" s="71" t="inlineStr">
        <is>
          <t>Hours</t>
        </is>
      </c>
      <c r="N123" s="71" t="inlineStr">
        <is>
          <t xml:space="preserve">HOST 2 </t>
        </is>
      </c>
      <c r="O123" s="71" t="inlineStr">
        <is>
          <t>Hours</t>
        </is>
      </c>
      <c r="P123" s="71" t="inlineStr">
        <is>
          <t>HOST 3</t>
        </is>
      </c>
      <c r="Q123" s="71" t="inlineStr">
        <is>
          <t>Hours</t>
        </is>
      </c>
      <c r="R123" s="71" t="inlineStr">
        <is>
          <t>Operator</t>
        </is>
      </c>
      <c r="S123" s="71" t="inlineStr">
        <is>
          <t>Operator</t>
        </is>
      </c>
    </row>
    <row r="124">
      <c r="A124" s="63" t="inlineStr">
        <is>
          <t>7690678479280540417</t>
        </is>
      </c>
      <c r="B124" s="83" t="inlineStr">
        <is>
          <t>amora_the_beauty_market</t>
        </is>
      </c>
      <c r="C124" s="91" t="inlineStr">
        <is>
          <t>MX</t>
        </is>
      </c>
      <c r="D124" s="65" t="n">
        <v>124926.34</v>
      </c>
      <c r="E124" s="40">
        <f>D124/1.16</f>
        <v/>
      </c>
      <c r="F124" s="52">
        <f>IFERROR(D124/J124,0)</f>
        <v/>
      </c>
      <c r="G124" s="40">
        <f>F124/1.16</f>
        <v/>
      </c>
      <c r="H124" s="66" t="n"/>
      <c r="I124" s="74" t="n">
        <v>7</v>
      </c>
      <c r="J124" s="74">
        <f>IF(I124-INT(I124)&lt;0.1,INT(I124),IF(I124-INT(I124)&lt;=0.7,INT(I124)+0.5,INT(I124)+1))</f>
        <v/>
      </c>
      <c r="K124" s="67" t="n">
        <v>46293</v>
      </c>
      <c r="L124" s="36" t="n"/>
      <c r="M124" s="63" t="n"/>
      <c r="N124" s="36" t="n"/>
      <c r="O124" s="63" t="n"/>
      <c r="P124" s="63" t="n"/>
      <c r="Q124" s="63" t="n"/>
      <c r="R124" s="63" t="n"/>
      <c r="S124" s="17" t="n"/>
    </row>
    <row r="125">
      <c r="A125" s="63" t="inlineStr">
        <is>
          <t>7691049058807794452</t>
        </is>
      </c>
      <c r="B125" s="83" t="inlineStr">
        <is>
          <t>amora_the_beauty_market</t>
        </is>
      </c>
      <c r="C125" s="91" t="inlineStr">
        <is>
          <t>MX</t>
        </is>
      </c>
      <c r="D125" s="65" t="n">
        <v>419884.74</v>
      </c>
      <c r="E125" s="40">
        <f>D125/1.16</f>
        <v/>
      </c>
      <c r="F125" s="52">
        <f>IFERROR(D125/J125,0)</f>
        <v/>
      </c>
      <c r="G125" s="40">
        <f>F125/1.16</f>
        <v/>
      </c>
      <c r="H125" s="66" t="n"/>
      <c r="I125" s="74" t="n">
        <v>7.01</v>
      </c>
      <c r="J125" s="74">
        <f>IF(I125-INT(I125)&lt;0.1,INT(I125),IF(I125-INT(I125)&lt;=0.7,INT(I125)+0.5,INT(I125)+1))</f>
        <v/>
      </c>
      <c r="K125" s="67" t="n">
        <v>46294</v>
      </c>
      <c r="L125" s="36" t="n"/>
      <c r="M125" s="63" t="n"/>
      <c r="N125" s="36" t="n"/>
      <c r="O125" s="63" t="n"/>
      <c r="P125" s="63" t="n"/>
      <c r="Q125" s="63" t="n"/>
      <c r="R125" s="63" t="n"/>
      <c r="S125" s="17" t="n"/>
    </row>
    <row r="126">
      <c r="A126" s="63" t="inlineStr">
        <is>
          <t>7691420301070830343</t>
        </is>
      </c>
      <c r="B126" s="83" t="inlineStr">
        <is>
          <t>amora_the_beauty_market</t>
        </is>
      </c>
      <c r="C126" s="91" t="inlineStr">
        <is>
          <t>MX</t>
        </is>
      </c>
      <c r="D126" s="65" t="n">
        <v>255177.37</v>
      </c>
      <c r="E126" s="40">
        <f>D126/1.16</f>
        <v/>
      </c>
      <c r="F126" s="52">
        <f>IFERROR(D126/J126,0)</f>
        <v/>
      </c>
      <c r="G126" s="40">
        <f>F126/1.16</f>
        <v/>
      </c>
      <c r="H126" s="66" t="n"/>
      <c r="I126" s="74" t="n">
        <v>8.01</v>
      </c>
      <c r="J126" s="74">
        <f>IF(I126-INT(I126)&lt;0.1,INT(I126),IF(I126-INT(I126)&lt;=0.7,INT(I126)+0.5,INT(I126)+1))</f>
        <v/>
      </c>
      <c r="K126" s="67" t="n">
        <v>46295</v>
      </c>
      <c r="L126" s="36" t="n"/>
      <c r="M126" s="63" t="n"/>
      <c r="N126" s="36" t="n"/>
      <c r="O126" s="63" t="n"/>
      <c r="P126" s="63" t="n"/>
      <c r="Q126" s="63" t="n"/>
      <c r="R126" s="63" t="n"/>
      <c r="S126" s="17" t="n"/>
    </row>
    <row r="127">
      <c r="A127" s="63" t="inlineStr">
        <is>
          <t>7691791705460902677</t>
        </is>
      </c>
      <c r="B127" s="83" t="inlineStr">
        <is>
          <t>amora_the_beauty_market</t>
        </is>
      </c>
      <c r="C127" s="91" t="inlineStr">
        <is>
          <t>MX</t>
        </is>
      </c>
      <c r="D127" s="65" t="n">
        <v>140804.8</v>
      </c>
      <c r="E127" s="40">
        <f>D127/1.16</f>
        <v/>
      </c>
      <c r="F127" s="52">
        <f>IFERROR(D127/J127,0)</f>
        <v/>
      </c>
      <c r="G127" s="40">
        <f>F127/1.16</f>
        <v/>
      </c>
      <c r="H127" s="66" t="n"/>
      <c r="I127" s="74" t="n">
        <v>7.01</v>
      </c>
      <c r="J127" s="74">
        <f>IF(I127-INT(I127)&lt;0.1,INT(I127),IF(I127-INT(I127)&lt;=0.7,INT(I127)+0.5,INT(I127)+1))</f>
        <v/>
      </c>
      <c r="K127" s="67" t="n">
        <v>46296</v>
      </c>
      <c r="L127" s="36" t="inlineStr">
        <is>
          <t>SILVANA</t>
        </is>
      </c>
      <c r="M127" s="63" t="n">
        <v>4</v>
      </c>
      <c r="N127" s="36" t="inlineStr">
        <is>
          <t>PAOLA LUNA</t>
        </is>
      </c>
      <c r="O127" s="63" t="n">
        <v>3</v>
      </c>
      <c r="P127" s="63" t="n"/>
      <c r="Q127" s="63" t="n"/>
      <c r="R127" s="63" t="inlineStr">
        <is>
          <t>GUILLERMO</t>
        </is>
      </c>
      <c r="S127" s="17" t="n"/>
    </row>
    <row r="128">
      <c r="A128" s="63" t="inlineStr">
        <is>
          <t>7692162895410465556</t>
        </is>
      </c>
      <c r="B128" s="83" t="inlineStr">
        <is>
          <t>amora_the_beauty_market</t>
        </is>
      </c>
      <c r="C128" s="91" t="inlineStr">
        <is>
          <t>MX</t>
        </is>
      </c>
      <c r="D128" s="65" t="n">
        <v>234765.13</v>
      </c>
      <c r="E128" s="40">
        <f>D128/1.16</f>
        <v/>
      </c>
      <c r="F128" s="52">
        <f>IFERROR(D128/J128,0)</f>
        <v/>
      </c>
      <c r="G128" s="40">
        <f>F128/1.16</f>
        <v/>
      </c>
      <c r="H128" s="66" t="n"/>
      <c r="I128" s="74" t="n">
        <v>7</v>
      </c>
      <c r="J128" s="74">
        <f>IF(I128-INT(I128)&lt;0.1,INT(I128),IF(I128-INT(I128)&lt;=0.7,INT(I128)+0.5,INT(I128)+1))</f>
        <v/>
      </c>
      <c r="K128" s="67" t="n">
        <v>46297</v>
      </c>
      <c r="L128" s="36" t="inlineStr">
        <is>
          <t>SILVANA</t>
        </is>
      </c>
      <c r="M128" s="63" t="n">
        <v>3</v>
      </c>
      <c r="N128" s="36" t="inlineStr">
        <is>
          <t>PAOLA LUNA</t>
        </is>
      </c>
      <c r="O128" s="63" t="n">
        <v>4</v>
      </c>
      <c r="P128" s="63" t="n"/>
      <c r="Q128" s="63" t="n"/>
      <c r="R128" s="63" t="inlineStr">
        <is>
          <t>GUILLERMO</t>
        </is>
      </c>
      <c r="S128" s="17" t="n"/>
    </row>
    <row r="129">
      <c r="A129" s="63" t="inlineStr">
        <is>
          <t>7693275772319271688</t>
        </is>
      </c>
      <c r="B129" s="83" t="inlineStr">
        <is>
          <t>amora_the_beauty_market</t>
        </is>
      </c>
      <c r="C129" s="91" t="inlineStr">
        <is>
          <t>MX</t>
        </is>
      </c>
      <c r="D129" s="65" t="n">
        <v>155064.95</v>
      </c>
      <c r="E129" s="40">
        <f>D129/1.16</f>
        <v/>
      </c>
      <c r="F129" s="52">
        <f>IFERROR(D129/J129,0)</f>
        <v/>
      </c>
      <c r="G129" s="40">
        <f>F129/1.16</f>
        <v/>
      </c>
      <c r="H129" s="66" t="n"/>
      <c r="I129" s="74" t="n">
        <v>7.02</v>
      </c>
      <c r="J129" s="74">
        <f>IF(I129-INT(I129)&lt;0.1,INT(I129),IF(I129-INT(I129)&lt;=0.7,INT(I129)+0.5,INT(I129)+1))</f>
        <v/>
      </c>
      <c r="K129" s="67" t="n">
        <v>46300</v>
      </c>
      <c r="L129" s="36" t="inlineStr">
        <is>
          <t>PAOLA LUNA</t>
        </is>
      </c>
      <c r="M129" s="63" t="n">
        <v>6</v>
      </c>
      <c r="N129" s="36" t="inlineStr">
        <is>
          <t>AISHA</t>
        </is>
      </c>
      <c r="O129" s="63" t="n">
        <v>1</v>
      </c>
      <c r="P129" s="63" t="n"/>
      <c r="Q129" s="63" t="n"/>
      <c r="R129" s="63" t="inlineStr">
        <is>
          <t>GUILLERMO</t>
        </is>
      </c>
      <c r="S129" s="17" t="n"/>
    </row>
    <row r="130">
      <c r="A130" s="63" t="inlineStr">
        <is>
          <t>7693646654045506312</t>
        </is>
      </c>
      <c r="B130" s="83" t="inlineStr">
        <is>
          <t>amora_the_beauty_market</t>
        </is>
      </c>
      <c r="C130" s="91" t="inlineStr">
        <is>
          <t>MX</t>
        </is>
      </c>
      <c r="D130" s="65" t="n">
        <v>133861.1</v>
      </c>
      <c r="E130" s="40">
        <f>D130/1.16</f>
        <v/>
      </c>
      <c r="F130" s="52">
        <f>IFERROR(D130/J130,0)</f>
        <v/>
      </c>
      <c r="G130" s="40">
        <f>F130/1.16</f>
        <v/>
      </c>
      <c r="H130" s="66" t="n"/>
      <c r="I130" s="74" t="n">
        <v>7.01</v>
      </c>
      <c r="J130" s="74">
        <f>IF(I130-INT(I130)&lt;0.1,INT(I130),IF(I130-INT(I130)&lt;=0.7,INT(I130)+0.5,INT(I130)+1))</f>
        <v/>
      </c>
      <c r="K130" s="67" t="n">
        <v>46301</v>
      </c>
      <c r="L130" s="36" t="inlineStr">
        <is>
          <t>PAOLA LUNA</t>
        </is>
      </c>
      <c r="M130" s="63" t="n">
        <v>2</v>
      </c>
      <c r="N130" s="36" t="inlineStr">
        <is>
          <t>SILVANA</t>
        </is>
      </c>
      <c r="O130" s="63" t="n">
        <v>5</v>
      </c>
      <c r="P130" s="63" t="n"/>
      <c r="Q130" s="63" t="n"/>
      <c r="R130" s="63" t="inlineStr">
        <is>
          <t>GUILLERMO</t>
        </is>
      </c>
      <c r="S130" s="17" t="n"/>
    </row>
    <row r="131">
      <c r="A131" s="63" t="inlineStr">
        <is>
          <t>7693956239948712722</t>
        </is>
      </c>
      <c r="B131" s="83" t="inlineStr">
        <is>
          <t>amora_the_beauty_market</t>
        </is>
      </c>
      <c r="C131" s="91" t="inlineStr">
        <is>
          <t>MX</t>
        </is>
      </c>
      <c r="D131" s="65" t="n">
        <v>403877.97</v>
      </c>
      <c r="E131" s="40">
        <f>D131/1.16</f>
        <v/>
      </c>
      <c r="F131" s="52">
        <f>IFERROR(D131/J131,0)</f>
        <v/>
      </c>
      <c r="G131" s="40">
        <f>F131/1.16</f>
        <v/>
      </c>
      <c r="H131" s="66" t="n"/>
      <c r="I131" s="74" t="n">
        <v>12.01</v>
      </c>
      <c r="J131" s="74">
        <f>IF(I131-INT(I131)&lt;0.1,INT(I131),IF(I131-INT(I131)&lt;=0.7,INT(I131)+0.5,INT(I131)+1))</f>
        <v/>
      </c>
      <c r="K131" s="67" t="n">
        <v>46302</v>
      </c>
      <c r="L131" s="36" t="inlineStr">
        <is>
          <t>SILVANA</t>
        </is>
      </c>
      <c r="M131" s="63" t="n">
        <v>6</v>
      </c>
      <c r="N131" s="36" t="inlineStr">
        <is>
          <t>PAOLA LUNA</t>
        </is>
      </c>
      <c r="O131" s="63" t="n">
        <v>6</v>
      </c>
      <c r="P131" s="63" t="n"/>
      <c r="Q131" s="63" t="n"/>
      <c r="R131" s="63" t="inlineStr">
        <is>
          <t>GUILLERMO</t>
        </is>
      </c>
      <c r="S131" s="17" t="inlineStr">
        <is>
          <t>CESAR</t>
        </is>
      </c>
    </row>
    <row r="132">
      <c r="A132" s="63" t="inlineStr">
        <is>
          <t>7694327281476455189</t>
        </is>
      </c>
      <c r="B132" s="83" t="inlineStr">
        <is>
          <t>amora_the_beauty_market</t>
        </is>
      </c>
      <c r="C132" s="91" t="inlineStr">
        <is>
          <t>MX</t>
        </is>
      </c>
      <c r="D132" s="65" t="n">
        <v>514857.84</v>
      </c>
      <c r="E132" s="40">
        <f>D132/1.16</f>
        <v/>
      </c>
      <c r="F132" s="52">
        <f>IFERROR(D132/J132,0)</f>
        <v/>
      </c>
      <c r="G132" s="40">
        <f>F132/1.16</f>
        <v/>
      </c>
      <c r="H132" s="66" t="n"/>
      <c r="I132" s="74" t="n">
        <v>12</v>
      </c>
      <c r="J132" s="74">
        <f>IF(I132-INT(I132)&lt;0.1,INT(I132),IF(I132-INT(I132)&lt;=0.7,INT(I132)+0.5,INT(I132)+1))</f>
        <v/>
      </c>
      <c r="K132" s="67" t="n">
        <v>46303</v>
      </c>
      <c r="L132" s="36" t="inlineStr">
        <is>
          <t>SILVANA</t>
        </is>
      </c>
      <c r="M132" s="63" t="n">
        <v>7</v>
      </c>
      <c r="N132" s="36" t="inlineStr">
        <is>
          <t>PAOLA LUNA</t>
        </is>
      </c>
      <c r="O132" s="63" t="n">
        <v>5</v>
      </c>
      <c r="P132" s="63" t="n"/>
      <c r="Q132" s="63" t="n"/>
      <c r="R132" s="63" t="inlineStr">
        <is>
          <t>GUILLERMO</t>
        </is>
      </c>
      <c r="S132" s="17" t="inlineStr">
        <is>
          <t>CESAR</t>
        </is>
      </c>
    </row>
    <row r="133">
      <c r="A133" s="63" t="inlineStr">
        <is>
          <t>7694698184607042325</t>
        </is>
      </c>
      <c r="B133" s="83" t="inlineStr">
        <is>
          <t>amora_the_beauty_market</t>
        </is>
      </c>
      <c r="C133" s="91" t="inlineStr">
        <is>
          <t>MX</t>
        </is>
      </c>
      <c r="D133" s="65" t="n">
        <v>396055.9</v>
      </c>
      <c r="E133" s="40">
        <f>D133/1.16</f>
        <v/>
      </c>
      <c r="F133" s="52">
        <f>IFERROR(D133/J133,0)</f>
        <v/>
      </c>
      <c r="G133" s="40">
        <f>F133/1.16</f>
        <v/>
      </c>
      <c r="H133" s="66" t="n"/>
      <c r="I133" s="74" t="n">
        <v>12.03</v>
      </c>
      <c r="J133" s="74">
        <f>IF(I133-INT(I133)&lt;0.1,INT(I133),IF(I133-INT(I133)&lt;=0.7,INT(I133)+0.5,INT(I133)+1))</f>
        <v/>
      </c>
      <c r="K133" s="67" t="n">
        <v>46304</v>
      </c>
      <c r="L133" s="36" t="inlineStr">
        <is>
          <t>SILVANA</t>
        </is>
      </c>
      <c r="M133" s="63" t="n">
        <v>6</v>
      </c>
      <c r="N133" s="36" t="inlineStr">
        <is>
          <t>AISHA</t>
        </is>
      </c>
      <c r="O133" s="63" t="n">
        <v>6</v>
      </c>
      <c r="P133" s="63" t="n"/>
      <c r="Q133" s="63" t="n"/>
      <c r="R133" s="63" t="inlineStr">
        <is>
          <t>GUILLERMO</t>
        </is>
      </c>
      <c r="S133" s="17" t="inlineStr">
        <is>
          <t>CESAR</t>
        </is>
      </c>
    </row>
    <row r="134">
      <c r="A134" s="63" t="inlineStr">
        <is>
          <t>7695874266236701460</t>
        </is>
      </c>
      <c r="B134" s="83" t="inlineStr">
        <is>
          <t>amora_the_beauty_market</t>
        </is>
      </c>
      <c r="C134" s="91" t="inlineStr">
        <is>
          <t>MX</t>
        </is>
      </c>
      <c r="D134" s="65" t="n">
        <v>112948.37</v>
      </c>
      <c r="E134" s="40">
        <f>D134/1.16</f>
        <v/>
      </c>
      <c r="F134" s="52">
        <f>IFERROR(D134/J134,0)</f>
        <v/>
      </c>
      <c r="G134" s="40">
        <f>F134/1.16</f>
        <v/>
      </c>
      <c r="H134" s="66" t="n"/>
      <c r="I134" s="74" t="n">
        <v>7.01</v>
      </c>
      <c r="J134" s="74">
        <f>IF(I134-INT(I134)&lt;0.1,INT(I134),IF(I134-INT(I134)&lt;=0.7,INT(I134)+0.5,INT(I134)+1))</f>
        <v/>
      </c>
      <c r="K134" s="67" t="n">
        <v>46307</v>
      </c>
      <c r="L134" s="36" t="inlineStr">
        <is>
          <t>SILVANA</t>
        </is>
      </c>
      <c r="M134" s="63" t="n">
        <v>6</v>
      </c>
      <c r="N134" s="36" t="inlineStr">
        <is>
          <t>EMILIANO</t>
        </is>
      </c>
      <c r="O134" s="63" t="n">
        <v>1</v>
      </c>
      <c r="P134" s="63" t="n"/>
      <c r="Q134" s="63" t="n"/>
      <c r="R134" s="63" t="inlineStr">
        <is>
          <t>GUILLERMO</t>
        </is>
      </c>
      <c r="S134" s="17" t="n"/>
    </row>
    <row r="135">
      <c r="A135" s="63" t="inlineStr">
        <is>
          <t>7696244436460325684</t>
        </is>
      </c>
      <c r="B135" s="83" t="inlineStr">
        <is>
          <t>amora_the_beauty_market</t>
        </is>
      </c>
      <c r="C135" s="91" t="inlineStr">
        <is>
          <t>MX</t>
        </is>
      </c>
      <c r="D135" s="65" t="n">
        <v>168376.32</v>
      </c>
      <c r="E135" s="40">
        <f>D135/1.16</f>
        <v/>
      </c>
      <c r="F135" s="52">
        <f>IFERROR(D135/J135,0)</f>
        <v/>
      </c>
      <c r="G135" s="40">
        <f>F135/1.16</f>
        <v/>
      </c>
      <c r="H135" s="66" t="n"/>
      <c r="I135" s="74" t="n">
        <v>7.01</v>
      </c>
      <c r="J135" s="74">
        <f>IF(I135-INT(I135)&lt;0.1,INT(I135),IF(I135-INT(I135)&lt;=0.7,INT(I135)+0.5,INT(I135)+1))</f>
        <v/>
      </c>
      <c r="K135" s="67" t="n">
        <v>46308</v>
      </c>
      <c r="L135" s="36" t="inlineStr">
        <is>
          <t>SILVANA</t>
        </is>
      </c>
      <c r="M135" s="63" t="n">
        <v>3</v>
      </c>
      <c r="N135" s="36" t="inlineStr">
        <is>
          <t>PAOLA LUNA</t>
        </is>
      </c>
      <c r="O135" s="63" t="n">
        <v>4</v>
      </c>
      <c r="P135" s="63" t="n"/>
      <c r="Q135" s="63" t="n"/>
      <c r="R135" s="63" t="inlineStr">
        <is>
          <t>GUILLERMO</t>
        </is>
      </c>
      <c r="S135" s="17" t="n"/>
    </row>
    <row r="136">
      <c r="A136" s="63" t="inlineStr">
        <is>
          <t>7696615801083710229</t>
        </is>
      </c>
      <c r="B136" s="83" t="inlineStr">
        <is>
          <t>amora_the_beauty_market</t>
        </is>
      </c>
      <c r="C136" s="91" t="inlineStr">
        <is>
          <t>MX</t>
        </is>
      </c>
      <c r="D136" s="65" t="n">
        <v>167291.49</v>
      </c>
      <c r="E136" s="40">
        <f>D136/1.16</f>
        <v/>
      </c>
      <c r="F136" s="52">
        <f>IFERROR(D136/J136,0)</f>
        <v/>
      </c>
      <c r="G136" s="40">
        <f>F136/1.16</f>
        <v/>
      </c>
      <c r="H136" s="66" t="n"/>
      <c r="I136" s="74" t="n">
        <v>7.01</v>
      </c>
      <c r="J136" s="74">
        <f>IF(I136-INT(I136)&lt;0.1,INT(I136),IF(I136-INT(I136)&lt;=0.7,INT(I136)+0.5,INT(I136)+1))</f>
        <v/>
      </c>
      <c r="K136" s="67" t="n">
        <v>46309</v>
      </c>
      <c r="L136" s="36" t="inlineStr">
        <is>
          <t>SILVANA</t>
        </is>
      </c>
      <c r="M136" s="63" t="n">
        <v>4</v>
      </c>
      <c r="N136" s="36" t="inlineStr">
        <is>
          <t>PAOLA LUNA</t>
        </is>
      </c>
      <c r="O136" s="63" t="n">
        <v>3</v>
      </c>
      <c r="P136" s="63" t="n"/>
      <c r="Q136" s="63" t="n"/>
      <c r="R136" s="63" t="inlineStr">
        <is>
          <t>GUILLERMO</t>
        </is>
      </c>
      <c r="S136" s="17" t="n"/>
    </row>
    <row r="137">
      <c r="A137" s="63" t="inlineStr">
        <is>
          <t>7696971203013659410</t>
        </is>
      </c>
      <c r="B137" s="83" t="inlineStr">
        <is>
          <t>amora_the_beauty_market</t>
        </is>
      </c>
      <c r="C137" s="91" t="inlineStr">
        <is>
          <t>MX</t>
        </is>
      </c>
      <c r="D137" s="65" t="n">
        <v>177764.58</v>
      </c>
      <c r="E137" s="40">
        <f>D137/1.16</f>
        <v/>
      </c>
      <c r="F137" s="52">
        <f>IFERROR(D137/J137,0)</f>
        <v/>
      </c>
      <c r="G137" s="40">
        <f>F137/1.16</f>
        <v/>
      </c>
      <c r="H137" s="66" t="n"/>
      <c r="I137" s="74" t="n">
        <v>8.01</v>
      </c>
      <c r="J137" s="74">
        <f>IF(I137-INT(I137)&lt;0.1,INT(I137),IF(I137-INT(I137)&lt;=0.7,INT(I137)+0.5,INT(I137)+1))</f>
        <v/>
      </c>
      <c r="K137" s="67" t="n">
        <v>46310</v>
      </c>
      <c r="L137" s="36" t="inlineStr">
        <is>
          <t>SILVANA</t>
        </is>
      </c>
      <c r="M137" s="63" t="n">
        <v>3</v>
      </c>
      <c r="N137" s="36" t="inlineStr">
        <is>
          <t>PAOLA LUNA</t>
        </is>
      </c>
      <c r="O137" s="63" t="n">
        <v>5</v>
      </c>
      <c r="P137" s="63" t="n"/>
      <c r="Q137" s="63" t="n"/>
      <c r="R137" s="63" t="inlineStr">
        <is>
          <t>GUILLERMO</t>
        </is>
      </c>
      <c r="S137" s="17" t="n"/>
    </row>
    <row r="138">
      <c r="A138" s="63" t="inlineStr">
        <is>
          <t>7697357793682017025</t>
        </is>
      </c>
      <c r="B138" s="83" t="inlineStr">
        <is>
          <t>amora_the_beauty_market</t>
        </is>
      </c>
      <c r="C138" s="91" t="inlineStr">
        <is>
          <t>MX</t>
        </is>
      </c>
      <c r="D138" s="65" t="n">
        <v>136591.49</v>
      </c>
      <c r="E138" s="40">
        <f>D138/1.16</f>
        <v/>
      </c>
      <c r="F138" s="52">
        <f>IFERROR(D138/J138,0)</f>
        <v/>
      </c>
      <c r="G138" s="40">
        <f>F138/1.16</f>
        <v/>
      </c>
      <c r="H138" s="66" t="n"/>
      <c r="I138" s="74" t="n">
        <v>7.01</v>
      </c>
      <c r="J138" s="74">
        <f>IF(I138-INT(I138)&lt;0.1,INT(I138),IF(I138-INT(I138)&lt;=0.7,INT(I138)+0.5,INT(I138)+1))</f>
        <v/>
      </c>
      <c r="K138" s="67" t="n">
        <v>46311</v>
      </c>
      <c r="L138" s="36" t="inlineStr">
        <is>
          <t>SILVANA</t>
        </is>
      </c>
      <c r="M138" s="63" t="n">
        <v>4</v>
      </c>
      <c r="N138" s="36" t="inlineStr">
        <is>
          <t>PAOLA LUNA</t>
        </is>
      </c>
      <c r="O138" s="63" t="n">
        <v>3</v>
      </c>
      <c r="P138" s="63" t="n"/>
      <c r="Q138" s="63" t="n"/>
      <c r="R138" s="63" t="inlineStr">
        <is>
          <t>GUILLERMO</t>
        </is>
      </c>
      <c r="S138" s="17" t="n"/>
    </row>
    <row r="139">
      <c r="A139" s="63" t="inlineStr">
        <is>
          <t>7698842244972038920</t>
        </is>
      </c>
      <c r="B139" s="83" t="inlineStr">
        <is>
          <t>amora_the_beauty_market</t>
        </is>
      </c>
      <c r="C139" s="91" t="inlineStr">
        <is>
          <t>MX</t>
        </is>
      </c>
      <c r="D139" s="65" t="n">
        <v>116601.67</v>
      </c>
      <c r="E139" s="40">
        <f>D139/1.16</f>
        <v/>
      </c>
      <c r="F139" s="52">
        <f>IFERROR(D139/J139,0)</f>
        <v/>
      </c>
      <c r="G139" s="40">
        <f>F139/1.16</f>
        <v/>
      </c>
      <c r="H139" s="66" t="n"/>
      <c r="I139" s="74" t="n">
        <v>7.01</v>
      </c>
      <c r="J139" s="74">
        <f>IF(I139-INT(I139)&lt;0.1,INT(I139),IF(I139-INT(I139)&lt;=0.7,INT(I139)+0.5,INT(I139)+1))</f>
        <v/>
      </c>
      <c r="K139" s="67" t="n">
        <v>46315</v>
      </c>
      <c r="L139" s="36" t="inlineStr">
        <is>
          <t>EDER</t>
        </is>
      </c>
      <c r="M139" s="63" t="n">
        <v>3</v>
      </c>
      <c r="N139" s="36" t="inlineStr">
        <is>
          <t>PAOLA LUNA</t>
        </is>
      </c>
      <c r="O139" s="63" t="n">
        <v>4</v>
      </c>
      <c r="P139" s="63" t="n"/>
      <c r="Q139" s="63" t="n"/>
      <c r="R139" s="63" t="inlineStr">
        <is>
          <t>GUILLERMO</t>
        </is>
      </c>
      <c r="S139" s="17" t="n"/>
    </row>
    <row r="140">
      <c r="A140" s="63" t="inlineStr">
        <is>
          <t>7699213174119615240</t>
        </is>
      </c>
      <c r="B140" s="83" t="inlineStr">
        <is>
          <t>amora_the_beauty_market</t>
        </is>
      </c>
      <c r="C140" s="91" t="inlineStr">
        <is>
          <t>MX</t>
        </is>
      </c>
      <c r="D140" s="65" t="n">
        <v>150226.26</v>
      </c>
      <c r="E140" s="40">
        <f>D140/1.16</f>
        <v/>
      </c>
      <c r="F140" s="52">
        <f>IFERROR(D140/J140,0)</f>
        <v/>
      </c>
      <c r="G140" s="40">
        <f>F140/1.16</f>
        <v/>
      </c>
      <c r="H140" s="66" t="n"/>
      <c r="I140" s="74" t="n">
        <v>7.01</v>
      </c>
      <c r="J140" s="74">
        <f>IF(I140-INT(I140)&lt;0.1,INT(I140),IF(I140-INT(I140)&lt;=0.7,INT(I140)+0.5,INT(I140)+1))</f>
        <v/>
      </c>
      <c r="K140" s="67" t="n">
        <v>46316</v>
      </c>
      <c r="L140" s="36" t="inlineStr">
        <is>
          <t>EDER</t>
        </is>
      </c>
      <c r="M140" s="63" t="n">
        <v>3</v>
      </c>
      <c r="N140" s="36" t="inlineStr">
        <is>
          <t>SILVANA</t>
        </is>
      </c>
      <c r="O140" s="63" t="n">
        <v>4</v>
      </c>
      <c r="P140" s="63" t="n"/>
      <c r="Q140" s="63" t="n"/>
      <c r="R140" s="63" t="inlineStr">
        <is>
          <t>GUILLERMO</t>
        </is>
      </c>
      <c r="S140" s="17" t="n"/>
    </row>
    <row r="141">
      <c r="A141" s="63" t="inlineStr">
        <is>
          <t>7699584401496378119</t>
        </is>
      </c>
      <c r="B141" s="83" t="inlineStr">
        <is>
          <t>amora_the_beauty_market</t>
        </is>
      </c>
      <c r="C141" s="91" t="inlineStr">
        <is>
          <t>MX</t>
        </is>
      </c>
      <c r="D141" s="65" t="n">
        <v>124591.3</v>
      </c>
      <c r="E141" s="40">
        <f>D141/1.16</f>
        <v/>
      </c>
      <c r="F141" s="52">
        <f>IFERROR(D141/J141,0)</f>
        <v/>
      </c>
      <c r="G141" s="40">
        <f>F141/1.16</f>
        <v/>
      </c>
      <c r="H141" s="66" t="n"/>
      <c r="I141" s="74" t="n">
        <v>7.01</v>
      </c>
      <c r="J141" s="74">
        <f>IF(I141-INT(I141)&lt;0.1,INT(I141),IF(I141-INT(I141)&lt;=0.7,INT(I141)+0.5,INT(I141)+1))</f>
        <v/>
      </c>
      <c r="K141" s="67" t="n">
        <v>46317</v>
      </c>
      <c r="L141" s="36" t="inlineStr">
        <is>
          <t>PAOLA LUNA</t>
        </is>
      </c>
      <c r="M141" s="63" t="n">
        <v>3</v>
      </c>
      <c r="N141" s="36" t="inlineStr">
        <is>
          <t>SILVANA</t>
        </is>
      </c>
      <c r="O141" s="63" t="n">
        <v>4</v>
      </c>
      <c r="P141" s="63" t="n"/>
      <c r="Q141" s="63" t="n"/>
      <c r="R141" s="63" t="inlineStr">
        <is>
          <t>GUILLERMO</t>
        </is>
      </c>
      <c r="S141" s="17" t="n"/>
    </row>
    <row r="142">
      <c r="A142" s="63" t="inlineStr">
        <is>
          <t>7699955311135673109</t>
        </is>
      </c>
      <c r="B142" s="83" t="inlineStr">
        <is>
          <t>amora_the_beauty_market</t>
        </is>
      </c>
      <c r="C142" s="91" t="inlineStr">
        <is>
          <t>MX</t>
        </is>
      </c>
      <c r="D142" s="65" t="n">
        <v>132223.58</v>
      </c>
      <c r="E142" s="40">
        <f>D142/1.16</f>
        <v/>
      </c>
      <c r="F142" s="52">
        <f>IFERROR(D142/J142,0)</f>
        <v/>
      </c>
      <c r="G142" s="40">
        <f>F142/1.16</f>
        <v/>
      </c>
      <c r="H142" s="66" t="n"/>
      <c r="I142" s="74" t="n">
        <v>7.01</v>
      </c>
      <c r="J142" s="74">
        <f>IF(I142-INT(I142)&lt;0.1,INT(I142),IF(I142-INT(I142)&lt;=0.7,INT(I142)+0.5,INT(I142)+1))</f>
        <v/>
      </c>
      <c r="K142" s="67" t="n">
        <v>46318</v>
      </c>
      <c r="L142" s="36" t="inlineStr">
        <is>
          <t>SILVANA</t>
        </is>
      </c>
      <c r="M142" s="63" t="n">
        <v>3</v>
      </c>
      <c r="N142" s="36" t="inlineStr">
        <is>
          <t>PAOLA LUNA</t>
        </is>
      </c>
      <c r="O142" s="63" t="n">
        <v>4</v>
      </c>
      <c r="P142" s="63" t="n"/>
      <c r="Q142" s="63" t="n"/>
      <c r="R142" s="63" t="inlineStr">
        <is>
          <t>GUILLERMO</t>
        </is>
      </c>
      <c r="S142" s="17" t="n"/>
    </row>
    <row r="143">
      <c r="A143" s="63" t="inlineStr">
        <is>
          <t>7700341943755442962</t>
        </is>
      </c>
      <c r="B143" s="83" t="inlineStr">
        <is>
          <t>amora_the_beauty_market</t>
        </is>
      </c>
      <c r="C143" s="91" t="inlineStr">
        <is>
          <t>MX</t>
        </is>
      </c>
      <c r="D143" s="65" t="n">
        <v>111703.81</v>
      </c>
      <c r="E143" s="40">
        <f>D143/1.16</f>
        <v/>
      </c>
      <c r="F143" s="52">
        <f>IFERROR(D143/J143,0)</f>
        <v/>
      </c>
      <c r="G143" s="40">
        <f>F143/1.16</f>
        <v/>
      </c>
      <c r="H143" s="66" t="n"/>
      <c r="I143" s="74" t="n">
        <v>7.01</v>
      </c>
      <c r="J143" s="74">
        <f>IF(I143-INT(I143)&lt;0.1,INT(I143),IF(I143-INT(I143)&lt;=0.7,INT(I143)+0.5,INT(I143)+1))</f>
        <v/>
      </c>
      <c r="K143" s="67" t="n">
        <v>46319</v>
      </c>
      <c r="L143" s="36" t="inlineStr">
        <is>
          <t>SILVANA</t>
        </is>
      </c>
      <c r="M143" s="63" t="n">
        <v>2</v>
      </c>
      <c r="N143" s="36" t="inlineStr">
        <is>
          <t>PAOLA LUNA</t>
        </is>
      </c>
      <c r="O143" s="63" t="n">
        <v>5</v>
      </c>
      <c r="P143" s="63" t="n"/>
      <c r="Q143" s="63" t="n"/>
      <c r="R143" s="63" t="inlineStr">
        <is>
          <t>GUILLERMO</t>
        </is>
      </c>
      <c r="S143" s="17" t="n"/>
    </row>
    <row r="144">
      <c r="A144" s="63" t="inlineStr">
        <is>
          <t>7701068870258576134</t>
        </is>
      </c>
      <c r="B144" s="83" t="inlineStr">
        <is>
          <t>amora_the_beauty_market</t>
        </is>
      </c>
      <c r="C144" s="91" t="inlineStr">
        <is>
          <t>MX</t>
        </is>
      </c>
      <c r="D144" s="65" t="n">
        <v>90708.99000000001</v>
      </c>
      <c r="E144" s="40">
        <f>D144/1.16</f>
        <v/>
      </c>
      <c r="F144" s="52">
        <f>IFERROR(D144/J144,0)</f>
        <v/>
      </c>
      <c r="G144" s="40">
        <f>F144/1.16</f>
        <v/>
      </c>
      <c r="H144" s="66" t="n"/>
      <c r="I144" s="74" t="n">
        <v>7.02</v>
      </c>
      <c r="J144" s="74">
        <f>IF(I144-INT(I144)&lt;0.1,INT(I144),IF(I144-INT(I144)&lt;=0.7,INT(I144)+0.5,INT(I144)+1))</f>
        <v/>
      </c>
      <c r="K144" s="67" t="n">
        <v>46321</v>
      </c>
      <c r="L144" s="36" t="inlineStr">
        <is>
          <t>SILVANA</t>
        </is>
      </c>
      <c r="M144" s="63" t="n">
        <v>3</v>
      </c>
      <c r="N144" s="36" t="inlineStr">
        <is>
          <t>PAOLA LUNA</t>
        </is>
      </c>
      <c r="O144" s="63" t="n">
        <v>4</v>
      </c>
      <c r="P144" s="63" t="n"/>
      <c r="Q144" s="63" t="n"/>
      <c r="R144" s="63" t="inlineStr">
        <is>
          <t>GUILLERMO</t>
        </is>
      </c>
      <c r="S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56" t="n"/>
      <c r="L145" s="17" t="n"/>
      <c r="M145" s="17" t="n"/>
      <c r="N145" s="17" t="n"/>
      <c r="O145" s="17" t="n"/>
      <c r="P145" s="17" t="n"/>
      <c r="Q145" s="17" t="n"/>
      <c r="R145" s="17" t="n"/>
      <c r="S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56" t="n"/>
      <c r="L146" s="17" t="n"/>
      <c r="M146" s="17" t="n"/>
      <c r="N146" s="17" t="n"/>
      <c r="O146" s="17" t="n"/>
      <c r="P146" s="17" t="n"/>
      <c r="Q146" s="17" t="n"/>
      <c r="R146" s="17" t="n"/>
      <c r="S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56" t="n"/>
      <c r="L147" s="17" t="n"/>
      <c r="M147" s="17" t="n"/>
      <c r="N147" s="17" t="n"/>
      <c r="O147" s="17" t="n"/>
      <c r="P147" s="17" t="n"/>
      <c r="Q147" s="17" t="n"/>
      <c r="R147" s="17" t="n"/>
      <c r="S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56" t="n"/>
      <c r="L148" s="17" t="n"/>
      <c r="M148" s="17" t="n"/>
      <c r="N148" s="17" t="n"/>
      <c r="O148" s="17" t="n"/>
      <c r="P148" s="17" t="n"/>
      <c r="Q148" s="17" t="n"/>
      <c r="R148" s="17" t="n"/>
      <c r="S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56" t="n"/>
      <c r="L149" s="17" t="n"/>
      <c r="M149" s="17" t="n"/>
      <c r="N149" s="17" t="n"/>
      <c r="O149" s="17" t="n"/>
      <c r="P149" s="17" t="n"/>
      <c r="Q149" s="17" t="n"/>
      <c r="R149" s="17" t="n"/>
      <c r="S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56" t="n"/>
      <c r="L150" s="17" t="n"/>
      <c r="M150" s="17" t="n"/>
      <c r="N150" s="17" t="n"/>
      <c r="O150" s="17" t="n"/>
      <c r="P150" s="17" t="n"/>
      <c r="Q150" s="17" t="n"/>
      <c r="R150" s="17" t="n"/>
      <c r="S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56" t="n"/>
      <c r="L151" s="17" t="n"/>
      <c r="M151" s="17" t="n"/>
      <c r="N151" s="17" t="n"/>
      <c r="O151" s="17" t="n"/>
      <c r="P151" s="17" t="n"/>
      <c r="Q151" s="17" t="n"/>
      <c r="R151" s="17" t="n"/>
      <c r="S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56" t="n"/>
      <c r="L152" s="17" t="n"/>
      <c r="M152" s="17" t="n"/>
      <c r="N152" s="17" t="n"/>
      <c r="O152" s="17" t="n"/>
      <c r="P152" s="17" t="n"/>
      <c r="Q152" s="17" t="n"/>
      <c r="R152" s="17" t="n"/>
      <c r="S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56" t="n"/>
      <c r="L153" s="17" t="n"/>
      <c r="M153" s="17" t="n"/>
      <c r="N153" s="17" t="n"/>
      <c r="O153" s="17" t="n"/>
      <c r="P153" s="17" t="n"/>
      <c r="Q153" s="17" t="n"/>
      <c r="R153" s="17" t="n"/>
      <c r="S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56" t="n"/>
      <c r="L154" s="17" t="n"/>
      <c r="M154" s="17" t="n"/>
      <c r="N154" s="17" t="n"/>
      <c r="O154" s="17" t="n"/>
      <c r="P154" s="17" t="n"/>
      <c r="Q154" s="17" t="n"/>
      <c r="R154" s="17" t="n"/>
      <c r="S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56" t="n"/>
      <c r="L155" s="17" t="n"/>
      <c r="M155" s="17" t="n"/>
      <c r="N155" s="17" t="n"/>
      <c r="O155" s="17" t="n"/>
      <c r="P155" s="17" t="n"/>
      <c r="Q155" s="17" t="n"/>
      <c r="R155" s="17" t="n"/>
      <c r="S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56" t="n"/>
      <c r="L156" s="17" t="n"/>
      <c r="M156" s="17" t="n"/>
      <c r="N156" s="17" t="n"/>
      <c r="O156" s="17" t="n"/>
      <c r="P156" s="17" t="n"/>
      <c r="Q156" s="17" t="n"/>
      <c r="R156" s="17" t="n"/>
      <c r="S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56" t="n"/>
      <c r="L157" s="17" t="n"/>
      <c r="M157" s="17" t="n"/>
      <c r="N157" s="17" t="n"/>
      <c r="O157" s="17" t="n"/>
      <c r="P157" s="17" t="n"/>
      <c r="Q157" s="17" t="n"/>
      <c r="R157" s="17" t="n"/>
      <c r="S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56" t="n"/>
      <c r="L158" s="17" t="n"/>
      <c r="M158" s="17" t="n"/>
      <c r="N158" s="17" t="n"/>
      <c r="O158" s="17" t="n"/>
      <c r="P158" s="17" t="n"/>
      <c r="Q158" s="17" t="n"/>
      <c r="R158" s="17" t="n"/>
      <c r="S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56" t="n"/>
      <c r="L159" s="17" t="n"/>
      <c r="M159" s="17" t="n"/>
      <c r="N159" s="17" t="n"/>
      <c r="O159" s="17" t="n"/>
      <c r="P159" s="17" t="n"/>
      <c r="Q159" s="17" t="n"/>
      <c r="R159" s="17" t="n"/>
      <c r="S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56" t="n"/>
      <c r="L160" s="17" t="n"/>
      <c r="M160" s="17" t="n"/>
      <c r="N160" s="17" t="n"/>
      <c r="O160" s="17" t="n"/>
      <c r="P160" s="17" t="n"/>
      <c r="Q160" s="17" t="n"/>
      <c r="R160" s="17" t="n"/>
      <c r="S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56" t="n"/>
      <c r="L161" s="17" t="n"/>
      <c r="M161" s="17" t="n"/>
      <c r="N161" s="17" t="n"/>
      <c r="O161" s="17" t="n"/>
      <c r="P161" s="17" t="n"/>
      <c r="Q161" s="17" t="n"/>
      <c r="R161" s="17" t="n"/>
      <c r="S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56" t="n"/>
      <c r="L162" s="17" t="n"/>
      <c r="M162" s="17" t="n"/>
      <c r="N162" s="17" t="n"/>
      <c r="O162" s="17" t="n"/>
      <c r="P162" s="17" t="n"/>
      <c r="Q162" s="17" t="n"/>
      <c r="R162" s="17" t="n"/>
      <c r="S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56" t="n"/>
      <c r="L163" s="17" t="n"/>
      <c r="M163" s="17" t="n"/>
      <c r="N163" s="17" t="n"/>
      <c r="O163" s="17" t="n"/>
      <c r="P163" s="17" t="n"/>
      <c r="Q163" s="17" t="n"/>
      <c r="R163" s="17" t="n"/>
      <c r="S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56" t="n"/>
      <c r="L164" s="17" t="n"/>
      <c r="M164" s="17" t="n"/>
      <c r="N164" s="17" t="n"/>
      <c r="O164" s="17" t="n"/>
      <c r="P164" s="17" t="n"/>
      <c r="Q164" s="17" t="n"/>
      <c r="R164" s="17" t="n"/>
      <c r="S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56" t="n"/>
      <c r="L165" s="17" t="n"/>
      <c r="M165" s="17" t="n"/>
      <c r="N165" s="17" t="n"/>
      <c r="O165" s="17" t="n"/>
      <c r="P165" s="17" t="n"/>
      <c r="Q165" s="17" t="n"/>
      <c r="R165" s="17" t="n"/>
      <c r="S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56" t="n"/>
      <c r="L166" s="17" t="n"/>
      <c r="M166" s="17" t="n"/>
      <c r="N166" s="17" t="n"/>
      <c r="O166" s="17" t="n"/>
      <c r="P166" s="17" t="n"/>
      <c r="Q166" s="17" t="n"/>
      <c r="R166" s="17" t="n"/>
      <c r="S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56" t="n"/>
      <c r="L167" s="17" t="n"/>
      <c r="M167" s="17" t="n"/>
      <c r="N167" s="17" t="n"/>
      <c r="O167" s="17" t="n"/>
      <c r="P167" s="17" t="n"/>
      <c r="Q167" s="17" t="n"/>
      <c r="R167" s="17" t="n"/>
      <c r="S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56" t="n"/>
      <c r="L168" s="17" t="n"/>
      <c r="M168" s="17" t="n"/>
      <c r="N168" s="17" t="n"/>
      <c r="O168" s="17" t="n"/>
      <c r="P168" s="17" t="n"/>
      <c r="Q168" s="17" t="n"/>
      <c r="R168" s="17" t="n"/>
      <c r="S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56" t="n"/>
      <c r="L169" s="17" t="n"/>
      <c r="M169" s="17" t="n"/>
      <c r="N169" s="17" t="n"/>
      <c r="O169" s="17" t="n"/>
      <c r="P169" s="17" t="n"/>
      <c r="Q169" s="17" t="n"/>
      <c r="R169" s="17" t="n"/>
      <c r="S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56" t="n"/>
      <c r="L170" s="17" t="n"/>
      <c r="M170" s="17" t="n"/>
      <c r="N170" s="17" t="n"/>
      <c r="O170" s="17" t="n"/>
      <c r="P170" s="17" t="n"/>
      <c r="Q170" s="17" t="n"/>
      <c r="R170" s="17" t="n"/>
      <c r="S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56" t="n"/>
      <c r="L171" s="17" t="n"/>
      <c r="M171" s="17" t="n"/>
      <c r="N171" s="17" t="n"/>
      <c r="O171" s="17" t="n"/>
      <c r="P171" s="17" t="n"/>
      <c r="Q171" s="17" t="n"/>
      <c r="R171" s="17" t="n"/>
      <c r="S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56" t="n"/>
      <c r="L172" s="17" t="n"/>
      <c r="M172" s="17" t="n"/>
      <c r="N172" s="17" t="n"/>
      <c r="O172" s="17" t="n"/>
      <c r="P172" s="17" t="n"/>
      <c r="Q172" s="17" t="n"/>
      <c r="R172" s="17" t="n"/>
      <c r="S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56" t="n"/>
      <c r="L173" s="17" t="n"/>
      <c r="M173" s="17" t="n"/>
      <c r="N173" s="17" t="n"/>
      <c r="O173" s="17" t="n"/>
      <c r="P173" s="17" t="n"/>
      <c r="Q173" s="17" t="n"/>
      <c r="R173" s="17" t="n"/>
      <c r="S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56" t="n"/>
      <c r="L174" s="17" t="n"/>
      <c r="M174" s="17" t="n"/>
      <c r="N174" s="17" t="n"/>
      <c r="O174" s="17" t="n"/>
      <c r="P174" s="17" t="n"/>
      <c r="Q174" s="17" t="n"/>
      <c r="R174" s="17" t="n"/>
      <c r="S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56" t="n"/>
      <c r="L175" s="17" t="n"/>
      <c r="M175" s="17" t="n"/>
      <c r="N175" s="17" t="n"/>
      <c r="O175" s="17" t="n"/>
      <c r="P175" s="17" t="n"/>
      <c r="Q175" s="17" t="n"/>
      <c r="R175" s="17" t="n"/>
      <c r="S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56" t="n"/>
      <c r="L176" s="17" t="n"/>
      <c r="M176" s="17" t="n"/>
      <c r="N176" s="17" t="n"/>
      <c r="O176" s="17" t="n"/>
      <c r="P176" s="17" t="n"/>
      <c r="Q176" s="17" t="n"/>
      <c r="R176" s="17" t="n"/>
      <c r="S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56" t="n"/>
      <c r="L177" s="17" t="n"/>
      <c r="M177" s="17" t="n"/>
      <c r="N177" s="17" t="n"/>
      <c r="O177" s="17" t="n"/>
      <c r="P177" s="17" t="n"/>
      <c r="Q177" s="17" t="n"/>
      <c r="R177" s="17" t="n"/>
      <c r="S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56" t="n"/>
      <c r="L178" s="17" t="n"/>
      <c r="M178" s="17" t="n"/>
      <c r="N178" s="17" t="n"/>
      <c r="O178" s="17" t="n"/>
      <c r="P178" s="17" t="n"/>
      <c r="Q178" s="17" t="n"/>
      <c r="R178" s="17" t="n"/>
      <c r="S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56" t="n"/>
      <c r="L179" s="17" t="n"/>
      <c r="M179" s="17" t="n"/>
      <c r="N179" s="17" t="n"/>
      <c r="O179" s="17" t="n"/>
      <c r="P179" s="17" t="n"/>
      <c r="Q179" s="17" t="n"/>
      <c r="R179" s="17" t="n"/>
      <c r="S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56" t="n"/>
      <c r="L180" s="17" t="n"/>
      <c r="M180" s="17" t="n"/>
      <c r="N180" s="17" t="n"/>
      <c r="O180" s="17" t="n"/>
      <c r="P180" s="17" t="n"/>
      <c r="Q180" s="17" t="n"/>
      <c r="R180" s="17" t="n"/>
      <c r="S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56" t="n"/>
      <c r="L181" s="17" t="n"/>
      <c r="M181" s="17" t="n"/>
      <c r="N181" s="17" t="n"/>
      <c r="O181" s="17" t="n"/>
      <c r="P181" s="17" t="n"/>
      <c r="Q181" s="17" t="n"/>
      <c r="R181" s="17" t="n"/>
      <c r="S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56" t="n"/>
      <c r="L182" s="17" t="n"/>
      <c r="M182" s="17" t="n"/>
      <c r="N182" s="17" t="n"/>
      <c r="O182" s="17" t="n"/>
      <c r="P182" s="17" t="n"/>
      <c r="Q182" s="17" t="n"/>
      <c r="R182" s="17" t="n"/>
      <c r="S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56" t="n"/>
      <c r="L183" s="17" t="n"/>
      <c r="M183" s="17" t="n"/>
      <c r="N183" s="17" t="n"/>
      <c r="O183" s="17" t="n"/>
      <c r="P183" s="17" t="n"/>
      <c r="Q183" s="17" t="n"/>
      <c r="R183" s="17" t="n"/>
      <c r="S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56" t="n"/>
      <c r="L184" s="17" t="n"/>
      <c r="M184" s="17" t="n"/>
      <c r="N184" s="17" t="n"/>
      <c r="O184" s="17" t="n"/>
      <c r="P184" s="17" t="n"/>
      <c r="Q184" s="17" t="n"/>
      <c r="R184" s="17" t="n"/>
      <c r="S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56" t="n"/>
      <c r="L185" s="17" t="n"/>
      <c r="M185" s="17" t="n"/>
      <c r="N185" s="17" t="n"/>
      <c r="O185" s="17" t="n"/>
      <c r="P185" s="17" t="n"/>
      <c r="Q185" s="17" t="n"/>
      <c r="R185" s="17" t="n"/>
      <c r="S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56" t="n"/>
      <c r="L186" s="17" t="n"/>
      <c r="M186" s="17" t="n"/>
      <c r="N186" s="17" t="n"/>
      <c r="O186" s="17" t="n"/>
      <c r="P186" s="17" t="n"/>
      <c r="Q186" s="17" t="n"/>
      <c r="R186" s="17" t="n"/>
      <c r="S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56" t="n"/>
      <c r="L187" s="17" t="n"/>
      <c r="M187" s="17" t="n"/>
      <c r="N187" s="17" t="n"/>
      <c r="O187" s="17" t="n"/>
      <c r="P187" s="17" t="n"/>
      <c r="Q187" s="17" t="n"/>
      <c r="R187" s="17" t="n"/>
      <c r="S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56" t="n"/>
      <c r="L188" s="17" t="n"/>
      <c r="M188" s="17" t="n"/>
      <c r="N188" s="17" t="n"/>
      <c r="O188" s="17" t="n"/>
      <c r="P188" s="17" t="n"/>
      <c r="Q188" s="17" t="n"/>
      <c r="R188" s="17" t="n"/>
      <c r="S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56" t="n"/>
      <c r="L189" s="17" t="n"/>
      <c r="M189" s="17" t="n"/>
      <c r="N189" s="17" t="n"/>
      <c r="O189" s="17" t="n"/>
      <c r="P189" s="17" t="n"/>
      <c r="Q189" s="17" t="n"/>
      <c r="R189" s="17" t="n"/>
      <c r="S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56" t="n"/>
      <c r="L190" s="17" t="n"/>
      <c r="M190" s="17" t="n"/>
      <c r="N190" s="17" t="n"/>
      <c r="O190" s="17" t="n"/>
      <c r="P190" s="17" t="n"/>
      <c r="Q190" s="17" t="n"/>
      <c r="R190" s="17" t="n"/>
      <c r="S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56" t="n"/>
      <c r="L191" s="17" t="n"/>
      <c r="M191" s="17" t="n"/>
      <c r="N191" s="17" t="n"/>
      <c r="O191" s="17" t="n"/>
      <c r="P191" s="17" t="n"/>
      <c r="Q191" s="17" t="n"/>
      <c r="R191" s="17" t="n"/>
      <c r="S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56" t="n"/>
      <c r="L192" s="17" t="n"/>
      <c r="M192" s="17" t="n"/>
      <c r="N192" s="17" t="n"/>
      <c r="O192" s="17" t="n"/>
      <c r="P192" s="17" t="n"/>
      <c r="Q192" s="17" t="n"/>
      <c r="R192" s="17" t="n"/>
      <c r="S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56" t="n"/>
      <c r="L193" s="17" t="n"/>
      <c r="M193" s="17" t="n"/>
      <c r="N193" s="17" t="n"/>
      <c r="O193" s="17" t="n"/>
      <c r="P193" s="17" t="n"/>
      <c r="Q193" s="17" t="n"/>
      <c r="R193" s="17" t="n"/>
      <c r="S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56" t="n"/>
      <c r="L194" s="17" t="n"/>
      <c r="M194" s="17" t="n"/>
      <c r="N194" s="17" t="n"/>
      <c r="O194" s="17" t="n"/>
      <c r="P194" s="17" t="n"/>
      <c r="Q194" s="17" t="n"/>
      <c r="R194" s="17" t="n"/>
      <c r="S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56" t="n"/>
      <c r="L195" s="17" t="n"/>
      <c r="M195" s="17" t="n"/>
      <c r="N195" s="17" t="n"/>
      <c r="O195" s="17" t="n"/>
      <c r="P195" s="17" t="n"/>
      <c r="Q195" s="17" t="n"/>
      <c r="R195" s="17" t="n"/>
      <c r="S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56" t="n"/>
      <c r="L196" s="17" t="n"/>
      <c r="M196" s="17" t="n"/>
      <c r="N196" s="17" t="n"/>
      <c r="O196" s="17" t="n"/>
      <c r="P196" s="17" t="n"/>
      <c r="Q196" s="17" t="n"/>
      <c r="R196" s="17" t="n"/>
      <c r="S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56" t="n"/>
      <c r="L197" s="17" t="n"/>
      <c r="M197" s="17" t="n"/>
      <c r="N197" s="17" t="n"/>
      <c r="O197" s="17" t="n"/>
      <c r="P197" s="17" t="n"/>
      <c r="Q197" s="17" t="n"/>
      <c r="R197" s="17" t="n"/>
      <c r="S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56" t="n"/>
      <c r="L198" s="17" t="n"/>
      <c r="M198" s="17" t="n"/>
      <c r="N198" s="17" t="n"/>
      <c r="O198" s="17" t="n"/>
      <c r="P198" s="17" t="n"/>
      <c r="Q198" s="17" t="n"/>
      <c r="R198" s="17" t="n"/>
      <c r="S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56" t="n"/>
      <c r="L199" s="17" t="n"/>
      <c r="M199" s="17" t="n"/>
      <c r="N199" s="17" t="n"/>
      <c r="O199" s="17" t="n"/>
      <c r="P199" s="17" t="n"/>
      <c r="Q199" s="17" t="n"/>
      <c r="R199" s="17" t="n"/>
      <c r="S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56" t="n"/>
      <c r="L200" s="17" t="n"/>
      <c r="M200" s="17" t="n"/>
      <c r="N200" s="17" t="n"/>
      <c r="O200" s="17" t="n"/>
      <c r="P200" s="17" t="n"/>
      <c r="Q200" s="17" t="n"/>
      <c r="R200" s="17" t="n"/>
      <c r="S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56" t="n"/>
      <c r="L201" s="17" t="n"/>
      <c r="M201" s="17" t="n"/>
      <c r="N201" s="17" t="n"/>
      <c r="O201" s="17" t="n"/>
      <c r="P201" s="17" t="n"/>
      <c r="Q201" s="17" t="n"/>
      <c r="R201" s="17" t="n"/>
      <c r="S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56" t="n"/>
      <c r="L202" s="17" t="n"/>
      <c r="M202" s="17" t="n"/>
      <c r="N202" s="17" t="n"/>
      <c r="O202" s="17" t="n"/>
      <c r="P202" s="17" t="n"/>
      <c r="Q202" s="17" t="n"/>
      <c r="R202" s="17" t="n"/>
      <c r="S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56" t="n"/>
      <c r="L203" s="17" t="n"/>
      <c r="M203" s="17" t="n"/>
      <c r="N203" s="17" t="n"/>
      <c r="O203" s="17" t="n"/>
      <c r="P203" s="17" t="n"/>
      <c r="Q203" s="17" t="n"/>
      <c r="R203" s="17" t="n"/>
      <c r="S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56" t="n"/>
      <c r="L204" s="17" t="n"/>
      <c r="M204" s="17" t="n"/>
      <c r="N204" s="17" t="n"/>
      <c r="O204" s="17" t="n"/>
      <c r="P204" s="17" t="n"/>
      <c r="Q204" s="17" t="n"/>
      <c r="R204" s="17" t="n"/>
      <c r="S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56" t="n"/>
      <c r="L205" s="17" t="n"/>
      <c r="M205" s="17" t="n"/>
      <c r="N205" s="17" t="n"/>
      <c r="O205" s="17" t="n"/>
      <c r="P205" s="17" t="n"/>
      <c r="Q205" s="17" t="n"/>
      <c r="R205" s="17" t="n"/>
      <c r="S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56" t="n"/>
      <c r="L206" s="17" t="n"/>
      <c r="M206" s="17" t="n"/>
      <c r="N206" s="17" t="n"/>
      <c r="O206" s="17" t="n"/>
      <c r="P206" s="17" t="n"/>
      <c r="Q206" s="17" t="n"/>
      <c r="R206" s="17" t="n"/>
      <c r="S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56" t="n"/>
      <c r="L207" s="17" t="n"/>
      <c r="M207" s="17" t="n"/>
      <c r="N207" s="17" t="n"/>
      <c r="O207" s="17" t="n"/>
      <c r="P207" s="17" t="n"/>
      <c r="Q207" s="17" t="n"/>
      <c r="R207" s="17" t="n"/>
      <c r="S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56" t="n"/>
      <c r="L208" s="17" t="n"/>
      <c r="M208" s="17" t="n"/>
      <c r="N208" s="17" t="n"/>
      <c r="O208" s="17" t="n"/>
      <c r="P208" s="17" t="n"/>
      <c r="Q208" s="17" t="n"/>
      <c r="R208" s="17" t="n"/>
      <c r="S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56" t="n"/>
      <c r="L209" s="17" t="n"/>
      <c r="M209" s="17" t="n"/>
      <c r="N209" s="17" t="n"/>
      <c r="O209" s="17" t="n"/>
      <c r="P209" s="17" t="n"/>
      <c r="Q209" s="17" t="n"/>
      <c r="R209" s="17" t="n"/>
      <c r="S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56" t="n"/>
      <c r="L210" s="17" t="n"/>
      <c r="M210" s="17" t="n"/>
      <c r="N210" s="17" t="n"/>
      <c r="O210" s="17" t="n"/>
      <c r="P210" s="17" t="n"/>
      <c r="Q210" s="17" t="n"/>
      <c r="R210" s="17" t="n"/>
      <c r="S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56" t="n"/>
      <c r="L211" s="17" t="n"/>
      <c r="M211" s="17" t="n"/>
      <c r="N211" s="17" t="n"/>
      <c r="O211" s="17" t="n"/>
      <c r="P211" s="17" t="n"/>
      <c r="Q211" s="17" t="n"/>
      <c r="R211" s="17" t="n"/>
      <c r="S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56" t="n"/>
      <c r="L212" s="17" t="n"/>
      <c r="M212" s="17" t="n"/>
      <c r="N212" s="17" t="n"/>
      <c r="O212" s="17" t="n"/>
      <c r="P212" s="17" t="n"/>
      <c r="Q212" s="17" t="n"/>
      <c r="R212" s="17" t="n"/>
      <c r="S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56" t="n"/>
      <c r="L213" s="17" t="n"/>
      <c r="M213" s="17" t="n"/>
      <c r="N213" s="17" t="n"/>
      <c r="O213" s="17" t="n"/>
      <c r="P213" s="17" t="n"/>
      <c r="Q213" s="17" t="n"/>
      <c r="R213" s="17" t="n"/>
      <c r="S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56" t="n"/>
      <c r="L214" s="17" t="n"/>
      <c r="M214" s="17" t="n"/>
      <c r="N214" s="17" t="n"/>
      <c r="O214" s="17" t="n"/>
      <c r="P214" s="17" t="n"/>
      <c r="Q214" s="17" t="n"/>
      <c r="R214" s="17" t="n"/>
      <c r="S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56" t="n"/>
      <c r="L215" s="17" t="n"/>
      <c r="M215" s="17" t="n"/>
      <c r="N215" s="17" t="n"/>
      <c r="O215" s="17" t="n"/>
      <c r="P215" s="17" t="n"/>
      <c r="Q215" s="17" t="n"/>
      <c r="R215" s="17" t="n"/>
      <c r="S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56" t="n"/>
      <c r="L216" s="17" t="n"/>
      <c r="M216" s="17" t="n"/>
      <c r="N216" s="17" t="n"/>
      <c r="O216" s="17" t="n"/>
      <c r="P216" s="17" t="n"/>
      <c r="Q216" s="17" t="n"/>
      <c r="R216" s="17" t="n"/>
      <c r="S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56" t="n"/>
      <c r="L217" s="17" t="n"/>
      <c r="M217" s="17" t="n"/>
      <c r="N217" s="17" t="n"/>
      <c r="O217" s="17" t="n"/>
      <c r="P217" s="17" t="n"/>
      <c r="Q217" s="17" t="n"/>
      <c r="R217" s="17" t="n"/>
      <c r="S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56" t="n"/>
      <c r="L218" s="17" t="n"/>
      <c r="M218" s="17" t="n"/>
      <c r="N218" s="17" t="n"/>
      <c r="O218" s="17" t="n"/>
      <c r="P218" s="17" t="n"/>
      <c r="Q218" s="17" t="n"/>
      <c r="R218" s="17" t="n"/>
      <c r="S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56" t="n"/>
      <c r="L219" s="17" t="n"/>
      <c r="M219" s="17" t="n"/>
      <c r="N219" s="17" t="n"/>
      <c r="O219" s="17" t="n"/>
      <c r="P219" s="17" t="n"/>
      <c r="Q219" s="17" t="n"/>
      <c r="R219" s="17" t="n"/>
      <c r="S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56" t="n"/>
      <c r="L220" s="17" t="n"/>
      <c r="M220" s="17" t="n"/>
      <c r="N220" s="17" t="n"/>
      <c r="O220" s="17" t="n"/>
      <c r="P220" s="17" t="n"/>
      <c r="Q220" s="17" t="n"/>
      <c r="R220" s="17" t="n"/>
      <c r="S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56" t="n"/>
      <c r="L221" s="17" t="n"/>
      <c r="M221" s="17" t="n"/>
      <c r="N221" s="17" t="n"/>
      <c r="O221" s="17" t="n"/>
      <c r="P221" s="17" t="n"/>
      <c r="Q221" s="17" t="n"/>
      <c r="R221" s="17" t="n"/>
      <c r="S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56" t="n"/>
      <c r="L222" s="17" t="n"/>
      <c r="M222" s="17" t="n"/>
      <c r="N222" s="17" t="n"/>
      <c r="O222" s="17" t="n"/>
      <c r="P222" s="17" t="n"/>
      <c r="Q222" s="17" t="n"/>
      <c r="R222" s="17" t="n"/>
      <c r="S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56" t="n"/>
      <c r="L223" s="17" t="n"/>
      <c r="M223" s="17" t="n"/>
      <c r="N223" s="17" t="n"/>
      <c r="O223" s="17" t="n"/>
      <c r="P223" s="17" t="n"/>
      <c r="Q223" s="17" t="n"/>
      <c r="R223" s="17" t="n"/>
      <c r="S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56" t="n"/>
      <c r="L224" s="17" t="n"/>
      <c r="M224" s="17" t="n"/>
      <c r="N224" s="17" t="n"/>
      <c r="O224" s="17" t="n"/>
      <c r="P224" s="17" t="n"/>
      <c r="Q224" s="17" t="n"/>
      <c r="R224" s="17" t="n"/>
      <c r="S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56" t="n"/>
      <c r="L225" s="17" t="n"/>
      <c r="M225" s="17" t="n"/>
      <c r="N225" s="17" t="n"/>
      <c r="O225" s="17" t="n"/>
      <c r="P225" s="17" t="n"/>
      <c r="Q225" s="17" t="n"/>
      <c r="R225" s="17" t="n"/>
      <c r="S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56" t="n"/>
      <c r="L226" s="17" t="n"/>
      <c r="M226" s="17" t="n"/>
      <c r="N226" s="17" t="n"/>
      <c r="O226" s="17" t="n"/>
      <c r="P226" s="17" t="n"/>
      <c r="Q226" s="17" t="n"/>
      <c r="R226" s="17" t="n"/>
      <c r="S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56" t="n"/>
      <c r="L227" s="17" t="n"/>
      <c r="M227" s="17" t="n"/>
      <c r="N227" s="17" t="n"/>
      <c r="O227" s="17" t="n"/>
      <c r="P227" s="17" t="n"/>
      <c r="Q227" s="17" t="n"/>
      <c r="R227" s="17" t="n"/>
      <c r="S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56" t="n"/>
      <c r="L228" s="17" t="n"/>
      <c r="M228" s="17" t="n"/>
      <c r="N228" s="17" t="n"/>
      <c r="O228" s="17" t="n"/>
      <c r="P228" s="17" t="n"/>
      <c r="Q228" s="17" t="n"/>
      <c r="R228" s="17" t="n"/>
      <c r="S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56" t="n"/>
      <c r="L229" s="17" t="n"/>
      <c r="M229" s="17" t="n"/>
      <c r="N229" s="17" t="n"/>
      <c r="O229" s="17" t="n"/>
      <c r="P229" s="17" t="n"/>
      <c r="Q229" s="17" t="n"/>
      <c r="R229" s="17" t="n"/>
      <c r="S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56" t="n"/>
      <c r="L230" s="17" t="n"/>
      <c r="M230" s="17" t="n"/>
      <c r="N230" s="17" t="n"/>
      <c r="O230" s="17" t="n"/>
      <c r="P230" s="17" t="n"/>
      <c r="Q230" s="17" t="n"/>
      <c r="R230" s="17" t="n"/>
      <c r="S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56" t="n"/>
      <c r="L231" s="17" t="n"/>
      <c r="M231" s="17" t="n"/>
      <c r="N231" s="17" t="n"/>
      <c r="O231" s="17" t="n"/>
      <c r="P231" s="17" t="n"/>
      <c r="Q231" s="17" t="n"/>
      <c r="R231" s="17" t="n"/>
      <c r="S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56" t="n"/>
      <c r="L232" s="17" t="n"/>
      <c r="M232" s="17" t="n"/>
      <c r="N232" s="17" t="n"/>
      <c r="O232" s="17" t="n"/>
      <c r="P232" s="17" t="n"/>
      <c r="Q232" s="17" t="n"/>
      <c r="R232" s="17" t="n"/>
      <c r="S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56" t="n"/>
      <c r="L233" s="17" t="n"/>
      <c r="M233" s="17" t="n"/>
      <c r="N233" s="17" t="n"/>
      <c r="O233" s="17" t="n"/>
      <c r="P233" s="17" t="n"/>
      <c r="Q233" s="17" t="n"/>
      <c r="R233" s="17" t="n"/>
      <c r="S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56" t="n"/>
      <c r="L234" s="17" t="n"/>
      <c r="M234" s="17" t="n"/>
      <c r="N234" s="17" t="n"/>
      <c r="O234" s="17" t="n"/>
      <c r="P234" s="17" t="n"/>
      <c r="Q234" s="17" t="n"/>
      <c r="R234" s="17" t="n"/>
      <c r="S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56" t="n"/>
      <c r="L235" s="17" t="n"/>
      <c r="M235" s="17" t="n"/>
      <c r="N235" s="17" t="n"/>
      <c r="O235" s="17" t="n"/>
      <c r="P235" s="17" t="n"/>
      <c r="Q235" s="17" t="n"/>
      <c r="R235" s="17" t="n"/>
      <c r="S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56" t="n"/>
      <c r="L236" s="17" t="n"/>
      <c r="M236" s="17" t="n"/>
      <c r="N236" s="17" t="n"/>
      <c r="O236" s="17" t="n"/>
      <c r="P236" s="17" t="n"/>
      <c r="Q236" s="17" t="n"/>
      <c r="R236" s="17" t="n"/>
      <c r="S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56" t="n"/>
      <c r="L237" s="17" t="n"/>
      <c r="M237" s="17" t="n"/>
      <c r="N237" s="17" t="n"/>
      <c r="O237" s="17" t="n"/>
      <c r="P237" s="17" t="n"/>
      <c r="Q237" s="17" t="n"/>
      <c r="R237" s="17" t="n"/>
      <c r="S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56" t="n"/>
      <c r="L238" s="17" t="n"/>
      <c r="M238" s="17" t="n"/>
      <c r="N238" s="17" t="n"/>
      <c r="O238" s="17" t="n"/>
      <c r="P238" s="17" t="n"/>
      <c r="Q238" s="17" t="n"/>
      <c r="R238" s="17" t="n"/>
      <c r="S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56" t="n"/>
      <c r="L239" s="17" t="n"/>
      <c r="M239" s="17" t="n"/>
      <c r="N239" s="17" t="n"/>
      <c r="O239" s="17" t="n"/>
      <c r="P239" s="17" t="n"/>
      <c r="Q239" s="17" t="n"/>
      <c r="R239" s="17" t="n"/>
      <c r="S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56" t="n"/>
      <c r="L240" s="17" t="n"/>
      <c r="M240" s="17" t="n"/>
      <c r="N240" s="17" t="n"/>
      <c r="O240" s="17" t="n"/>
      <c r="P240" s="17" t="n"/>
      <c r="Q240" s="17" t="n"/>
      <c r="R240" s="17" t="n"/>
      <c r="S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56" t="n"/>
      <c r="L241" s="17" t="n"/>
      <c r="M241" s="17" t="n"/>
      <c r="N241" s="17" t="n"/>
      <c r="O241" s="17" t="n"/>
      <c r="P241" s="17" t="n"/>
      <c r="Q241" s="17" t="n"/>
      <c r="R241" s="17" t="n"/>
      <c r="S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56" t="n"/>
      <c r="L242" s="17" t="n"/>
      <c r="M242" s="17" t="n"/>
      <c r="N242" s="17" t="n"/>
      <c r="O242" s="17" t="n"/>
      <c r="P242" s="17" t="n"/>
      <c r="Q242" s="17" t="n"/>
      <c r="R242" s="17" t="n"/>
      <c r="S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56" t="n"/>
      <c r="L243" s="17" t="n"/>
      <c r="M243" s="17" t="n"/>
      <c r="N243" s="17" t="n"/>
      <c r="O243" s="17" t="n"/>
      <c r="P243" s="17" t="n"/>
      <c r="Q243" s="17" t="n"/>
      <c r="R243" s="17" t="n"/>
      <c r="S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56" t="n"/>
      <c r="L244" s="17" t="n"/>
      <c r="M244" s="17" t="n"/>
      <c r="N244" s="17" t="n"/>
      <c r="O244" s="17" t="n"/>
      <c r="P244" s="17" t="n"/>
      <c r="Q244" s="17" t="n"/>
      <c r="R244" s="17" t="n"/>
      <c r="S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56" t="n"/>
      <c r="L245" s="17" t="n"/>
      <c r="M245" s="17" t="n"/>
      <c r="N245" s="17" t="n"/>
      <c r="O245" s="17" t="n"/>
      <c r="P245" s="17" t="n"/>
      <c r="Q245" s="17" t="n"/>
      <c r="R245" s="17" t="n"/>
      <c r="S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56" t="n"/>
      <c r="L246" s="17" t="n"/>
      <c r="M246" s="17" t="n"/>
      <c r="N246" s="17" t="n"/>
      <c r="O246" s="17" t="n"/>
      <c r="P246" s="17" t="n"/>
      <c r="Q246" s="17" t="n"/>
      <c r="R246" s="17" t="n"/>
      <c r="S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56" t="n"/>
      <c r="L247" s="17" t="n"/>
      <c r="M247" s="17" t="n"/>
      <c r="N247" s="17" t="n"/>
      <c r="O247" s="17" t="n"/>
      <c r="P247" s="17" t="n"/>
      <c r="Q247" s="17" t="n"/>
      <c r="R247" s="17" t="n"/>
      <c r="S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56" t="n"/>
      <c r="L248" s="17" t="n"/>
      <c r="M248" s="17" t="n"/>
      <c r="N248" s="17" t="n"/>
      <c r="O248" s="17" t="n"/>
      <c r="P248" s="17" t="n"/>
      <c r="Q248" s="17" t="n"/>
      <c r="R248" s="17" t="n"/>
      <c r="S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56" t="n"/>
      <c r="L249" s="17" t="n"/>
      <c r="M249" s="17" t="n"/>
      <c r="N249" s="17" t="n"/>
      <c r="O249" s="17" t="n"/>
      <c r="P249" s="17" t="n"/>
      <c r="Q249" s="17" t="n"/>
      <c r="R249" s="17" t="n"/>
      <c r="S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56" t="n"/>
      <c r="L250" s="17" t="n"/>
      <c r="M250" s="17" t="n"/>
      <c r="N250" s="17" t="n"/>
      <c r="O250" s="17" t="n"/>
      <c r="P250" s="17" t="n"/>
      <c r="Q250" s="17" t="n"/>
      <c r="R250" s="17" t="n"/>
      <c r="S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56" t="n"/>
      <c r="L251" s="17" t="n"/>
      <c r="M251" s="17" t="n"/>
      <c r="N251" s="17" t="n"/>
      <c r="O251" s="17" t="n"/>
      <c r="P251" s="17" t="n"/>
      <c r="Q251" s="17" t="n"/>
      <c r="R251" s="17" t="n"/>
      <c r="S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56" t="n"/>
      <c r="L252" s="17" t="n"/>
      <c r="M252" s="17" t="n"/>
      <c r="N252" s="17" t="n"/>
      <c r="O252" s="17" t="n"/>
      <c r="P252" s="17" t="n"/>
      <c r="Q252" s="17" t="n"/>
      <c r="R252" s="17" t="n"/>
      <c r="S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56" t="n"/>
      <c r="L253" s="17" t="n"/>
      <c r="M253" s="17" t="n"/>
      <c r="N253" s="17" t="n"/>
      <c r="O253" s="17" t="n"/>
      <c r="P253" s="17" t="n"/>
      <c r="Q253" s="17" t="n"/>
      <c r="R253" s="17" t="n"/>
      <c r="S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56" t="n"/>
      <c r="L254" s="17" t="n"/>
      <c r="M254" s="17" t="n"/>
      <c r="N254" s="17" t="n"/>
      <c r="O254" s="17" t="n"/>
      <c r="P254" s="17" t="n"/>
      <c r="Q254" s="17" t="n"/>
      <c r="R254" s="17" t="n"/>
      <c r="S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56" t="n"/>
      <c r="L255" s="17" t="n"/>
      <c r="M255" s="17" t="n"/>
      <c r="N255" s="17" t="n"/>
      <c r="O255" s="17" t="n"/>
      <c r="P255" s="17" t="n"/>
      <c r="Q255" s="17" t="n"/>
      <c r="R255" s="17" t="n"/>
      <c r="S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56" t="n"/>
      <c r="L256" s="17" t="n"/>
      <c r="M256" s="17" t="n"/>
      <c r="N256" s="17" t="n"/>
      <c r="O256" s="17" t="n"/>
      <c r="P256" s="17" t="n"/>
      <c r="Q256" s="17" t="n"/>
      <c r="R256" s="17" t="n"/>
      <c r="S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56" t="n"/>
      <c r="L257" s="17" t="n"/>
      <c r="M257" s="17" t="n"/>
      <c r="N257" s="17" t="n"/>
      <c r="O257" s="17" t="n"/>
      <c r="P257" s="17" t="n"/>
      <c r="Q257" s="17" t="n"/>
      <c r="R257" s="17" t="n"/>
      <c r="S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56" t="n"/>
      <c r="L258" s="17" t="n"/>
      <c r="M258" s="17" t="n"/>
      <c r="N258" s="17" t="n"/>
      <c r="O258" s="17" t="n"/>
      <c r="P258" s="17" t="n"/>
      <c r="Q258" s="17" t="n"/>
      <c r="R258" s="17" t="n"/>
      <c r="S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56" t="n"/>
      <c r="L259" s="17" t="n"/>
      <c r="M259" s="17" t="n"/>
      <c r="N259" s="17" t="n"/>
      <c r="O259" s="17" t="n"/>
      <c r="P259" s="17" t="n"/>
      <c r="Q259" s="17" t="n"/>
      <c r="R259" s="17" t="n"/>
      <c r="S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56" t="n"/>
      <c r="L260" s="17" t="n"/>
      <c r="M260" s="17" t="n"/>
      <c r="N260" s="17" t="n"/>
      <c r="O260" s="17" t="n"/>
      <c r="P260" s="17" t="n"/>
      <c r="Q260" s="17" t="n"/>
      <c r="R260" s="17" t="n"/>
      <c r="S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56" t="n"/>
      <c r="L261" s="17" t="n"/>
      <c r="M261" s="17" t="n"/>
      <c r="N261" s="17" t="n"/>
      <c r="O261" s="17" t="n"/>
      <c r="P261" s="17" t="n"/>
      <c r="Q261" s="17" t="n"/>
      <c r="R261" s="17" t="n"/>
      <c r="S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56" t="n"/>
      <c r="L262" s="17" t="n"/>
      <c r="M262" s="17" t="n"/>
      <c r="N262" s="17" t="n"/>
      <c r="O262" s="17" t="n"/>
      <c r="P262" s="17" t="n"/>
      <c r="Q262" s="17" t="n"/>
      <c r="R262" s="17" t="n"/>
      <c r="S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56" t="n"/>
      <c r="L263" s="17" t="n"/>
      <c r="M263" s="17" t="n"/>
      <c r="N263" s="17" t="n"/>
      <c r="O263" s="17" t="n"/>
      <c r="P263" s="17" t="n"/>
      <c r="Q263" s="17" t="n"/>
      <c r="R263" s="17" t="n"/>
      <c r="S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56" t="n"/>
      <c r="L264" s="17" t="n"/>
      <c r="M264" s="17" t="n"/>
      <c r="N264" s="17" t="n"/>
      <c r="O264" s="17" t="n"/>
      <c r="P264" s="17" t="n"/>
      <c r="Q264" s="17" t="n"/>
      <c r="R264" s="17" t="n"/>
      <c r="S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56" t="n"/>
      <c r="L265" s="17" t="n"/>
      <c r="M265" s="17" t="n"/>
      <c r="N265" s="17" t="n"/>
      <c r="O265" s="17" t="n"/>
      <c r="P265" s="17" t="n"/>
      <c r="Q265" s="17" t="n"/>
      <c r="R265" s="17" t="n"/>
      <c r="S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56" t="n"/>
      <c r="L266" s="17" t="n"/>
      <c r="M266" s="17" t="n"/>
      <c r="N266" s="17" t="n"/>
      <c r="O266" s="17" t="n"/>
      <c r="P266" s="17" t="n"/>
      <c r="Q266" s="17" t="n"/>
      <c r="R266" s="17" t="n"/>
      <c r="S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56" t="n"/>
      <c r="L267" s="17" t="n"/>
      <c r="M267" s="17" t="n"/>
      <c r="N267" s="17" t="n"/>
      <c r="O267" s="17" t="n"/>
      <c r="P267" s="17" t="n"/>
      <c r="Q267" s="17" t="n"/>
      <c r="R267" s="17" t="n"/>
      <c r="S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56" t="n"/>
      <c r="L268" s="17" t="n"/>
      <c r="M268" s="17" t="n"/>
      <c r="N268" s="17" t="n"/>
      <c r="O268" s="17" t="n"/>
      <c r="P268" s="17" t="n"/>
      <c r="Q268" s="17" t="n"/>
      <c r="R268" s="17" t="n"/>
      <c r="S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56" t="n"/>
      <c r="L269" s="17" t="n"/>
      <c r="M269" s="17" t="n"/>
      <c r="N269" s="17" t="n"/>
      <c r="O269" s="17" t="n"/>
      <c r="P269" s="17" t="n"/>
      <c r="Q269" s="17" t="n"/>
      <c r="R269" s="17" t="n"/>
      <c r="S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56" t="n"/>
      <c r="L270" s="17" t="n"/>
      <c r="M270" s="17" t="n"/>
      <c r="N270" s="17" t="n"/>
      <c r="O270" s="17" t="n"/>
      <c r="P270" s="17" t="n"/>
      <c r="Q270" s="17" t="n"/>
      <c r="R270" s="17" t="n"/>
      <c r="S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56" t="n"/>
      <c r="L271" s="17" t="n"/>
      <c r="M271" s="17" t="n"/>
      <c r="N271" s="17" t="n"/>
      <c r="O271" s="17" t="n"/>
      <c r="P271" s="17" t="n"/>
      <c r="Q271" s="17" t="n"/>
      <c r="R271" s="17" t="n"/>
      <c r="S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56" t="n"/>
      <c r="L272" s="17" t="n"/>
      <c r="M272" s="17" t="n"/>
      <c r="N272" s="17" t="n"/>
      <c r="O272" s="17" t="n"/>
      <c r="P272" s="17" t="n"/>
      <c r="Q272" s="17" t="n"/>
      <c r="R272" s="17" t="n"/>
      <c r="S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56" t="n"/>
      <c r="L273" s="17" t="n"/>
      <c r="M273" s="17" t="n"/>
      <c r="N273" s="17" t="n"/>
      <c r="O273" s="17" t="n"/>
      <c r="P273" s="17" t="n"/>
      <c r="Q273" s="17" t="n"/>
      <c r="R273" s="17" t="n"/>
      <c r="S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56" t="n"/>
      <c r="L274" s="17" t="n"/>
      <c r="M274" s="17" t="n"/>
      <c r="N274" s="17" t="n"/>
      <c r="O274" s="17" t="n"/>
      <c r="P274" s="17" t="n"/>
      <c r="Q274" s="17" t="n"/>
      <c r="R274" s="17" t="n"/>
      <c r="S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56" t="n"/>
      <c r="L275" s="17" t="n"/>
      <c r="M275" s="17" t="n"/>
      <c r="N275" s="17" t="n"/>
      <c r="O275" s="17" t="n"/>
      <c r="P275" s="17" t="n"/>
      <c r="Q275" s="17" t="n"/>
      <c r="R275" s="17" t="n"/>
      <c r="S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56" t="n"/>
      <c r="L276" s="17" t="n"/>
      <c r="M276" s="17" t="n"/>
      <c r="N276" s="17" t="n"/>
      <c r="O276" s="17" t="n"/>
      <c r="P276" s="17" t="n"/>
      <c r="Q276" s="17" t="n"/>
      <c r="R276" s="17" t="n"/>
      <c r="S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56" t="n"/>
      <c r="L277" s="17" t="n"/>
      <c r="M277" s="17" t="n"/>
      <c r="N277" s="17" t="n"/>
      <c r="O277" s="17" t="n"/>
      <c r="P277" s="17" t="n"/>
      <c r="Q277" s="17" t="n"/>
      <c r="R277" s="17" t="n"/>
      <c r="S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56" t="n"/>
      <c r="L278" s="17" t="n"/>
      <c r="M278" s="17" t="n"/>
      <c r="N278" s="17" t="n"/>
      <c r="O278" s="17" t="n"/>
      <c r="P278" s="17" t="n"/>
      <c r="Q278" s="17" t="n"/>
      <c r="R278" s="17" t="n"/>
      <c r="S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56" t="n"/>
      <c r="L279" s="17" t="n"/>
      <c r="M279" s="17" t="n"/>
      <c r="N279" s="17" t="n"/>
      <c r="O279" s="17" t="n"/>
      <c r="P279" s="17" t="n"/>
      <c r="Q279" s="17" t="n"/>
      <c r="R279" s="17" t="n"/>
      <c r="S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56" t="n"/>
      <c r="L280" s="17" t="n"/>
      <c r="M280" s="17" t="n"/>
      <c r="N280" s="17" t="n"/>
      <c r="O280" s="17" t="n"/>
      <c r="P280" s="17" t="n"/>
      <c r="Q280" s="17" t="n"/>
      <c r="R280" s="17" t="n"/>
      <c r="S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56" t="n"/>
      <c r="L281" s="17" t="n"/>
      <c r="M281" s="17" t="n"/>
      <c r="N281" s="17" t="n"/>
      <c r="O281" s="17" t="n"/>
      <c r="P281" s="17" t="n"/>
      <c r="Q281" s="17" t="n"/>
      <c r="R281" s="17" t="n"/>
      <c r="S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56" t="n"/>
      <c r="L282" s="17" t="n"/>
      <c r="M282" s="17" t="n"/>
      <c r="N282" s="17" t="n"/>
      <c r="O282" s="17" t="n"/>
      <c r="P282" s="17" t="n"/>
      <c r="Q282" s="17" t="n"/>
      <c r="R282" s="17" t="n"/>
      <c r="S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56" t="n"/>
      <c r="L283" s="17" t="n"/>
      <c r="M283" s="17" t="n"/>
      <c r="N283" s="17" t="n"/>
      <c r="O283" s="17" t="n"/>
      <c r="P283" s="17" t="n"/>
      <c r="Q283" s="17" t="n"/>
      <c r="R283" s="17" t="n"/>
      <c r="S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56" t="n"/>
      <c r="L284" s="17" t="n"/>
      <c r="M284" s="17" t="n"/>
      <c r="N284" s="17" t="n"/>
      <c r="O284" s="17" t="n"/>
      <c r="P284" s="17" t="n"/>
      <c r="Q284" s="17" t="n"/>
      <c r="R284" s="17" t="n"/>
      <c r="S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56" t="n"/>
      <c r="L285" s="17" t="n"/>
      <c r="M285" s="17" t="n"/>
      <c r="N285" s="17" t="n"/>
      <c r="O285" s="17" t="n"/>
      <c r="P285" s="17" t="n"/>
      <c r="Q285" s="17" t="n"/>
      <c r="R285" s="17" t="n"/>
      <c r="S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56" t="n"/>
      <c r="L286" s="17" t="n"/>
      <c r="M286" s="17" t="n"/>
      <c r="N286" s="17" t="n"/>
      <c r="O286" s="17" t="n"/>
      <c r="P286" s="17" t="n"/>
      <c r="Q286" s="17" t="n"/>
      <c r="R286" s="17" t="n"/>
      <c r="S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56" t="n"/>
      <c r="L287" s="17" t="n"/>
      <c r="M287" s="17" t="n"/>
      <c r="N287" s="17" t="n"/>
      <c r="O287" s="17" t="n"/>
      <c r="P287" s="17" t="n"/>
      <c r="Q287" s="17" t="n"/>
      <c r="R287" s="17" t="n"/>
      <c r="S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56" t="n"/>
      <c r="L288" s="17" t="n"/>
      <c r="M288" s="17" t="n"/>
      <c r="N288" s="17" t="n"/>
      <c r="O288" s="17" t="n"/>
      <c r="P288" s="17" t="n"/>
      <c r="Q288" s="17" t="n"/>
      <c r="R288" s="17" t="n"/>
      <c r="S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56" t="n"/>
      <c r="L289" s="17" t="n"/>
      <c r="M289" s="17" t="n"/>
      <c r="N289" s="17" t="n"/>
      <c r="O289" s="17" t="n"/>
      <c r="P289" s="17" t="n"/>
      <c r="Q289" s="17" t="n"/>
      <c r="R289" s="17" t="n"/>
      <c r="S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56" t="n"/>
      <c r="L290" s="17" t="n"/>
      <c r="M290" s="17" t="n"/>
      <c r="N290" s="17" t="n"/>
      <c r="O290" s="17" t="n"/>
      <c r="P290" s="17" t="n"/>
      <c r="Q290" s="17" t="n"/>
      <c r="R290" s="17" t="n"/>
      <c r="S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56" t="n"/>
      <c r="L291" s="17" t="n"/>
      <c r="M291" s="17" t="n"/>
      <c r="N291" s="17" t="n"/>
      <c r="O291" s="17" t="n"/>
      <c r="P291" s="17" t="n"/>
      <c r="Q291" s="17" t="n"/>
      <c r="R291" s="17" t="n"/>
      <c r="S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56" t="n"/>
      <c r="L292" s="17" t="n"/>
      <c r="M292" s="17" t="n"/>
      <c r="N292" s="17" t="n"/>
      <c r="O292" s="17" t="n"/>
      <c r="P292" s="17" t="n"/>
      <c r="Q292" s="17" t="n"/>
      <c r="R292" s="17" t="n"/>
      <c r="S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56" t="n"/>
      <c r="L293" s="17" t="n"/>
      <c r="M293" s="17" t="n"/>
      <c r="N293" s="17" t="n"/>
      <c r="O293" s="17" t="n"/>
      <c r="P293" s="17" t="n"/>
      <c r="Q293" s="17" t="n"/>
      <c r="R293" s="17" t="n"/>
      <c r="S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56" t="n"/>
      <c r="L294" s="17" t="n"/>
      <c r="M294" s="17" t="n"/>
      <c r="N294" s="17" t="n"/>
      <c r="O294" s="17" t="n"/>
      <c r="P294" s="17" t="n"/>
      <c r="Q294" s="17" t="n"/>
      <c r="R294" s="17" t="n"/>
      <c r="S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56" t="n"/>
      <c r="L295" s="17" t="n"/>
      <c r="M295" s="17" t="n"/>
      <c r="N295" s="17" t="n"/>
      <c r="O295" s="17" t="n"/>
      <c r="P295" s="17" t="n"/>
      <c r="Q295" s="17" t="n"/>
      <c r="R295" s="17" t="n"/>
      <c r="S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56" t="n"/>
      <c r="L296" s="17" t="n"/>
      <c r="M296" s="17" t="n"/>
      <c r="N296" s="17" t="n"/>
      <c r="O296" s="17" t="n"/>
      <c r="P296" s="17" t="n"/>
      <c r="Q296" s="17" t="n"/>
      <c r="R296" s="17" t="n"/>
      <c r="S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56" t="n"/>
      <c r="L297" s="17" t="n"/>
      <c r="M297" s="17" t="n"/>
      <c r="N297" s="17" t="n"/>
      <c r="O297" s="17" t="n"/>
      <c r="P297" s="17" t="n"/>
      <c r="Q297" s="17" t="n"/>
      <c r="R297" s="17" t="n"/>
      <c r="S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56" t="n"/>
      <c r="L298" s="17" t="n"/>
      <c r="M298" s="17" t="n"/>
      <c r="N298" s="17" t="n"/>
      <c r="O298" s="17" t="n"/>
      <c r="P298" s="17" t="n"/>
      <c r="Q298" s="17" t="n"/>
      <c r="R298" s="17" t="n"/>
      <c r="S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56" t="n"/>
      <c r="L299" s="17" t="n"/>
      <c r="M299" s="17" t="n"/>
      <c r="N299" s="17" t="n"/>
      <c r="O299" s="17" t="n"/>
      <c r="P299" s="17" t="n"/>
      <c r="Q299" s="17" t="n"/>
      <c r="R299" s="17" t="n"/>
      <c r="S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56" t="n"/>
      <c r="L300" s="17" t="n"/>
      <c r="M300" s="17" t="n"/>
      <c r="N300" s="17" t="n"/>
      <c r="O300" s="17" t="n"/>
      <c r="P300" s="17" t="n"/>
      <c r="Q300" s="17" t="n"/>
      <c r="R300" s="17" t="n"/>
      <c r="S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56" t="n"/>
      <c r="L301" s="17" t="n"/>
      <c r="M301" s="17" t="n"/>
      <c r="N301" s="17" t="n"/>
      <c r="O301" s="17" t="n"/>
      <c r="P301" s="17" t="n"/>
      <c r="Q301" s="17" t="n"/>
      <c r="R301" s="17" t="n"/>
      <c r="S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56" t="n"/>
      <c r="L302" s="17" t="n"/>
      <c r="M302" s="17" t="n"/>
      <c r="N302" s="17" t="n"/>
      <c r="O302" s="17" t="n"/>
      <c r="P302" s="17" t="n"/>
      <c r="Q302" s="17" t="n"/>
      <c r="R302" s="17" t="n"/>
      <c r="S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56" t="n"/>
      <c r="L303" s="17" t="n"/>
      <c r="M303" s="17" t="n"/>
      <c r="N303" s="17" t="n"/>
      <c r="O303" s="17" t="n"/>
      <c r="P303" s="17" t="n"/>
      <c r="Q303" s="17" t="n"/>
      <c r="R303" s="17" t="n"/>
      <c r="S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56" t="n"/>
      <c r="L304" s="17" t="n"/>
      <c r="M304" s="17" t="n"/>
      <c r="N304" s="17" t="n"/>
      <c r="O304" s="17" t="n"/>
      <c r="P304" s="17" t="n"/>
      <c r="Q304" s="17" t="n"/>
      <c r="R304" s="17" t="n"/>
      <c r="S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56" t="n"/>
      <c r="L305" s="17" t="n"/>
      <c r="M305" s="17" t="n"/>
      <c r="N305" s="17" t="n"/>
      <c r="O305" s="17" t="n"/>
      <c r="P305" s="17" t="n"/>
      <c r="Q305" s="17" t="n"/>
      <c r="R305" s="17" t="n"/>
      <c r="S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56" t="n"/>
      <c r="L306" s="17" t="n"/>
      <c r="M306" s="17" t="n"/>
      <c r="N306" s="17" t="n"/>
      <c r="O306" s="17" t="n"/>
      <c r="P306" s="17" t="n"/>
      <c r="Q306" s="17" t="n"/>
      <c r="R306" s="17" t="n"/>
      <c r="S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56" t="n"/>
      <c r="L307" s="17" t="n"/>
      <c r="M307" s="17" t="n"/>
      <c r="N307" s="17" t="n"/>
      <c r="O307" s="17" t="n"/>
      <c r="P307" s="17" t="n"/>
      <c r="Q307" s="17" t="n"/>
      <c r="R307" s="17" t="n"/>
      <c r="S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56" t="n"/>
      <c r="L308" s="17" t="n"/>
      <c r="M308" s="17" t="n"/>
      <c r="N308" s="17" t="n"/>
      <c r="O308" s="17" t="n"/>
      <c r="P308" s="17" t="n"/>
      <c r="Q308" s="17" t="n"/>
      <c r="R308" s="17" t="n"/>
      <c r="S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56" t="n"/>
      <c r="L309" s="17" t="n"/>
      <c r="M309" s="17" t="n"/>
      <c r="N309" s="17" t="n"/>
      <c r="O309" s="17" t="n"/>
      <c r="P309" s="17" t="n"/>
      <c r="Q309" s="17" t="n"/>
      <c r="R309" s="17" t="n"/>
      <c r="S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56" t="n"/>
      <c r="L310" s="17" t="n"/>
      <c r="M310" s="17" t="n"/>
      <c r="N310" s="17" t="n"/>
      <c r="O310" s="17" t="n"/>
      <c r="P310" s="17" t="n"/>
      <c r="Q310" s="17" t="n"/>
      <c r="R310" s="17" t="n"/>
      <c r="S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56" t="n"/>
      <c r="L311" s="17" t="n"/>
      <c r="M311" s="17" t="n"/>
      <c r="N311" s="17" t="n"/>
      <c r="O311" s="17" t="n"/>
      <c r="P311" s="17" t="n"/>
      <c r="Q311" s="17" t="n"/>
      <c r="R311" s="17" t="n"/>
      <c r="S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56" t="n"/>
      <c r="L312" s="17" t="n"/>
      <c r="M312" s="17" t="n"/>
      <c r="N312" s="17" t="n"/>
      <c r="O312" s="17" t="n"/>
      <c r="P312" s="17" t="n"/>
      <c r="Q312" s="17" t="n"/>
      <c r="R312" s="17" t="n"/>
      <c r="S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56" t="n"/>
      <c r="L313" s="17" t="n"/>
      <c r="M313" s="17" t="n"/>
      <c r="N313" s="17" t="n"/>
      <c r="O313" s="17" t="n"/>
      <c r="P313" s="17" t="n"/>
      <c r="Q313" s="17" t="n"/>
      <c r="R313" s="17" t="n"/>
      <c r="S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56" t="n"/>
      <c r="L314" s="17" t="n"/>
      <c r="M314" s="17" t="n"/>
      <c r="N314" s="17" t="n"/>
      <c r="O314" s="17" t="n"/>
      <c r="P314" s="17" t="n"/>
      <c r="Q314" s="17" t="n"/>
      <c r="R314" s="17" t="n"/>
      <c r="S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56" t="n"/>
      <c r="L315" s="17" t="n"/>
      <c r="M315" s="17" t="n"/>
      <c r="N315" s="17" t="n"/>
      <c r="O315" s="17" t="n"/>
      <c r="P315" s="17" t="n"/>
      <c r="Q315" s="17" t="n"/>
      <c r="R315" s="17" t="n"/>
      <c r="S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56" t="n"/>
      <c r="L316" s="17" t="n"/>
      <c r="M316" s="17" t="n"/>
      <c r="N316" s="17" t="n"/>
      <c r="O316" s="17" t="n"/>
      <c r="P316" s="17" t="n"/>
      <c r="Q316" s="17" t="n"/>
      <c r="R316" s="17" t="n"/>
      <c r="S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56" t="n"/>
      <c r="L317" s="17" t="n"/>
      <c r="M317" s="17" t="n"/>
      <c r="N317" s="17" t="n"/>
      <c r="O317" s="17" t="n"/>
      <c r="P317" s="17" t="n"/>
      <c r="Q317" s="17" t="n"/>
      <c r="R317" s="17" t="n"/>
      <c r="S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56" t="n"/>
      <c r="L318" s="17" t="n"/>
      <c r="M318" s="17" t="n"/>
      <c r="N318" s="17" t="n"/>
      <c r="O318" s="17" t="n"/>
      <c r="P318" s="17" t="n"/>
      <c r="Q318" s="17" t="n"/>
      <c r="R318" s="17" t="n"/>
      <c r="S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56" t="n"/>
      <c r="L319" s="17" t="n"/>
      <c r="M319" s="17" t="n"/>
      <c r="N319" s="17" t="n"/>
      <c r="O319" s="17" t="n"/>
      <c r="P319" s="17" t="n"/>
      <c r="Q319" s="17" t="n"/>
      <c r="R319" s="17" t="n"/>
      <c r="S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56" t="n"/>
      <c r="L320" s="17" t="n"/>
      <c r="M320" s="17" t="n"/>
      <c r="N320" s="17" t="n"/>
      <c r="O320" s="17" t="n"/>
      <c r="P320" s="17" t="n"/>
      <c r="Q320" s="17" t="n"/>
      <c r="R320" s="17" t="n"/>
      <c r="S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56" t="n"/>
      <c r="L321" s="17" t="n"/>
      <c r="M321" s="17" t="n"/>
      <c r="N321" s="17" t="n"/>
      <c r="O321" s="17" t="n"/>
      <c r="P321" s="17" t="n"/>
      <c r="Q321" s="17" t="n"/>
      <c r="R321" s="17" t="n"/>
      <c r="S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56" t="n"/>
      <c r="L322" s="17" t="n"/>
      <c r="M322" s="17" t="n"/>
      <c r="N322" s="17" t="n"/>
      <c r="O322" s="17" t="n"/>
      <c r="P322" s="17" t="n"/>
      <c r="Q322" s="17" t="n"/>
      <c r="R322" s="17" t="n"/>
      <c r="S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56" t="n"/>
      <c r="L323" s="17" t="n"/>
      <c r="M323" s="17" t="n"/>
      <c r="N323" s="17" t="n"/>
      <c r="O323" s="17" t="n"/>
      <c r="P323" s="17" t="n"/>
      <c r="Q323" s="17" t="n"/>
      <c r="R323" s="17" t="n"/>
      <c r="S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56" t="n"/>
      <c r="L324" s="17" t="n"/>
      <c r="M324" s="17" t="n"/>
      <c r="N324" s="17" t="n"/>
      <c r="O324" s="17" t="n"/>
      <c r="P324" s="17" t="n"/>
      <c r="Q324" s="17" t="n"/>
      <c r="R324" s="17" t="n"/>
      <c r="S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56" t="n"/>
      <c r="L325" s="17" t="n"/>
      <c r="M325" s="17" t="n"/>
      <c r="N325" s="17" t="n"/>
      <c r="O325" s="17" t="n"/>
      <c r="P325" s="17" t="n"/>
      <c r="Q325" s="17" t="n"/>
      <c r="R325" s="17" t="n"/>
      <c r="S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56" t="n"/>
      <c r="L326" s="17" t="n"/>
      <c r="M326" s="17" t="n"/>
      <c r="N326" s="17" t="n"/>
      <c r="O326" s="17" t="n"/>
      <c r="P326" s="17" t="n"/>
      <c r="Q326" s="17" t="n"/>
      <c r="R326" s="17" t="n"/>
      <c r="S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56" t="n"/>
      <c r="L327" s="17" t="n"/>
      <c r="M327" s="17" t="n"/>
      <c r="N327" s="17" t="n"/>
      <c r="O327" s="17" t="n"/>
      <c r="P327" s="17" t="n"/>
      <c r="Q327" s="17" t="n"/>
      <c r="R327" s="17" t="n"/>
      <c r="S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56" t="n"/>
      <c r="L328" s="17" t="n"/>
      <c r="M328" s="17" t="n"/>
      <c r="N328" s="17" t="n"/>
      <c r="O328" s="17" t="n"/>
      <c r="P328" s="17" t="n"/>
      <c r="Q328" s="17" t="n"/>
      <c r="R328" s="17" t="n"/>
      <c r="S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56" t="n"/>
      <c r="L329" s="17" t="n"/>
      <c r="M329" s="17" t="n"/>
      <c r="N329" s="17" t="n"/>
      <c r="O329" s="17" t="n"/>
      <c r="P329" s="17" t="n"/>
      <c r="Q329" s="17" t="n"/>
      <c r="R329" s="17" t="n"/>
      <c r="S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56" t="n"/>
      <c r="L330" s="17" t="n"/>
      <c r="M330" s="17" t="n"/>
      <c r="N330" s="17" t="n"/>
      <c r="O330" s="17" t="n"/>
      <c r="P330" s="17" t="n"/>
      <c r="Q330" s="17" t="n"/>
      <c r="R330" s="17" t="n"/>
      <c r="S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56" t="n"/>
      <c r="L331" s="17" t="n"/>
      <c r="M331" s="17" t="n"/>
      <c r="N331" s="17" t="n"/>
      <c r="O331" s="17" t="n"/>
      <c r="P331" s="17" t="n"/>
      <c r="Q331" s="17" t="n"/>
      <c r="R331" s="17" t="n"/>
      <c r="S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56" t="n"/>
      <c r="L332" s="17" t="n"/>
      <c r="M332" s="17" t="n"/>
      <c r="N332" s="17" t="n"/>
      <c r="O332" s="17" t="n"/>
      <c r="P332" s="17" t="n"/>
      <c r="Q332" s="17" t="n"/>
      <c r="R332" s="17" t="n"/>
      <c r="S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56" t="n"/>
      <c r="L333" s="17" t="n"/>
      <c r="M333" s="17" t="n"/>
      <c r="N333" s="17" t="n"/>
      <c r="O333" s="17" t="n"/>
      <c r="P333" s="17" t="n"/>
      <c r="Q333" s="17" t="n"/>
      <c r="R333" s="17" t="n"/>
      <c r="S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56" t="n"/>
      <c r="L334" s="17" t="n"/>
      <c r="M334" s="17" t="n"/>
      <c r="N334" s="17" t="n"/>
      <c r="O334" s="17" t="n"/>
      <c r="P334" s="17" t="n"/>
      <c r="Q334" s="17" t="n"/>
      <c r="R334" s="17" t="n"/>
      <c r="S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56" t="n"/>
      <c r="L335" s="17" t="n"/>
      <c r="M335" s="17" t="n"/>
      <c r="N335" s="17" t="n"/>
      <c r="O335" s="17" t="n"/>
      <c r="P335" s="17" t="n"/>
      <c r="Q335" s="17" t="n"/>
      <c r="R335" s="17" t="n"/>
      <c r="S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56" t="n"/>
      <c r="L336" s="17" t="n"/>
      <c r="M336" s="17" t="n"/>
      <c r="N336" s="17" t="n"/>
      <c r="O336" s="17" t="n"/>
      <c r="P336" s="17" t="n"/>
      <c r="Q336" s="17" t="n"/>
      <c r="R336" s="17" t="n"/>
      <c r="S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56" t="n"/>
      <c r="L337" s="17" t="n"/>
      <c r="M337" s="17" t="n"/>
      <c r="N337" s="17" t="n"/>
      <c r="O337" s="17" t="n"/>
      <c r="P337" s="17" t="n"/>
      <c r="Q337" s="17" t="n"/>
      <c r="R337" s="17" t="n"/>
      <c r="S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56" t="n"/>
      <c r="L338" s="17" t="n"/>
      <c r="M338" s="17" t="n"/>
      <c r="N338" s="17" t="n"/>
      <c r="O338" s="17" t="n"/>
      <c r="P338" s="17" t="n"/>
      <c r="Q338" s="17" t="n"/>
      <c r="R338" s="17" t="n"/>
      <c r="S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56" t="n"/>
      <c r="L339" s="17" t="n"/>
      <c r="M339" s="17" t="n"/>
      <c r="N339" s="17" t="n"/>
      <c r="O339" s="17" t="n"/>
      <c r="P339" s="17" t="n"/>
      <c r="Q339" s="17" t="n"/>
      <c r="R339" s="17" t="n"/>
      <c r="S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56" t="n"/>
      <c r="L340" s="17" t="n"/>
      <c r="M340" s="17" t="n"/>
      <c r="N340" s="17" t="n"/>
      <c r="O340" s="17" t="n"/>
      <c r="P340" s="17" t="n"/>
      <c r="Q340" s="17" t="n"/>
      <c r="R340" s="17" t="n"/>
      <c r="S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56" t="n"/>
      <c r="L341" s="17" t="n"/>
      <c r="M341" s="17" t="n"/>
      <c r="N341" s="17" t="n"/>
      <c r="O341" s="17" t="n"/>
      <c r="P341" s="17" t="n"/>
      <c r="Q341" s="17" t="n"/>
      <c r="R341" s="17" t="n"/>
      <c r="S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56" t="n"/>
      <c r="L342" s="17" t="n"/>
      <c r="M342" s="17" t="n"/>
      <c r="N342" s="17" t="n"/>
      <c r="O342" s="17" t="n"/>
      <c r="P342" s="17" t="n"/>
      <c r="Q342" s="17" t="n"/>
      <c r="R342" s="17" t="n"/>
      <c r="S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56" t="n"/>
      <c r="L343" s="17" t="n"/>
      <c r="M343" s="17" t="n"/>
      <c r="N343" s="17" t="n"/>
      <c r="O343" s="17" t="n"/>
      <c r="P343" s="17" t="n"/>
      <c r="Q343" s="17" t="n"/>
      <c r="R343" s="17" t="n"/>
      <c r="S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56" t="n"/>
      <c r="L344" s="17" t="n"/>
      <c r="M344" s="17" t="n"/>
      <c r="N344" s="17" t="n"/>
      <c r="O344" s="17" t="n"/>
      <c r="P344" s="17" t="n"/>
      <c r="Q344" s="17" t="n"/>
      <c r="R344" s="17" t="n"/>
      <c r="S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56" t="n"/>
      <c r="L345" s="17" t="n"/>
      <c r="M345" s="17" t="n"/>
      <c r="N345" s="17" t="n"/>
      <c r="O345" s="17" t="n"/>
      <c r="P345" s="17" t="n"/>
      <c r="Q345" s="17" t="n"/>
      <c r="R345" s="17" t="n"/>
      <c r="S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56" t="n"/>
      <c r="L346" s="17" t="n"/>
      <c r="M346" s="17" t="n"/>
      <c r="N346" s="17" t="n"/>
      <c r="O346" s="17" t="n"/>
      <c r="P346" s="17" t="n"/>
      <c r="Q346" s="17" t="n"/>
      <c r="R346" s="17" t="n"/>
      <c r="S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56" t="n"/>
      <c r="L347" s="17" t="n"/>
      <c r="M347" s="17" t="n"/>
      <c r="N347" s="17" t="n"/>
      <c r="O347" s="17" t="n"/>
      <c r="P347" s="17" t="n"/>
      <c r="Q347" s="17" t="n"/>
      <c r="R347" s="17" t="n"/>
      <c r="S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56" t="n"/>
      <c r="L348" s="17" t="n"/>
      <c r="M348" s="17" t="n"/>
      <c r="N348" s="17" t="n"/>
      <c r="O348" s="17" t="n"/>
      <c r="P348" s="17" t="n"/>
      <c r="Q348" s="17" t="n"/>
      <c r="R348" s="17" t="n"/>
      <c r="S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56" t="n"/>
      <c r="L349" s="17" t="n"/>
      <c r="M349" s="17" t="n"/>
      <c r="N349" s="17" t="n"/>
      <c r="O349" s="17" t="n"/>
      <c r="P349" s="17" t="n"/>
      <c r="Q349" s="17" t="n"/>
      <c r="R349" s="17" t="n"/>
      <c r="S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56" t="n"/>
      <c r="L350" s="17" t="n"/>
      <c r="M350" s="17" t="n"/>
      <c r="N350" s="17" t="n"/>
      <c r="O350" s="17" t="n"/>
      <c r="P350" s="17" t="n"/>
      <c r="Q350" s="17" t="n"/>
      <c r="R350" s="17" t="n"/>
      <c r="S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56" t="n"/>
      <c r="L351" s="17" t="n"/>
      <c r="M351" s="17" t="n"/>
      <c r="N351" s="17" t="n"/>
      <c r="O351" s="17" t="n"/>
      <c r="P351" s="17" t="n"/>
      <c r="Q351" s="17" t="n"/>
      <c r="R351" s="17" t="n"/>
      <c r="S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56" t="n"/>
      <c r="L352" s="17" t="n"/>
      <c r="M352" s="17" t="n"/>
      <c r="N352" s="17" t="n"/>
      <c r="O352" s="17" t="n"/>
      <c r="P352" s="17" t="n"/>
      <c r="Q352" s="17" t="n"/>
      <c r="R352" s="17" t="n"/>
      <c r="S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56" t="n"/>
      <c r="L353" s="17" t="n"/>
      <c r="M353" s="17" t="n"/>
      <c r="N353" s="17" t="n"/>
      <c r="O353" s="17" t="n"/>
      <c r="P353" s="17" t="n"/>
      <c r="Q353" s="17" t="n"/>
      <c r="R353" s="17" t="n"/>
      <c r="S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56" t="n"/>
      <c r="L354" s="17" t="n"/>
      <c r="M354" s="17" t="n"/>
      <c r="N354" s="17" t="n"/>
      <c r="O354" s="17" t="n"/>
      <c r="P354" s="17" t="n"/>
      <c r="Q354" s="17" t="n"/>
      <c r="R354" s="17" t="n"/>
      <c r="S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56" t="n"/>
      <c r="L355" s="17" t="n"/>
      <c r="M355" s="17" t="n"/>
      <c r="N355" s="17" t="n"/>
      <c r="O355" s="17" t="n"/>
      <c r="P355" s="17" t="n"/>
      <c r="Q355" s="17" t="n"/>
      <c r="R355" s="17" t="n"/>
      <c r="S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56" t="n"/>
      <c r="L356" s="17" t="n"/>
      <c r="M356" s="17" t="n"/>
      <c r="N356" s="17" t="n"/>
      <c r="O356" s="17" t="n"/>
      <c r="P356" s="17" t="n"/>
      <c r="Q356" s="17" t="n"/>
      <c r="R356" s="17" t="n"/>
      <c r="S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56" t="n"/>
      <c r="L357" s="17" t="n"/>
      <c r="M357" s="17" t="n"/>
      <c r="N357" s="17" t="n"/>
      <c r="O357" s="17" t="n"/>
      <c r="P357" s="17" t="n"/>
      <c r="Q357" s="17" t="n"/>
      <c r="R357" s="17" t="n"/>
      <c r="S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56" t="n"/>
      <c r="L358" s="17" t="n"/>
      <c r="M358" s="17" t="n"/>
      <c r="N358" s="17" t="n"/>
      <c r="O358" s="17" t="n"/>
      <c r="P358" s="17" t="n"/>
      <c r="Q358" s="17" t="n"/>
      <c r="R358" s="17" t="n"/>
      <c r="S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56" t="n"/>
      <c r="L359" s="17" t="n"/>
      <c r="M359" s="17" t="n"/>
      <c r="N359" s="17" t="n"/>
      <c r="O359" s="17" t="n"/>
      <c r="P359" s="17" t="n"/>
      <c r="Q359" s="17" t="n"/>
      <c r="R359" s="17" t="n"/>
      <c r="S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56" t="n"/>
      <c r="L360" s="17" t="n"/>
      <c r="M360" s="17" t="n"/>
      <c r="N360" s="17" t="n"/>
      <c r="O360" s="17" t="n"/>
      <c r="P360" s="17" t="n"/>
      <c r="Q360" s="17" t="n"/>
      <c r="R360" s="17" t="n"/>
      <c r="S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56" t="n"/>
      <c r="L361" s="17" t="n"/>
      <c r="M361" s="17" t="n"/>
      <c r="N361" s="17" t="n"/>
      <c r="O361" s="17" t="n"/>
      <c r="P361" s="17" t="n"/>
      <c r="Q361" s="17" t="n"/>
      <c r="R361" s="17" t="n"/>
      <c r="S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56" t="n"/>
      <c r="L362" s="17" t="n"/>
      <c r="M362" s="17" t="n"/>
      <c r="N362" s="17" t="n"/>
      <c r="O362" s="17" t="n"/>
      <c r="P362" s="17" t="n"/>
      <c r="Q362" s="17" t="n"/>
      <c r="R362" s="17" t="n"/>
      <c r="S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56" t="n"/>
      <c r="L363" s="17" t="n"/>
      <c r="M363" s="17" t="n"/>
      <c r="N363" s="17" t="n"/>
      <c r="O363" s="17" t="n"/>
      <c r="P363" s="17" t="n"/>
      <c r="Q363" s="17" t="n"/>
      <c r="R363" s="17" t="n"/>
      <c r="S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56" t="n"/>
      <c r="L364" s="17" t="n"/>
      <c r="M364" s="17" t="n"/>
      <c r="N364" s="17" t="n"/>
      <c r="O364" s="17" t="n"/>
      <c r="P364" s="17" t="n"/>
      <c r="Q364" s="17" t="n"/>
      <c r="R364" s="17" t="n"/>
      <c r="S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56" t="n"/>
      <c r="L365" s="17" t="n"/>
      <c r="M365" s="17" t="n"/>
      <c r="N365" s="17" t="n"/>
      <c r="O365" s="17" t="n"/>
      <c r="P365" s="17" t="n"/>
      <c r="Q365" s="17" t="n"/>
      <c r="R365" s="17" t="n"/>
      <c r="S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56" t="n"/>
      <c r="L366" s="17" t="n"/>
      <c r="M366" s="17" t="n"/>
      <c r="N366" s="17" t="n"/>
      <c r="O366" s="17" t="n"/>
      <c r="P366" s="17" t="n"/>
      <c r="Q366" s="17" t="n"/>
      <c r="R366" s="17" t="n"/>
      <c r="S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56" t="n"/>
      <c r="L367" s="17" t="n"/>
      <c r="M367" s="17" t="n"/>
      <c r="N367" s="17" t="n"/>
      <c r="O367" s="17" t="n"/>
      <c r="P367" s="17" t="n"/>
      <c r="Q367" s="17" t="n"/>
      <c r="R367" s="17" t="n"/>
      <c r="S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56" t="n"/>
      <c r="L368" s="17" t="n"/>
      <c r="M368" s="17" t="n"/>
      <c r="N368" s="17" t="n"/>
      <c r="O368" s="17" t="n"/>
      <c r="P368" s="17" t="n"/>
      <c r="Q368" s="17" t="n"/>
      <c r="R368" s="17" t="n"/>
      <c r="S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56" t="n"/>
      <c r="L369" s="17" t="n"/>
      <c r="M369" s="17" t="n"/>
      <c r="N369" s="17" t="n"/>
      <c r="O369" s="17" t="n"/>
      <c r="P369" s="17" t="n"/>
      <c r="Q369" s="17" t="n"/>
      <c r="R369" s="17" t="n"/>
      <c r="S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56" t="n"/>
      <c r="L370" s="17" t="n"/>
      <c r="M370" s="17" t="n"/>
      <c r="N370" s="17" t="n"/>
      <c r="O370" s="17" t="n"/>
      <c r="P370" s="17" t="n"/>
      <c r="Q370" s="17" t="n"/>
      <c r="R370" s="17" t="n"/>
      <c r="S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56" t="n"/>
      <c r="L371" s="17" t="n"/>
      <c r="M371" s="17" t="n"/>
      <c r="N371" s="17" t="n"/>
      <c r="O371" s="17" t="n"/>
      <c r="P371" s="17" t="n"/>
      <c r="Q371" s="17" t="n"/>
      <c r="R371" s="17" t="n"/>
      <c r="S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56" t="n"/>
      <c r="L372" s="17" t="n"/>
      <c r="M372" s="17" t="n"/>
      <c r="N372" s="17" t="n"/>
      <c r="O372" s="17" t="n"/>
      <c r="P372" s="17" t="n"/>
      <c r="Q372" s="17" t="n"/>
      <c r="R372" s="17" t="n"/>
      <c r="S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56" t="n"/>
      <c r="L373" s="17" t="n"/>
      <c r="M373" s="17" t="n"/>
      <c r="N373" s="17" t="n"/>
      <c r="O373" s="17" t="n"/>
      <c r="P373" s="17" t="n"/>
      <c r="Q373" s="17" t="n"/>
      <c r="R373" s="17" t="n"/>
      <c r="S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56" t="n"/>
      <c r="L374" s="17" t="n"/>
      <c r="M374" s="17" t="n"/>
      <c r="N374" s="17" t="n"/>
      <c r="O374" s="17" t="n"/>
      <c r="P374" s="17" t="n"/>
      <c r="Q374" s="17" t="n"/>
      <c r="R374" s="17" t="n"/>
      <c r="S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56" t="n"/>
      <c r="L375" s="17" t="n"/>
      <c r="M375" s="17" t="n"/>
      <c r="N375" s="17" t="n"/>
      <c r="O375" s="17" t="n"/>
      <c r="P375" s="17" t="n"/>
      <c r="Q375" s="17" t="n"/>
      <c r="R375" s="17" t="n"/>
      <c r="S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56" t="n"/>
      <c r="L376" s="17" t="n"/>
      <c r="M376" s="17" t="n"/>
      <c r="N376" s="17" t="n"/>
      <c r="O376" s="17" t="n"/>
      <c r="P376" s="17" t="n"/>
      <c r="Q376" s="17" t="n"/>
      <c r="R376" s="17" t="n"/>
      <c r="S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56" t="n"/>
      <c r="L377" s="17" t="n"/>
      <c r="M377" s="17" t="n"/>
      <c r="N377" s="17" t="n"/>
      <c r="O377" s="17" t="n"/>
      <c r="P377" s="17" t="n"/>
      <c r="Q377" s="17" t="n"/>
      <c r="R377" s="17" t="n"/>
      <c r="S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56" t="n"/>
      <c r="L378" s="17" t="n"/>
      <c r="M378" s="17" t="n"/>
      <c r="N378" s="17" t="n"/>
      <c r="O378" s="17" t="n"/>
      <c r="P378" s="17" t="n"/>
      <c r="Q378" s="17" t="n"/>
      <c r="R378" s="17" t="n"/>
      <c r="S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56" t="n"/>
      <c r="L379" s="17" t="n"/>
      <c r="M379" s="17" t="n"/>
      <c r="N379" s="17" t="n"/>
      <c r="O379" s="17" t="n"/>
      <c r="P379" s="17" t="n"/>
      <c r="Q379" s="17" t="n"/>
      <c r="R379" s="17" t="n"/>
      <c r="S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56" t="n"/>
      <c r="L380" s="17" t="n"/>
      <c r="M380" s="17" t="n"/>
      <c r="N380" s="17" t="n"/>
      <c r="O380" s="17" t="n"/>
      <c r="P380" s="17" t="n"/>
      <c r="Q380" s="17" t="n"/>
      <c r="R380" s="17" t="n"/>
      <c r="S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56" t="n"/>
      <c r="L381" s="17" t="n"/>
      <c r="M381" s="17" t="n"/>
      <c r="N381" s="17" t="n"/>
      <c r="O381" s="17" t="n"/>
      <c r="P381" s="17" t="n"/>
      <c r="Q381" s="17" t="n"/>
      <c r="R381" s="17" t="n"/>
      <c r="S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56" t="n"/>
      <c r="L382" s="17" t="n"/>
      <c r="M382" s="17" t="n"/>
      <c r="N382" s="17" t="n"/>
      <c r="O382" s="17" t="n"/>
      <c r="P382" s="17" t="n"/>
      <c r="Q382" s="17" t="n"/>
      <c r="R382" s="17" t="n"/>
      <c r="S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56" t="n"/>
      <c r="L383" s="17" t="n"/>
      <c r="M383" s="17" t="n"/>
      <c r="N383" s="17" t="n"/>
      <c r="O383" s="17" t="n"/>
      <c r="P383" s="17" t="n"/>
      <c r="Q383" s="17" t="n"/>
      <c r="R383" s="17" t="n"/>
      <c r="S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56" t="n"/>
      <c r="L384" s="17" t="n"/>
      <c r="M384" s="17" t="n"/>
      <c r="N384" s="17" t="n"/>
      <c r="O384" s="17" t="n"/>
      <c r="P384" s="17" t="n"/>
      <c r="Q384" s="17" t="n"/>
      <c r="R384" s="17" t="n"/>
      <c r="S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56" t="n"/>
      <c r="L385" s="17" t="n"/>
      <c r="M385" s="17" t="n"/>
      <c r="N385" s="17" t="n"/>
      <c r="O385" s="17" t="n"/>
      <c r="P385" s="17" t="n"/>
      <c r="Q385" s="17" t="n"/>
      <c r="R385" s="17" t="n"/>
      <c r="S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56" t="n"/>
      <c r="L386" s="17" t="n"/>
      <c r="M386" s="17" t="n"/>
      <c r="N386" s="17" t="n"/>
      <c r="O386" s="17" t="n"/>
      <c r="P386" s="17" t="n"/>
      <c r="Q386" s="17" t="n"/>
      <c r="R386" s="17" t="n"/>
      <c r="S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56" t="n"/>
      <c r="L387" s="17" t="n"/>
      <c r="M387" s="17" t="n"/>
      <c r="N387" s="17" t="n"/>
      <c r="O387" s="17" t="n"/>
      <c r="P387" s="17" t="n"/>
      <c r="Q387" s="17" t="n"/>
      <c r="R387" s="17" t="n"/>
      <c r="S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56" t="n"/>
      <c r="L388" s="17" t="n"/>
      <c r="M388" s="17" t="n"/>
      <c r="N388" s="17" t="n"/>
      <c r="O388" s="17" t="n"/>
      <c r="P388" s="17" t="n"/>
      <c r="Q388" s="17" t="n"/>
      <c r="R388" s="17" t="n"/>
      <c r="S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56" t="n"/>
      <c r="L389" s="17" t="n"/>
      <c r="M389" s="17" t="n"/>
      <c r="N389" s="17" t="n"/>
      <c r="O389" s="17" t="n"/>
      <c r="P389" s="17" t="n"/>
      <c r="Q389" s="17" t="n"/>
      <c r="R389" s="17" t="n"/>
      <c r="S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56" t="n"/>
      <c r="L390" s="17" t="n"/>
      <c r="M390" s="17" t="n"/>
      <c r="N390" s="17" t="n"/>
      <c r="O390" s="17" t="n"/>
      <c r="P390" s="17" t="n"/>
      <c r="Q390" s="17" t="n"/>
      <c r="R390" s="17" t="n"/>
      <c r="S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56" t="n"/>
      <c r="L391" s="17" t="n"/>
      <c r="M391" s="17" t="n"/>
      <c r="N391" s="17" t="n"/>
      <c r="O391" s="17" t="n"/>
      <c r="P391" s="17" t="n"/>
      <c r="Q391" s="17" t="n"/>
      <c r="R391" s="17" t="n"/>
      <c r="S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56" t="n"/>
      <c r="L392" s="17" t="n"/>
      <c r="M392" s="17" t="n"/>
      <c r="N392" s="17" t="n"/>
      <c r="O392" s="17" t="n"/>
      <c r="P392" s="17" t="n"/>
      <c r="Q392" s="17" t="n"/>
      <c r="R392" s="17" t="n"/>
      <c r="S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56" t="n"/>
      <c r="L393" s="17" t="n"/>
      <c r="M393" s="17" t="n"/>
      <c r="N393" s="17" t="n"/>
      <c r="O393" s="17" t="n"/>
      <c r="P393" s="17" t="n"/>
      <c r="Q393" s="17" t="n"/>
      <c r="R393" s="17" t="n"/>
      <c r="S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56" t="n"/>
      <c r="L394" s="17" t="n"/>
      <c r="M394" s="17" t="n"/>
      <c r="N394" s="17" t="n"/>
      <c r="O394" s="17" t="n"/>
      <c r="P394" s="17" t="n"/>
      <c r="Q394" s="17" t="n"/>
      <c r="R394" s="17" t="n"/>
      <c r="S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56" t="n"/>
      <c r="L395" s="17" t="n"/>
      <c r="M395" s="17" t="n"/>
      <c r="N395" s="17" t="n"/>
      <c r="O395" s="17" t="n"/>
      <c r="P395" s="17" t="n"/>
      <c r="Q395" s="17" t="n"/>
      <c r="R395" s="17" t="n"/>
      <c r="S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56" t="n"/>
      <c r="L396" s="17" t="n"/>
      <c r="M396" s="17" t="n"/>
      <c r="N396" s="17" t="n"/>
      <c r="O396" s="17" t="n"/>
      <c r="P396" s="17" t="n"/>
      <c r="Q396" s="17" t="n"/>
      <c r="R396" s="17" t="n"/>
      <c r="S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56" t="n"/>
      <c r="L397" s="17" t="n"/>
      <c r="M397" s="17" t="n"/>
      <c r="N397" s="17" t="n"/>
      <c r="O397" s="17" t="n"/>
      <c r="P397" s="17" t="n"/>
      <c r="Q397" s="17" t="n"/>
      <c r="R397" s="17" t="n"/>
      <c r="S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56" t="n"/>
      <c r="L398" s="17" t="n"/>
      <c r="M398" s="17" t="n"/>
      <c r="N398" s="17" t="n"/>
      <c r="O398" s="17" t="n"/>
      <c r="P398" s="17" t="n"/>
      <c r="Q398" s="17" t="n"/>
      <c r="R398" s="17" t="n"/>
      <c r="S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56" t="n"/>
      <c r="L399" s="17" t="n"/>
      <c r="M399" s="17" t="n"/>
      <c r="N399" s="17" t="n"/>
      <c r="O399" s="17" t="n"/>
      <c r="P399" s="17" t="n"/>
      <c r="Q399" s="17" t="n"/>
      <c r="R399" s="17" t="n"/>
      <c r="S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56" t="n"/>
      <c r="L400" s="17" t="n"/>
      <c r="M400" s="17" t="n"/>
      <c r="N400" s="17" t="n"/>
      <c r="O400" s="17" t="n"/>
      <c r="P400" s="17" t="n"/>
      <c r="Q400" s="17" t="n"/>
      <c r="R400" s="17" t="n"/>
      <c r="S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56" t="n"/>
      <c r="L401" s="17" t="n"/>
      <c r="M401" s="17" t="n"/>
      <c r="N401" s="17" t="n"/>
      <c r="O401" s="17" t="n"/>
      <c r="P401" s="17" t="n"/>
      <c r="Q401" s="17" t="n"/>
      <c r="R401" s="17" t="n"/>
      <c r="S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56" t="n"/>
      <c r="L402" s="17" t="n"/>
      <c r="M402" s="17" t="n"/>
      <c r="N402" s="17" t="n"/>
      <c r="O402" s="17" t="n"/>
      <c r="P402" s="17" t="n"/>
      <c r="Q402" s="17" t="n"/>
      <c r="R402" s="17" t="n"/>
      <c r="S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56" t="n"/>
      <c r="L403" s="17" t="n"/>
      <c r="M403" s="17" t="n"/>
      <c r="N403" s="17" t="n"/>
      <c r="O403" s="17" t="n"/>
      <c r="P403" s="17" t="n"/>
      <c r="Q403" s="17" t="n"/>
      <c r="R403" s="17" t="n"/>
      <c r="S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56" t="n"/>
      <c r="L404" s="17" t="n"/>
      <c r="M404" s="17" t="n"/>
      <c r="N404" s="17" t="n"/>
      <c r="O404" s="17" t="n"/>
      <c r="P404" s="17" t="n"/>
      <c r="Q404" s="17" t="n"/>
      <c r="R404" s="17" t="n"/>
      <c r="S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56" t="n"/>
      <c r="L405" s="17" t="n"/>
      <c r="M405" s="17" t="n"/>
      <c r="N405" s="17" t="n"/>
      <c r="O405" s="17" t="n"/>
      <c r="P405" s="17" t="n"/>
      <c r="Q405" s="17" t="n"/>
      <c r="R405" s="17" t="n"/>
      <c r="S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56" t="n"/>
      <c r="L406" s="17" t="n"/>
      <c r="M406" s="17" t="n"/>
      <c r="N406" s="17" t="n"/>
      <c r="O406" s="17" t="n"/>
      <c r="P406" s="17" t="n"/>
      <c r="Q406" s="17" t="n"/>
      <c r="R406" s="17" t="n"/>
      <c r="S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56" t="n"/>
      <c r="L407" s="17" t="n"/>
      <c r="M407" s="17" t="n"/>
      <c r="N407" s="17" t="n"/>
      <c r="O407" s="17" t="n"/>
      <c r="P407" s="17" t="n"/>
      <c r="Q407" s="17" t="n"/>
      <c r="R407" s="17" t="n"/>
      <c r="S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56" t="n"/>
      <c r="L408" s="17" t="n"/>
      <c r="M408" s="17" t="n"/>
      <c r="N408" s="17" t="n"/>
      <c r="O408" s="17" t="n"/>
      <c r="P408" s="17" t="n"/>
      <c r="Q408" s="17" t="n"/>
      <c r="R408" s="17" t="n"/>
      <c r="S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56" t="n"/>
      <c r="L409" s="17" t="n"/>
      <c r="M409" s="17" t="n"/>
      <c r="N409" s="17" t="n"/>
      <c r="O409" s="17" t="n"/>
      <c r="P409" s="17" t="n"/>
      <c r="Q409" s="17" t="n"/>
      <c r="R409" s="17" t="n"/>
      <c r="S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56" t="n"/>
      <c r="L410" s="17" t="n"/>
      <c r="M410" s="17" t="n"/>
      <c r="N410" s="17" t="n"/>
      <c r="O410" s="17" t="n"/>
      <c r="P410" s="17" t="n"/>
      <c r="Q410" s="17" t="n"/>
      <c r="R410" s="17" t="n"/>
      <c r="S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56" t="n"/>
      <c r="L411" s="17" t="n"/>
      <c r="M411" s="17" t="n"/>
      <c r="N411" s="17" t="n"/>
      <c r="O411" s="17" t="n"/>
      <c r="P411" s="17" t="n"/>
      <c r="Q411" s="17" t="n"/>
      <c r="R411" s="17" t="n"/>
      <c r="S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56" t="n"/>
      <c r="L412" s="17" t="n"/>
      <c r="M412" s="17" t="n"/>
      <c r="N412" s="17" t="n"/>
      <c r="O412" s="17" t="n"/>
      <c r="P412" s="17" t="n"/>
      <c r="Q412" s="17" t="n"/>
      <c r="R412" s="17" t="n"/>
      <c r="S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56" t="n"/>
      <c r="L413" s="17" t="n"/>
      <c r="M413" s="17" t="n"/>
      <c r="N413" s="17" t="n"/>
      <c r="O413" s="17" t="n"/>
      <c r="P413" s="17" t="n"/>
      <c r="Q413" s="17" t="n"/>
      <c r="R413" s="17" t="n"/>
      <c r="S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56" t="n"/>
      <c r="L414" s="17" t="n"/>
      <c r="M414" s="17" t="n"/>
      <c r="N414" s="17" t="n"/>
      <c r="O414" s="17" t="n"/>
      <c r="P414" s="17" t="n"/>
      <c r="Q414" s="17" t="n"/>
      <c r="R414" s="17" t="n"/>
      <c r="S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56" t="n"/>
      <c r="L415" s="17" t="n"/>
      <c r="M415" s="17" t="n"/>
      <c r="N415" s="17" t="n"/>
      <c r="O415" s="17" t="n"/>
      <c r="P415" s="17" t="n"/>
      <c r="Q415" s="17" t="n"/>
      <c r="R415" s="17" t="n"/>
      <c r="S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56" t="n"/>
      <c r="L416" s="17" t="n"/>
      <c r="M416" s="17" t="n"/>
      <c r="N416" s="17" t="n"/>
      <c r="O416" s="17" t="n"/>
      <c r="P416" s="17" t="n"/>
      <c r="Q416" s="17" t="n"/>
      <c r="R416" s="17" t="n"/>
      <c r="S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56" t="n"/>
      <c r="L417" s="17" t="n"/>
      <c r="M417" s="17" t="n"/>
      <c r="N417" s="17" t="n"/>
      <c r="O417" s="17" t="n"/>
      <c r="P417" s="17" t="n"/>
      <c r="Q417" s="17" t="n"/>
      <c r="R417" s="17" t="n"/>
      <c r="S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56" t="n"/>
      <c r="L418" s="17" t="n"/>
      <c r="M418" s="17" t="n"/>
      <c r="N418" s="17" t="n"/>
      <c r="O418" s="17" t="n"/>
      <c r="P418" s="17" t="n"/>
      <c r="Q418" s="17" t="n"/>
      <c r="R418" s="17" t="n"/>
      <c r="S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56" t="n"/>
      <c r="L419" s="17" t="n"/>
      <c r="M419" s="17" t="n"/>
      <c r="N419" s="17" t="n"/>
      <c r="O419" s="17" t="n"/>
      <c r="P419" s="17" t="n"/>
      <c r="Q419" s="17" t="n"/>
      <c r="R419" s="17" t="n"/>
      <c r="S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56" t="n"/>
      <c r="L420" s="17" t="n"/>
      <c r="M420" s="17" t="n"/>
      <c r="N420" s="17" t="n"/>
      <c r="O420" s="17" t="n"/>
      <c r="P420" s="17" t="n"/>
      <c r="Q420" s="17" t="n"/>
      <c r="R420" s="17" t="n"/>
      <c r="S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56" t="n"/>
      <c r="L421" s="17" t="n"/>
      <c r="M421" s="17" t="n"/>
      <c r="N421" s="17" t="n"/>
      <c r="O421" s="17" t="n"/>
      <c r="P421" s="17" t="n"/>
      <c r="Q421" s="17" t="n"/>
      <c r="R421" s="17" t="n"/>
      <c r="S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56" t="n"/>
      <c r="L422" s="17" t="n"/>
      <c r="M422" s="17" t="n"/>
      <c r="N422" s="17" t="n"/>
      <c r="O422" s="17" t="n"/>
      <c r="P422" s="17" t="n"/>
      <c r="Q422" s="17" t="n"/>
      <c r="R422" s="17" t="n"/>
      <c r="S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56" t="n"/>
      <c r="L423" s="17" t="n"/>
      <c r="M423" s="17" t="n"/>
      <c r="N423" s="17" t="n"/>
      <c r="O423" s="17" t="n"/>
      <c r="P423" s="17" t="n"/>
      <c r="Q423" s="17" t="n"/>
      <c r="R423" s="17" t="n"/>
      <c r="S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56" t="n"/>
      <c r="L424" s="17" t="n"/>
      <c r="M424" s="17" t="n"/>
      <c r="N424" s="17" t="n"/>
      <c r="O424" s="17" t="n"/>
      <c r="P424" s="17" t="n"/>
      <c r="Q424" s="17" t="n"/>
      <c r="R424" s="17" t="n"/>
      <c r="S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56" t="n"/>
      <c r="L425" s="17" t="n"/>
      <c r="M425" s="17" t="n"/>
      <c r="N425" s="17" t="n"/>
      <c r="O425" s="17" t="n"/>
      <c r="P425" s="17" t="n"/>
      <c r="Q425" s="17" t="n"/>
      <c r="R425" s="17" t="n"/>
      <c r="S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56" t="n"/>
      <c r="L426" s="17" t="n"/>
      <c r="M426" s="17" t="n"/>
      <c r="N426" s="17" t="n"/>
      <c r="O426" s="17" t="n"/>
      <c r="P426" s="17" t="n"/>
      <c r="Q426" s="17" t="n"/>
      <c r="R426" s="17" t="n"/>
      <c r="S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56" t="n"/>
      <c r="L427" s="17" t="n"/>
      <c r="M427" s="17" t="n"/>
      <c r="N427" s="17" t="n"/>
      <c r="O427" s="17" t="n"/>
      <c r="P427" s="17" t="n"/>
      <c r="Q427" s="17" t="n"/>
      <c r="R427" s="17" t="n"/>
      <c r="S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56" t="n"/>
      <c r="L428" s="17" t="n"/>
      <c r="M428" s="17" t="n"/>
      <c r="N428" s="17" t="n"/>
      <c r="O428" s="17" t="n"/>
      <c r="P428" s="17" t="n"/>
      <c r="Q428" s="17" t="n"/>
      <c r="R428" s="17" t="n"/>
      <c r="S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56" t="n"/>
      <c r="L429" s="17" t="n"/>
      <c r="M429" s="17" t="n"/>
      <c r="N429" s="17" t="n"/>
      <c r="O429" s="17" t="n"/>
      <c r="P429" s="17" t="n"/>
      <c r="Q429" s="17" t="n"/>
      <c r="R429" s="17" t="n"/>
      <c r="S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56" t="n"/>
      <c r="L430" s="17" t="n"/>
      <c r="M430" s="17" t="n"/>
      <c r="N430" s="17" t="n"/>
      <c r="O430" s="17" t="n"/>
      <c r="P430" s="17" t="n"/>
      <c r="Q430" s="17" t="n"/>
      <c r="R430" s="17" t="n"/>
      <c r="S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56" t="n"/>
      <c r="L431" s="17" t="n"/>
      <c r="M431" s="17" t="n"/>
      <c r="N431" s="17" t="n"/>
      <c r="O431" s="17" t="n"/>
      <c r="P431" s="17" t="n"/>
      <c r="Q431" s="17" t="n"/>
      <c r="R431" s="17" t="n"/>
      <c r="S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56" t="n"/>
      <c r="L432" s="17" t="n"/>
      <c r="M432" s="17" t="n"/>
      <c r="N432" s="17" t="n"/>
      <c r="O432" s="17" t="n"/>
      <c r="P432" s="17" t="n"/>
      <c r="Q432" s="17" t="n"/>
      <c r="R432" s="17" t="n"/>
      <c r="S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56" t="n"/>
      <c r="L433" s="17" t="n"/>
      <c r="M433" s="17" t="n"/>
      <c r="N433" s="17" t="n"/>
      <c r="O433" s="17" t="n"/>
      <c r="P433" s="17" t="n"/>
      <c r="Q433" s="17" t="n"/>
      <c r="R433" s="17" t="n"/>
      <c r="S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56" t="n"/>
      <c r="L434" s="17" t="n"/>
      <c r="M434" s="17" t="n"/>
      <c r="N434" s="17" t="n"/>
      <c r="O434" s="17" t="n"/>
      <c r="P434" s="17" t="n"/>
      <c r="Q434" s="17" t="n"/>
      <c r="R434" s="17" t="n"/>
      <c r="S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56" t="n"/>
      <c r="L435" s="17" t="n"/>
      <c r="M435" s="17" t="n"/>
      <c r="N435" s="17" t="n"/>
      <c r="O435" s="17" t="n"/>
      <c r="P435" s="17" t="n"/>
      <c r="Q435" s="17" t="n"/>
      <c r="R435" s="17" t="n"/>
      <c r="S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56" t="n"/>
      <c r="L436" s="17" t="n"/>
      <c r="M436" s="17" t="n"/>
      <c r="N436" s="17" t="n"/>
      <c r="O436" s="17" t="n"/>
      <c r="P436" s="17" t="n"/>
      <c r="Q436" s="17" t="n"/>
      <c r="R436" s="17" t="n"/>
      <c r="S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56" t="n"/>
      <c r="L437" s="17" t="n"/>
      <c r="M437" s="17" t="n"/>
      <c r="N437" s="17" t="n"/>
      <c r="O437" s="17" t="n"/>
      <c r="P437" s="17" t="n"/>
      <c r="Q437" s="17" t="n"/>
      <c r="R437" s="17" t="n"/>
      <c r="S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56" t="n"/>
      <c r="L438" s="17" t="n"/>
      <c r="M438" s="17" t="n"/>
      <c r="N438" s="17" t="n"/>
      <c r="O438" s="17" t="n"/>
      <c r="P438" s="17" t="n"/>
      <c r="Q438" s="17" t="n"/>
      <c r="R438" s="17" t="n"/>
      <c r="S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56" t="n"/>
      <c r="L439" s="17" t="n"/>
      <c r="M439" s="17" t="n"/>
      <c r="N439" s="17" t="n"/>
      <c r="O439" s="17" t="n"/>
      <c r="P439" s="17" t="n"/>
      <c r="Q439" s="17" t="n"/>
      <c r="R439" s="17" t="n"/>
      <c r="S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56" t="n"/>
      <c r="L440" s="17" t="n"/>
      <c r="M440" s="17" t="n"/>
      <c r="N440" s="17" t="n"/>
      <c r="O440" s="17" t="n"/>
      <c r="P440" s="17" t="n"/>
      <c r="Q440" s="17" t="n"/>
      <c r="R440" s="17" t="n"/>
      <c r="S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56" t="n"/>
      <c r="L441" s="17" t="n"/>
      <c r="M441" s="17" t="n"/>
      <c r="N441" s="17" t="n"/>
      <c r="O441" s="17" t="n"/>
      <c r="P441" s="17" t="n"/>
      <c r="Q441" s="17" t="n"/>
      <c r="R441" s="17" t="n"/>
      <c r="S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56" t="n"/>
      <c r="L442" s="17" t="n"/>
      <c r="M442" s="17" t="n"/>
      <c r="N442" s="17" t="n"/>
      <c r="O442" s="17" t="n"/>
      <c r="P442" s="17" t="n"/>
      <c r="Q442" s="17" t="n"/>
      <c r="R442" s="17" t="n"/>
      <c r="S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56" t="n"/>
      <c r="L443" s="17" t="n"/>
      <c r="M443" s="17" t="n"/>
      <c r="N443" s="17" t="n"/>
      <c r="O443" s="17" t="n"/>
      <c r="P443" s="17" t="n"/>
      <c r="Q443" s="17" t="n"/>
      <c r="R443" s="17" t="n"/>
      <c r="S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56" t="n"/>
      <c r="L444" s="17" t="n"/>
      <c r="M444" s="17" t="n"/>
      <c r="N444" s="17" t="n"/>
      <c r="O444" s="17" t="n"/>
      <c r="P444" s="17" t="n"/>
      <c r="Q444" s="17" t="n"/>
      <c r="R444" s="17" t="n"/>
      <c r="S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56" t="n"/>
      <c r="L445" s="17" t="n"/>
      <c r="M445" s="17" t="n"/>
      <c r="N445" s="17" t="n"/>
      <c r="O445" s="17" t="n"/>
      <c r="P445" s="17" t="n"/>
      <c r="Q445" s="17" t="n"/>
      <c r="R445" s="17" t="n"/>
      <c r="S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56" t="n"/>
      <c r="L446" s="17" t="n"/>
      <c r="M446" s="17" t="n"/>
      <c r="N446" s="17" t="n"/>
      <c r="O446" s="17" t="n"/>
      <c r="P446" s="17" t="n"/>
      <c r="Q446" s="17" t="n"/>
      <c r="R446" s="17" t="n"/>
      <c r="S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56" t="n"/>
      <c r="L447" s="17" t="n"/>
      <c r="M447" s="17" t="n"/>
      <c r="N447" s="17" t="n"/>
      <c r="O447" s="17" t="n"/>
      <c r="P447" s="17" t="n"/>
      <c r="Q447" s="17" t="n"/>
      <c r="R447" s="17" t="n"/>
      <c r="S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56" t="n"/>
      <c r="L448" s="17" t="n"/>
      <c r="M448" s="17" t="n"/>
      <c r="N448" s="17" t="n"/>
      <c r="O448" s="17" t="n"/>
      <c r="P448" s="17" t="n"/>
      <c r="Q448" s="17" t="n"/>
      <c r="R448" s="17" t="n"/>
      <c r="S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56" t="n"/>
      <c r="L449" s="17" t="n"/>
      <c r="M449" s="17" t="n"/>
      <c r="N449" s="17" t="n"/>
      <c r="O449" s="17" t="n"/>
      <c r="P449" s="17" t="n"/>
      <c r="Q449" s="17" t="n"/>
      <c r="R449" s="17" t="n"/>
      <c r="S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56" t="n"/>
      <c r="L450" s="17" t="n"/>
      <c r="M450" s="17" t="n"/>
      <c r="N450" s="17" t="n"/>
      <c r="O450" s="17" t="n"/>
      <c r="P450" s="17" t="n"/>
      <c r="Q450" s="17" t="n"/>
      <c r="R450" s="17" t="n"/>
      <c r="S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56" t="n"/>
      <c r="L451" s="17" t="n"/>
      <c r="M451" s="17" t="n"/>
      <c r="N451" s="17" t="n"/>
      <c r="O451" s="17" t="n"/>
      <c r="P451" s="17" t="n"/>
      <c r="Q451" s="17" t="n"/>
      <c r="R451" s="17" t="n"/>
      <c r="S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56" t="n"/>
      <c r="L452" s="17" t="n"/>
      <c r="M452" s="17" t="n"/>
      <c r="N452" s="17" t="n"/>
      <c r="O452" s="17" t="n"/>
      <c r="P452" s="17" t="n"/>
      <c r="Q452" s="17" t="n"/>
      <c r="R452" s="17" t="n"/>
      <c r="S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56" t="n"/>
      <c r="L453" s="17" t="n"/>
      <c r="M453" s="17" t="n"/>
      <c r="N453" s="17" t="n"/>
      <c r="O453" s="17" t="n"/>
      <c r="P453" s="17" t="n"/>
      <c r="Q453" s="17" t="n"/>
      <c r="R453" s="17" t="n"/>
      <c r="S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56" t="n"/>
      <c r="L454" s="17" t="n"/>
      <c r="M454" s="17" t="n"/>
      <c r="N454" s="17" t="n"/>
      <c r="O454" s="17" t="n"/>
      <c r="P454" s="17" t="n"/>
      <c r="Q454" s="17" t="n"/>
      <c r="R454" s="17" t="n"/>
      <c r="S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56" t="n"/>
      <c r="L455" s="17" t="n"/>
      <c r="M455" s="17" t="n"/>
      <c r="N455" s="17" t="n"/>
      <c r="O455" s="17" t="n"/>
      <c r="P455" s="17" t="n"/>
      <c r="Q455" s="17" t="n"/>
      <c r="R455" s="17" t="n"/>
      <c r="S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56" t="n"/>
      <c r="L456" s="17" t="n"/>
      <c r="M456" s="17" t="n"/>
      <c r="N456" s="17" t="n"/>
      <c r="O456" s="17" t="n"/>
      <c r="P456" s="17" t="n"/>
      <c r="Q456" s="17" t="n"/>
      <c r="R456" s="17" t="n"/>
      <c r="S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56" t="n"/>
      <c r="L457" s="17" t="n"/>
      <c r="M457" s="17" t="n"/>
      <c r="N457" s="17" t="n"/>
      <c r="O457" s="17" t="n"/>
      <c r="P457" s="17" t="n"/>
      <c r="Q457" s="17" t="n"/>
      <c r="R457" s="17" t="n"/>
      <c r="S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56" t="n"/>
      <c r="L458" s="17" t="n"/>
      <c r="M458" s="17" t="n"/>
      <c r="N458" s="17" t="n"/>
      <c r="O458" s="17" t="n"/>
      <c r="P458" s="17" t="n"/>
      <c r="Q458" s="17" t="n"/>
      <c r="R458" s="17" t="n"/>
      <c r="S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56" t="n"/>
      <c r="L459" s="17" t="n"/>
      <c r="M459" s="17" t="n"/>
      <c r="N459" s="17" t="n"/>
      <c r="O459" s="17" t="n"/>
      <c r="P459" s="17" t="n"/>
      <c r="Q459" s="17" t="n"/>
      <c r="R459" s="17" t="n"/>
      <c r="S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56" t="n"/>
      <c r="L460" s="17" t="n"/>
      <c r="M460" s="17" t="n"/>
      <c r="N460" s="17" t="n"/>
      <c r="O460" s="17" t="n"/>
      <c r="P460" s="17" t="n"/>
      <c r="Q460" s="17" t="n"/>
      <c r="R460" s="17" t="n"/>
      <c r="S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56" t="n"/>
      <c r="L461" s="17" t="n"/>
      <c r="M461" s="17" t="n"/>
      <c r="N461" s="17" t="n"/>
      <c r="O461" s="17" t="n"/>
      <c r="P461" s="17" t="n"/>
      <c r="Q461" s="17" t="n"/>
      <c r="R461" s="17" t="n"/>
      <c r="S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56" t="n"/>
      <c r="L462" s="17" t="n"/>
      <c r="M462" s="17" t="n"/>
      <c r="N462" s="17" t="n"/>
      <c r="O462" s="17" t="n"/>
      <c r="P462" s="17" t="n"/>
      <c r="Q462" s="17" t="n"/>
      <c r="R462" s="17" t="n"/>
      <c r="S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56" t="n"/>
      <c r="L463" s="17" t="n"/>
      <c r="M463" s="17" t="n"/>
      <c r="N463" s="17" t="n"/>
      <c r="O463" s="17" t="n"/>
      <c r="P463" s="17" t="n"/>
      <c r="Q463" s="17" t="n"/>
      <c r="R463" s="17" t="n"/>
      <c r="S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56" t="n"/>
      <c r="L464" s="17" t="n"/>
      <c r="M464" s="17" t="n"/>
      <c r="N464" s="17" t="n"/>
      <c r="O464" s="17" t="n"/>
      <c r="P464" s="17" t="n"/>
      <c r="Q464" s="17" t="n"/>
      <c r="R464" s="17" t="n"/>
      <c r="S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56" t="n"/>
      <c r="L465" s="17" t="n"/>
      <c r="M465" s="17" t="n"/>
      <c r="N465" s="17" t="n"/>
      <c r="O465" s="17" t="n"/>
      <c r="P465" s="17" t="n"/>
      <c r="Q465" s="17" t="n"/>
      <c r="R465" s="17" t="n"/>
      <c r="S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56" t="n"/>
      <c r="L466" s="17" t="n"/>
      <c r="M466" s="17" t="n"/>
      <c r="N466" s="17" t="n"/>
      <c r="O466" s="17" t="n"/>
      <c r="P466" s="17" t="n"/>
      <c r="Q466" s="17" t="n"/>
      <c r="R466" s="17" t="n"/>
      <c r="S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56" t="n"/>
      <c r="L467" s="17" t="n"/>
      <c r="M467" s="17" t="n"/>
      <c r="N467" s="17" t="n"/>
      <c r="O467" s="17" t="n"/>
      <c r="P467" s="17" t="n"/>
      <c r="Q467" s="17" t="n"/>
      <c r="R467" s="17" t="n"/>
      <c r="S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56" t="n"/>
      <c r="L468" s="17" t="n"/>
      <c r="M468" s="17" t="n"/>
      <c r="N468" s="17" t="n"/>
      <c r="O468" s="17" t="n"/>
      <c r="P468" s="17" t="n"/>
      <c r="Q468" s="17" t="n"/>
      <c r="R468" s="17" t="n"/>
      <c r="S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56" t="n"/>
      <c r="L469" s="17" t="n"/>
      <c r="M469" s="17" t="n"/>
      <c r="N469" s="17" t="n"/>
      <c r="O469" s="17" t="n"/>
      <c r="P469" s="17" t="n"/>
      <c r="Q469" s="17" t="n"/>
      <c r="R469" s="17" t="n"/>
      <c r="S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56" t="n"/>
      <c r="L470" s="17" t="n"/>
      <c r="M470" s="17" t="n"/>
      <c r="N470" s="17" t="n"/>
      <c r="O470" s="17" t="n"/>
      <c r="P470" s="17" t="n"/>
      <c r="Q470" s="17" t="n"/>
      <c r="R470" s="17" t="n"/>
      <c r="S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56" t="n"/>
      <c r="L471" s="17" t="n"/>
      <c r="M471" s="17" t="n"/>
      <c r="N471" s="17" t="n"/>
      <c r="O471" s="17" t="n"/>
      <c r="P471" s="17" t="n"/>
      <c r="Q471" s="17" t="n"/>
      <c r="R471" s="17" t="n"/>
      <c r="S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56" t="n"/>
      <c r="L472" s="17" t="n"/>
      <c r="M472" s="17" t="n"/>
      <c r="N472" s="17" t="n"/>
      <c r="O472" s="17" t="n"/>
      <c r="P472" s="17" t="n"/>
      <c r="Q472" s="17" t="n"/>
      <c r="R472" s="17" t="n"/>
      <c r="S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56" t="n"/>
      <c r="L473" s="17" t="n"/>
      <c r="M473" s="17" t="n"/>
      <c r="N473" s="17" t="n"/>
      <c r="O473" s="17" t="n"/>
      <c r="P473" s="17" t="n"/>
      <c r="Q473" s="17" t="n"/>
      <c r="R473" s="17" t="n"/>
      <c r="S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56" t="n"/>
      <c r="L474" s="17" t="n"/>
      <c r="M474" s="17" t="n"/>
      <c r="N474" s="17" t="n"/>
      <c r="O474" s="17" t="n"/>
      <c r="P474" s="17" t="n"/>
      <c r="Q474" s="17" t="n"/>
      <c r="R474" s="17" t="n"/>
      <c r="S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56" t="n"/>
      <c r="L475" s="17" t="n"/>
      <c r="M475" s="17" t="n"/>
      <c r="N475" s="17" t="n"/>
      <c r="O475" s="17" t="n"/>
      <c r="P475" s="17" t="n"/>
      <c r="Q475" s="17" t="n"/>
      <c r="R475" s="17" t="n"/>
      <c r="S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56" t="n"/>
      <c r="L476" s="17" t="n"/>
      <c r="M476" s="17" t="n"/>
      <c r="N476" s="17" t="n"/>
      <c r="O476" s="17" t="n"/>
      <c r="P476" s="17" t="n"/>
      <c r="Q476" s="17" t="n"/>
      <c r="R476" s="17" t="n"/>
      <c r="S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56" t="n"/>
      <c r="L477" s="17" t="n"/>
      <c r="M477" s="17" t="n"/>
      <c r="N477" s="17" t="n"/>
      <c r="O477" s="17" t="n"/>
      <c r="P477" s="17" t="n"/>
      <c r="Q477" s="17" t="n"/>
      <c r="R477" s="17" t="n"/>
      <c r="S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56" t="n"/>
      <c r="L478" s="17" t="n"/>
      <c r="M478" s="17" t="n"/>
      <c r="N478" s="17" t="n"/>
      <c r="O478" s="17" t="n"/>
      <c r="P478" s="17" t="n"/>
      <c r="Q478" s="17" t="n"/>
      <c r="R478" s="17" t="n"/>
      <c r="S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56" t="n"/>
      <c r="L479" s="17" t="n"/>
      <c r="M479" s="17" t="n"/>
      <c r="N479" s="17" t="n"/>
      <c r="O479" s="17" t="n"/>
      <c r="P479" s="17" t="n"/>
      <c r="Q479" s="17" t="n"/>
      <c r="R479" s="17" t="n"/>
      <c r="S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56" t="n"/>
      <c r="L480" s="17" t="n"/>
      <c r="M480" s="17" t="n"/>
      <c r="N480" s="17" t="n"/>
      <c r="O480" s="17" t="n"/>
      <c r="P480" s="17" t="n"/>
      <c r="Q480" s="17" t="n"/>
      <c r="R480" s="17" t="n"/>
      <c r="S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56" t="n"/>
      <c r="L481" s="17" t="n"/>
      <c r="M481" s="17" t="n"/>
      <c r="N481" s="17" t="n"/>
      <c r="O481" s="17" t="n"/>
      <c r="P481" s="17" t="n"/>
      <c r="Q481" s="17" t="n"/>
      <c r="R481" s="17" t="n"/>
      <c r="S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56" t="n"/>
      <c r="L482" s="17" t="n"/>
      <c r="M482" s="17" t="n"/>
      <c r="N482" s="17" t="n"/>
      <c r="O482" s="17" t="n"/>
      <c r="P482" s="17" t="n"/>
      <c r="Q482" s="17" t="n"/>
      <c r="R482" s="17" t="n"/>
      <c r="S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56" t="n"/>
      <c r="L483" s="17" t="n"/>
      <c r="M483" s="17" t="n"/>
      <c r="N483" s="17" t="n"/>
      <c r="O483" s="17" t="n"/>
      <c r="P483" s="17" t="n"/>
      <c r="Q483" s="17" t="n"/>
      <c r="R483" s="17" t="n"/>
      <c r="S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56" t="n"/>
      <c r="L484" s="17" t="n"/>
      <c r="M484" s="17" t="n"/>
      <c r="N484" s="17" t="n"/>
      <c r="O484" s="17" t="n"/>
      <c r="P484" s="17" t="n"/>
      <c r="Q484" s="17" t="n"/>
      <c r="R484" s="17" t="n"/>
      <c r="S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56" t="n"/>
      <c r="L485" s="17" t="n"/>
      <c r="M485" s="17" t="n"/>
      <c r="N485" s="17" t="n"/>
      <c r="O485" s="17" t="n"/>
      <c r="P485" s="17" t="n"/>
      <c r="Q485" s="17" t="n"/>
      <c r="R485" s="17" t="n"/>
      <c r="S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56" t="n"/>
      <c r="L486" s="17" t="n"/>
      <c r="M486" s="17" t="n"/>
      <c r="N486" s="17" t="n"/>
      <c r="O486" s="17" t="n"/>
      <c r="P486" s="17" t="n"/>
      <c r="Q486" s="17" t="n"/>
      <c r="R486" s="17" t="n"/>
      <c r="S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56" t="n"/>
      <c r="L487" s="17" t="n"/>
      <c r="M487" s="17" t="n"/>
      <c r="N487" s="17" t="n"/>
      <c r="O487" s="17" t="n"/>
      <c r="P487" s="17" t="n"/>
      <c r="Q487" s="17" t="n"/>
      <c r="R487" s="17" t="n"/>
      <c r="S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56" t="n"/>
      <c r="L488" s="17" t="n"/>
      <c r="M488" s="17" t="n"/>
      <c r="N488" s="17" t="n"/>
      <c r="O488" s="17" t="n"/>
      <c r="P488" s="17" t="n"/>
      <c r="Q488" s="17" t="n"/>
      <c r="R488" s="17" t="n"/>
      <c r="S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56" t="n"/>
      <c r="L489" s="17" t="n"/>
      <c r="M489" s="17" t="n"/>
      <c r="N489" s="17" t="n"/>
      <c r="O489" s="17" t="n"/>
      <c r="P489" s="17" t="n"/>
      <c r="Q489" s="17" t="n"/>
      <c r="R489" s="17" t="n"/>
      <c r="S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56" t="n"/>
      <c r="L490" s="17" t="n"/>
      <c r="M490" s="17" t="n"/>
      <c r="N490" s="17" t="n"/>
      <c r="O490" s="17" t="n"/>
      <c r="P490" s="17" t="n"/>
      <c r="Q490" s="17" t="n"/>
      <c r="R490" s="17" t="n"/>
      <c r="S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56" t="n"/>
      <c r="L491" s="17" t="n"/>
      <c r="M491" s="17" t="n"/>
      <c r="N491" s="17" t="n"/>
      <c r="O491" s="17" t="n"/>
      <c r="P491" s="17" t="n"/>
      <c r="Q491" s="17" t="n"/>
      <c r="R491" s="17" t="n"/>
      <c r="S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56" t="n"/>
      <c r="L492" s="17" t="n"/>
      <c r="M492" s="17" t="n"/>
      <c r="N492" s="17" t="n"/>
      <c r="O492" s="17" t="n"/>
      <c r="P492" s="17" t="n"/>
      <c r="Q492" s="17" t="n"/>
      <c r="R492" s="17" t="n"/>
      <c r="S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56" t="n"/>
      <c r="L493" s="17" t="n"/>
      <c r="M493" s="17" t="n"/>
      <c r="N493" s="17" t="n"/>
      <c r="O493" s="17" t="n"/>
      <c r="P493" s="17" t="n"/>
      <c r="Q493" s="17" t="n"/>
      <c r="R493" s="17" t="n"/>
      <c r="S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56" t="n"/>
      <c r="L494" s="17" t="n"/>
      <c r="M494" s="17" t="n"/>
      <c r="N494" s="17" t="n"/>
      <c r="O494" s="17" t="n"/>
      <c r="P494" s="17" t="n"/>
      <c r="Q494" s="17" t="n"/>
      <c r="R494" s="17" t="n"/>
      <c r="S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56" t="n"/>
      <c r="L495" s="17" t="n"/>
      <c r="M495" s="17" t="n"/>
      <c r="N495" s="17" t="n"/>
      <c r="O495" s="17" t="n"/>
      <c r="P495" s="17" t="n"/>
      <c r="Q495" s="17" t="n"/>
      <c r="R495" s="17" t="n"/>
      <c r="S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56" t="n"/>
      <c r="L496" s="17" t="n"/>
      <c r="M496" s="17" t="n"/>
      <c r="N496" s="17" t="n"/>
      <c r="O496" s="17" t="n"/>
      <c r="P496" s="17" t="n"/>
      <c r="Q496" s="17" t="n"/>
      <c r="R496" s="17" t="n"/>
      <c r="S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56" t="n"/>
      <c r="L497" s="17" t="n"/>
      <c r="M497" s="17" t="n"/>
      <c r="N497" s="17" t="n"/>
      <c r="O497" s="17" t="n"/>
      <c r="P497" s="17" t="n"/>
      <c r="Q497" s="17" t="n"/>
      <c r="R497" s="17" t="n"/>
      <c r="S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56" t="n"/>
      <c r="L498" s="17" t="n"/>
      <c r="M498" s="17" t="n"/>
      <c r="N498" s="17" t="n"/>
      <c r="O498" s="17" t="n"/>
      <c r="P498" s="17" t="n"/>
      <c r="Q498" s="17" t="n"/>
      <c r="R498" s="17" t="n"/>
      <c r="S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56" t="n"/>
      <c r="L499" s="17" t="n"/>
      <c r="M499" s="17" t="n"/>
      <c r="N499" s="17" t="n"/>
      <c r="O499" s="17" t="n"/>
      <c r="P499" s="17" t="n"/>
      <c r="Q499" s="17" t="n"/>
      <c r="R499" s="17" t="n"/>
      <c r="S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56" t="n"/>
      <c r="L500" s="17" t="n"/>
      <c r="M500" s="17" t="n"/>
      <c r="N500" s="17" t="n"/>
      <c r="O500" s="17" t="n"/>
      <c r="P500" s="17" t="n"/>
      <c r="Q500" s="17" t="n"/>
      <c r="R500" s="17" t="n"/>
      <c r="S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56" t="n"/>
      <c r="L501" s="17" t="n"/>
      <c r="M501" s="17" t="n"/>
      <c r="N501" s="17" t="n"/>
      <c r="O501" s="17" t="n"/>
      <c r="P501" s="17" t="n"/>
      <c r="Q501" s="17" t="n"/>
      <c r="R501" s="17" t="n"/>
      <c r="S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56" t="n"/>
      <c r="L502" s="17" t="n"/>
      <c r="M502" s="17" t="n"/>
      <c r="N502" s="17" t="n"/>
      <c r="O502" s="17" t="n"/>
      <c r="P502" s="17" t="n"/>
      <c r="Q502" s="17" t="n"/>
      <c r="R502" s="17" t="n"/>
      <c r="S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56" t="n"/>
      <c r="L503" s="17" t="n"/>
      <c r="M503" s="17" t="n"/>
      <c r="N503" s="17" t="n"/>
      <c r="O503" s="17" t="n"/>
      <c r="P503" s="17" t="n"/>
      <c r="Q503" s="17" t="n"/>
      <c r="R503" s="17" t="n"/>
      <c r="S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56" t="n"/>
      <c r="L504" s="17" t="n"/>
      <c r="M504" s="17" t="n"/>
      <c r="N504" s="17" t="n"/>
      <c r="O504" s="17" t="n"/>
      <c r="P504" s="17" t="n"/>
      <c r="Q504" s="17" t="n"/>
      <c r="R504" s="17" t="n"/>
      <c r="S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56" t="n"/>
      <c r="L505" s="17" t="n"/>
      <c r="M505" s="17" t="n"/>
      <c r="N505" s="17" t="n"/>
      <c r="O505" s="17" t="n"/>
      <c r="P505" s="17" t="n"/>
      <c r="Q505" s="17" t="n"/>
      <c r="R505" s="17" t="n"/>
      <c r="S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56" t="n"/>
      <c r="L506" s="17" t="n"/>
      <c r="M506" s="17" t="n"/>
      <c r="N506" s="17" t="n"/>
      <c r="O506" s="17" t="n"/>
      <c r="P506" s="17" t="n"/>
      <c r="Q506" s="17" t="n"/>
      <c r="R506" s="17" t="n"/>
      <c r="S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56" t="n"/>
      <c r="L507" s="17" t="n"/>
      <c r="M507" s="17" t="n"/>
      <c r="N507" s="17" t="n"/>
      <c r="O507" s="17" t="n"/>
      <c r="P507" s="17" t="n"/>
      <c r="Q507" s="17" t="n"/>
      <c r="R507" s="17" t="n"/>
      <c r="S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56" t="n"/>
      <c r="L508" s="17" t="n"/>
      <c r="M508" s="17" t="n"/>
      <c r="N508" s="17" t="n"/>
      <c r="O508" s="17" t="n"/>
      <c r="P508" s="17" t="n"/>
      <c r="Q508" s="17" t="n"/>
      <c r="R508" s="17" t="n"/>
      <c r="S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56" t="n"/>
      <c r="L509" s="17" t="n"/>
      <c r="M509" s="17" t="n"/>
      <c r="N509" s="17" t="n"/>
      <c r="O509" s="17" t="n"/>
      <c r="P509" s="17" t="n"/>
      <c r="Q509" s="17" t="n"/>
      <c r="R509" s="17" t="n"/>
      <c r="S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56" t="n"/>
      <c r="L510" s="17" t="n"/>
      <c r="M510" s="17" t="n"/>
      <c r="N510" s="17" t="n"/>
      <c r="O510" s="17" t="n"/>
      <c r="P510" s="17" t="n"/>
      <c r="Q510" s="17" t="n"/>
      <c r="R510" s="17" t="n"/>
      <c r="S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56" t="n"/>
      <c r="L511" s="17" t="n"/>
      <c r="M511" s="17" t="n"/>
      <c r="N511" s="17" t="n"/>
      <c r="O511" s="17" t="n"/>
      <c r="P511" s="17" t="n"/>
      <c r="Q511" s="17" t="n"/>
      <c r="R511" s="17" t="n"/>
      <c r="S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56" t="n"/>
      <c r="L512" s="17" t="n"/>
      <c r="M512" s="17" t="n"/>
      <c r="N512" s="17" t="n"/>
      <c r="O512" s="17" t="n"/>
      <c r="P512" s="17" t="n"/>
      <c r="Q512" s="17" t="n"/>
      <c r="R512" s="17" t="n"/>
      <c r="S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56" t="n"/>
      <c r="L513" s="17" t="n"/>
      <c r="M513" s="17" t="n"/>
      <c r="N513" s="17" t="n"/>
      <c r="O513" s="17" t="n"/>
      <c r="P513" s="17" t="n"/>
      <c r="Q513" s="17" t="n"/>
      <c r="R513" s="17" t="n"/>
      <c r="S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56" t="n"/>
      <c r="L514" s="17" t="n"/>
      <c r="M514" s="17" t="n"/>
      <c r="N514" s="17" t="n"/>
      <c r="O514" s="17" t="n"/>
      <c r="P514" s="17" t="n"/>
      <c r="Q514" s="17" t="n"/>
      <c r="R514" s="17" t="n"/>
      <c r="S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56" t="n"/>
      <c r="L515" s="17" t="n"/>
      <c r="M515" s="17" t="n"/>
      <c r="N515" s="17" t="n"/>
      <c r="O515" s="17" t="n"/>
      <c r="P515" s="17" t="n"/>
      <c r="Q515" s="17" t="n"/>
      <c r="R515" s="17" t="n"/>
      <c r="S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56" t="n"/>
      <c r="L516" s="17" t="n"/>
      <c r="M516" s="17" t="n"/>
      <c r="N516" s="17" t="n"/>
      <c r="O516" s="17" t="n"/>
      <c r="P516" s="17" t="n"/>
      <c r="Q516" s="17" t="n"/>
      <c r="R516" s="17" t="n"/>
      <c r="S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56" t="n"/>
      <c r="L517" s="17" t="n"/>
      <c r="M517" s="17" t="n"/>
      <c r="N517" s="17" t="n"/>
      <c r="O517" s="17" t="n"/>
      <c r="P517" s="17" t="n"/>
      <c r="Q517" s="17" t="n"/>
      <c r="R517" s="17" t="n"/>
      <c r="S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56" t="n"/>
      <c r="L518" s="17" t="n"/>
      <c r="M518" s="17" t="n"/>
      <c r="N518" s="17" t="n"/>
      <c r="O518" s="17" t="n"/>
      <c r="P518" s="17" t="n"/>
      <c r="Q518" s="17" t="n"/>
      <c r="R518" s="17" t="n"/>
      <c r="S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56" t="n"/>
      <c r="L519" s="17" t="n"/>
      <c r="M519" s="17" t="n"/>
      <c r="N519" s="17" t="n"/>
      <c r="O519" s="17" t="n"/>
      <c r="P519" s="17" t="n"/>
      <c r="Q519" s="17" t="n"/>
      <c r="R519" s="17" t="n"/>
      <c r="S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56" t="n"/>
      <c r="L520" s="17" t="n"/>
      <c r="M520" s="17" t="n"/>
      <c r="N520" s="17" t="n"/>
      <c r="O520" s="17" t="n"/>
      <c r="P520" s="17" t="n"/>
      <c r="Q520" s="17" t="n"/>
      <c r="R520" s="17" t="n"/>
      <c r="S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56" t="n"/>
      <c r="L521" s="17" t="n"/>
      <c r="M521" s="17" t="n"/>
      <c r="N521" s="17" t="n"/>
      <c r="O521" s="17" t="n"/>
      <c r="P521" s="17" t="n"/>
      <c r="Q521" s="17" t="n"/>
      <c r="R521" s="17" t="n"/>
      <c r="S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56" t="n"/>
      <c r="L522" s="17" t="n"/>
      <c r="M522" s="17" t="n"/>
      <c r="N522" s="17" t="n"/>
      <c r="O522" s="17" t="n"/>
      <c r="P522" s="17" t="n"/>
      <c r="Q522" s="17" t="n"/>
      <c r="R522" s="17" t="n"/>
      <c r="S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56" t="n"/>
      <c r="L523" s="17" t="n"/>
      <c r="M523" s="17" t="n"/>
      <c r="N523" s="17" t="n"/>
      <c r="O523" s="17" t="n"/>
      <c r="P523" s="17" t="n"/>
      <c r="Q523" s="17" t="n"/>
      <c r="R523" s="17" t="n"/>
      <c r="S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56" t="n"/>
      <c r="L524" s="17" t="n"/>
      <c r="M524" s="17" t="n"/>
      <c r="N524" s="17" t="n"/>
      <c r="O524" s="17" t="n"/>
      <c r="P524" s="17" t="n"/>
      <c r="Q524" s="17" t="n"/>
      <c r="R524" s="17" t="n"/>
      <c r="S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56" t="n"/>
      <c r="L525" s="17" t="n"/>
      <c r="M525" s="17" t="n"/>
      <c r="N525" s="17" t="n"/>
      <c r="O525" s="17" t="n"/>
      <c r="P525" s="17" t="n"/>
      <c r="Q525" s="17" t="n"/>
      <c r="R525" s="17" t="n"/>
      <c r="S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56" t="n"/>
      <c r="L526" s="17" t="n"/>
      <c r="M526" s="17" t="n"/>
      <c r="N526" s="17" t="n"/>
      <c r="O526" s="17" t="n"/>
      <c r="P526" s="17" t="n"/>
      <c r="Q526" s="17" t="n"/>
      <c r="R526" s="17" t="n"/>
      <c r="S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56" t="n"/>
      <c r="L527" s="17" t="n"/>
      <c r="M527" s="17" t="n"/>
      <c r="N527" s="17" t="n"/>
      <c r="O527" s="17" t="n"/>
      <c r="P527" s="17" t="n"/>
      <c r="Q527" s="17" t="n"/>
      <c r="R527" s="17" t="n"/>
      <c r="S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56" t="n"/>
      <c r="L528" s="17" t="n"/>
      <c r="M528" s="17" t="n"/>
      <c r="N528" s="17" t="n"/>
      <c r="O528" s="17" t="n"/>
      <c r="P528" s="17" t="n"/>
      <c r="Q528" s="17" t="n"/>
      <c r="R528" s="17" t="n"/>
      <c r="S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56" t="n"/>
      <c r="L529" s="17" t="n"/>
      <c r="M529" s="17" t="n"/>
      <c r="N529" s="17" t="n"/>
      <c r="O529" s="17" t="n"/>
      <c r="P529" s="17" t="n"/>
      <c r="Q529" s="17" t="n"/>
      <c r="R529" s="17" t="n"/>
      <c r="S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56" t="n"/>
      <c r="L530" s="17" t="n"/>
      <c r="M530" s="17" t="n"/>
      <c r="N530" s="17" t="n"/>
      <c r="O530" s="17" t="n"/>
      <c r="P530" s="17" t="n"/>
      <c r="Q530" s="17" t="n"/>
      <c r="R530" s="17" t="n"/>
      <c r="S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56" t="n"/>
      <c r="L531" s="17" t="n"/>
      <c r="M531" s="17" t="n"/>
      <c r="N531" s="17" t="n"/>
      <c r="O531" s="17" t="n"/>
      <c r="P531" s="17" t="n"/>
      <c r="Q531" s="17" t="n"/>
      <c r="R531" s="17" t="n"/>
      <c r="S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56" t="n"/>
      <c r="L532" s="17" t="n"/>
      <c r="M532" s="17" t="n"/>
      <c r="N532" s="17" t="n"/>
      <c r="O532" s="17" t="n"/>
      <c r="P532" s="17" t="n"/>
      <c r="Q532" s="17" t="n"/>
      <c r="R532" s="17" t="n"/>
      <c r="S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56" t="n"/>
      <c r="L533" s="17" t="n"/>
      <c r="M533" s="17" t="n"/>
      <c r="N533" s="17" t="n"/>
      <c r="O533" s="17" t="n"/>
      <c r="P533" s="17" t="n"/>
      <c r="Q533" s="17" t="n"/>
      <c r="R533" s="17" t="n"/>
      <c r="S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56" t="n"/>
      <c r="L534" s="17" t="n"/>
      <c r="M534" s="17" t="n"/>
      <c r="N534" s="17" t="n"/>
      <c r="O534" s="17" t="n"/>
      <c r="P534" s="17" t="n"/>
      <c r="Q534" s="17" t="n"/>
      <c r="R534" s="17" t="n"/>
      <c r="S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56" t="n"/>
      <c r="L535" s="17" t="n"/>
      <c r="M535" s="17" t="n"/>
      <c r="N535" s="17" t="n"/>
      <c r="O535" s="17" t="n"/>
      <c r="P535" s="17" t="n"/>
      <c r="Q535" s="17" t="n"/>
      <c r="R535" s="17" t="n"/>
      <c r="S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56" t="n"/>
      <c r="L536" s="17" t="n"/>
      <c r="M536" s="17" t="n"/>
      <c r="N536" s="17" t="n"/>
      <c r="O536" s="17" t="n"/>
      <c r="P536" s="17" t="n"/>
      <c r="Q536" s="17" t="n"/>
      <c r="R536" s="17" t="n"/>
      <c r="S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56" t="n"/>
      <c r="L537" s="17" t="n"/>
      <c r="M537" s="17" t="n"/>
      <c r="N537" s="17" t="n"/>
      <c r="O537" s="17" t="n"/>
      <c r="P537" s="17" t="n"/>
      <c r="Q537" s="17" t="n"/>
      <c r="R537" s="17" t="n"/>
      <c r="S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56" t="n"/>
      <c r="L538" s="17" t="n"/>
      <c r="M538" s="17" t="n"/>
      <c r="N538" s="17" t="n"/>
      <c r="O538" s="17" t="n"/>
      <c r="P538" s="17" t="n"/>
      <c r="Q538" s="17" t="n"/>
      <c r="R538" s="17" t="n"/>
      <c r="S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56" t="n"/>
      <c r="L539" s="17" t="n"/>
      <c r="M539" s="17" t="n"/>
      <c r="N539" s="17" t="n"/>
      <c r="O539" s="17" t="n"/>
      <c r="P539" s="17" t="n"/>
      <c r="Q539" s="17" t="n"/>
      <c r="R539" s="17" t="n"/>
      <c r="S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56" t="n"/>
      <c r="L540" s="17" t="n"/>
      <c r="M540" s="17" t="n"/>
      <c r="N540" s="17" t="n"/>
      <c r="O540" s="17" t="n"/>
      <c r="P540" s="17" t="n"/>
      <c r="Q540" s="17" t="n"/>
      <c r="R540" s="17" t="n"/>
      <c r="S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56" t="n"/>
      <c r="L541" s="17" t="n"/>
      <c r="M541" s="17" t="n"/>
      <c r="N541" s="17" t="n"/>
      <c r="O541" s="17" t="n"/>
      <c r="P541" s="17" t="n"/>
      <c r="Q541" s="17" t="n"/>
      <c r="R541" s="17" t="n"/>
      <c r="S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56" t="n"/>
      <c r="L542" s="17" t="n"/>
      <c r="M542" s="17" t="n"/>
      <c r="N542" s="17" t="n"/>
      <c r="O542" s="17" t="n"/>
      <c r="P542" s="17" t="n"/>
      <c r="Q542" s="17" t="n"/>
      <c r="R542" s="17" t="n"/>
      <c r="S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56" t="n"/>
      <c r="L543" s="17" t="n"/>
      <c r="M543" s="17" t="n"/>
      <c r="N543" s="17" t="n"/>
      <c r="O543" s="17" t="n"/>
      <c r="P543" s="17" t="n"/>
      <c r="Q543" s="17" t="n"/>
      <c r="R543" s="17" t="n"/>
      <c r="S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56" t="n"/>
      <c r="L544" s="17" t="n"/>
      <c r="M544" s="17" t="n"/>
      <c r="N544" s="17" t="n"/>
      <c r="O544" s="17" t="n"/>
      <c r="P544" s="17" t="n"/>
      <c r="Q544" s="17" t="n"/>
      <c r="R544" s="17" t="n"/>
      <c r="S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56" t="n"/>
      <c r="L545" s="17" t="n"/>
      <c r="M545" s="17" t="n"/>
      <c r="N545" s="17" t="n"/>
      <c r="O545" s="17" t="n"/>
      <c r="P545" s="17" t="n"/>
      <c r="Q545" s="17" t="n"/>
      <c r="R545" s="17" t="n"/>
      <c r="S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56" t="n"/>
      <c r="L546" s="17" t="n"/>
      <c r="M546" s="17" t="n"/>
      <c r="N546" s="17" t="n"/>
      <c r="O546" s="17" t="n"/>
      <c r="P546" s="17" t="n"/>
      <c r="Q546" s="17" t="n"/>
      <c r="R546" s="17" t="n"/>
      <c r="S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56" t="n"/>
      <c r="L547" s="17" t="n"/>
      <c r="M547" s="17" t="n"/>
      <c r="N547" s="17" t="n"/>
      <c r="O547" s="17" t="n"/>
      <c r="P547" s="17" t="n"/>
      <c r="Q547" s="17" t="n"/>
      <c r="R547" s="17" t="n"/>
      <c r="S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56" t="n"/>
      <c r="L548" s="17" t="n"/>
      <c r="M548" s="17" t="n"/>
      <c r="N548" s="17" t="n"/>
      <c r="O548" s="17" t="n"/>
      <c r="P548" s="17" t="n"/>
      <c r="Q548" s="17" t="n"/>
      <c r="R548" s="17" t="n"/>
      <c r="S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56" t="n"/>
      <c r="L549" s="17" t="n"/>
      <c r="M549" s="17" t="n"/>
      <c r="N549" s="17" t="n"/>
      <c r="O549" s="17" t="n"/>
      <c r="P549" s="17" t="n"/>
      <c r="Q549" s="17" t="n"/>
      <c r="R549" s="17" t="n"/>
      <c r="S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56" t="n"/>
      <c r="L550" s="17" t="n"/>
      <c r="M550" s="17" t="n"/>
      <c r="N550" s="17" t="n"/>
      <c r="O550" s="17" t="n"/>
      <c r="P550" s="17" t="n"/>
      <c r="Q550" s="17" t="n"/>
      <c r="R550" s="17" t="n"/>
      <c r="S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56" t="n"/>
      <c r="L551" s="17" t="n"/>
      <c r="M551" s="17" t="n"/>
      <c r="N551" s="17" t="n"/>
      <c r="O551" s="17" t="n"/>
      <c r="P551" s="17" t="n"/>
      <c r="Q551" s="17" t="n"/>
      <c r="R551" s="17" t="n"/>
      <c r="S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56" t="n"/>
      <c r="L552" s="17" t="n"/>
      <c r="M552" s="17" t="n"/>
      <c r="N552" s="17" t="n"/>
      <c r="O552" s="17" t="n"/>
      <c r="P552" s="17" t="n"/>
      <c r="Q552" s="17" t="n"/>
      <c r="R552" s="17" t="n"/>
      <c r="S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56" t="n"/>
      <c r="L553" s="17" t="n"/>
      <c r="M553" s="17" t="n"/>
      <c r="N553" s="17" t="n"/>
      <c r="O553" s="17" t="n"/>
      <c r="P553" s="17" t="n"/>
      <c r="Q553" s="17" t="n"/>
      <c r="R553" s="17" t="n"/>
      <c r="S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56" t="n"/>
      <c r="L554" s="17" t="n"/>
      <c r="M554" s="17" t="n"/>
      <c r="N554" s="17" t="n"/>
      <c r="O554" s="17" t="n"/>
      <c r="P554" s="17" t="n"/>
      <c r="Q554" s="17" t="n"/>
      <c r="R554" s="17" t="n"/>
      <c r="S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56" t="n"/>
      <c r="L555" s="17" t="n"/>
      <c r="M555" s="17" t="n"/>
      <c r="N555" s="17" t="n"/>
      <c r="O555" s="17" t="n"/>
      <c r="P555" s="17" t="n"/>
      <c r="Q555" s="17" t="n"/>
      <c r="R555" s="17" t="n"/>
      <c r="S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56" t="n"/>
      <c r="L556" s="17" t="n"/>
      <c r="M556" s="17" t="n"/>
      <c r="N556" s="17" t="n"/>
      <c r="O556" s="17" t="n"/>
      <c r="P556" s="17" t="n"/>
      <c r="Q556" s="17" t="n"/>
      <c r="R556" s="17" t="n"/>
      <c r="S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56" t="n"/>
      <c r="L557" s="17" t="n"/>
      <c r="M557" s="17" t="n"/>
      <c r="N557" s="17" t="n"/>
      <c r="O557" s="17" t="n"/>
      <c r="P557" s="17" t="n"/>
      <c r="Q557" s="17" t="n"/>
      <c r="R557" s="17" t="n"/>
      <c r="S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56" t="n"/>
      <c r="L558" s="17" t="n"/>
      <c r="M558" s="17" t="n"/>
      <c r="N558" s="17" t="n"/>
      <c r="O558" s="17" t="n"/>
      <c r="P558" s="17" t="n"/>
      <c r="Q558" s="17" t="n"/>
      <c r="R558" s="17" t="n"/>
      <c r="S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56" t="n"/>
      <c r="L559" s="17" t="n"/>
      <c r="M559" s="17" t="n"/>
      <c r="N559" s="17" t="n"/>
      <c r="O559" s="17" t="n"/>
      <c r="P559" s="17" t="n"/>
      <c r="Q559" s="17" t="n"/>
      <c r="R559" s="17" t="n"/>
      <c r="S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56" t="n"/>
      <c r="L560" s="17" t="n"/>
      <c r="M560" s="17" t="n"/>
      <c r="N560" s="17" t="n"/>
      <c r="O560" s="17" t="n"/>
      <c r="P560" s="17" t="n"/>
      <c r="Q560" s="17" t="n"/>
      <c r="R560" s="17" t="n"/>
      <c r="S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56" t="n"/>
      <c r="L561" s="17" t="n"/>
      <c r="M561" s="17" t="n"/>
      <c r="N561" s="17" t="n"/>
      <c r="O561" s="17" t="n"/>
      <c r="P561" s="17" t="n"/>
      <c r="Q561" s="17" t="n"/>
      <c r="R561" s="17" t="n"/>
      <c r="S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56" t="n"/>
      <c r="L562" s="17" t="n"/>
      <c r="M562" s="17" t="n"/>
      <c r="N562" s="17" t="n"/>
      <c r="O562" s="17" t="n"/>
      <c r="P562" s="17" t="n"/>
      <c r="Q562" s="17" t="n"/>
      <c r="R562" s="17" t="n"/>
      <c r="S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56" t="n"/>
      <c r="L563" s="17" t="n"/>
      <c r="M563" s="17" t="n"/>
      <c r="N563" s="17" t="n"/>
      <c r="O563" s="17" t="n"/>
      <c r="P563" s="17" t="n"/>
      <c r="Q563" s="17" t="n"/>
      <c r="R563" s="17" t="n"/>
      <c r="S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56" t="n"/>
      <c r="L564" s="17" t="n"/>
      <c r="M564" s="17" t="n"/>
      <c r="N564" s="17" t="n"/>
      <c r="O564" s="17" t="n"/>
      <c r="P564" s="17" t="n"/>
      <c r="Q564" s="17" t="n"/>
      <c r="R564" s="17" t="n"/>
      <c r="S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56" t="n"/>
      <c r="L565" s="17" t="n"/>
      <c r="M565" s="17" t="n"/>
      <c r="N565" s="17" t="n"/>
      <c r="O565" s="17" t="n"/>
      <c r="P565" s="17" t="n"/>
      <c r="Q565" s="17" t="n"/>
      <c r="R565" s="17" t="n"/>
      <c r="S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56" t="n"/>
      <c r="L566" s="17" t="n"/>
      <c r="M566" s="17" t="n"/>
      <c r="N566" s="17" t="n"/>
      <c r="O566" s="17" t="n"/>
      <c r="P566" s="17" t="n"/>
      <c r="Q566" s="17" t="n"/>
      <c r="R566" s="17" t="n"/>
      <c r="S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56" t="n"/>
      <c r="L567" s="17" t="n"/>
      <c r="M567" s="17" t="n"/>
      <c r="N567" s="17" t="n"/>
      <c r="O567" s="17" t="n"/>
      <c r="P567" s="17" t="n"/>
      <c r="Q567" s="17" t="n"/>
      <c r="R567" s="17" t="n"/>
      <c r="S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56" t="n"/>
      <c r="L568" s="17" t="n"/>
      <c r="M568" s="17" t="n"/>
      <c r="N568" s="17" t="n"/>
      <c r="O568" s="17" t="n"/>
      <c r="P568" s="17" t="n"/>
      <c r="Q568" s="17" t="n"/>
      <c r="R568" s="17" t="n"/>
      <c r="S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56" t="n"/>
      <c r="L569" s="17" t="n"/>
      <c r="M569" s="17" t="n"/>
      <c r="N569" s="17" t="n"/>
      <c r="O569" s="17" t="n"/>
      <c r="P569" s="17" t="n"/>
      <c r="Q569" s="17" t="n"/>
      <c r="R569" s="17" t="n"/>
      <c r="S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56" t="n"/>
      <c r="L570" s="17" t="n"/>
      <c r="M570" s="17" t="n"/>
      <c r="N570" s="17" t="n"/>
      <c r="O570" s="17" t="n"/>
      <c r="P570" s="17" t="n"/>
      <c r="Q570" s="17" t="n"/>
      <c r="R570" s="17" t="n"/>
      <c r="S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56" t="n"/>
      <c r="L571" s="17" t="n"/>
      <c r="M571" s="17" t="n"/>
      <c r="N571" s="17" t="n"/>
      <c r="O571" s="17" t="n"/>
      <c r="P571" s="17" t="n"/>
      <c r="Q571" s="17" t="n"/>
      <c r="R571" s="17" t="n"/>
      <c r="S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56" t="n"/>
      <c r="L572" s="17" t="n"/>
      <c r="M572" s="17" t="n"/>
      <c r="N572" s="17" t="n"/>
      <c r="O572" s="17" t="n"/>
      <c r="P572" s="17" t="n"/>
      <c r="Q572" s="17" t="n"/>
      <c r="R572" s="17" t="n"/>
      <c r="S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56" t="n"/>
      <c r="L573" s="17" t="n"/>
      <c r="M573" s="17" t="n"/>
      <c r="N573" s="17" t="n"/>
      <c r="O573" s="17" t="n"/>
      <c r="P573" s="17" t="n"/>
      <c r="Q573" s="17" t="n"/>
      <c r="R573" s="17" t="n"/>
      <c r="S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56" t="n"/>
      <c r="L574" s="17" t="n"/>
      <c r="M574" s="17" t="n"/>
      <c r="N574" s="17" t="n"/>
      <c r="O574" s="17" t="n"/>
      <c r="P574" s="17" t="n"/>
      <c r="Q574" s="17" t="n"/>
      <c r="R574" s="17" t="n"/>
      <c r="S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56" t="n"/>
      <c r="L575" s="17" t="n"/>
      <c r="M575" s="17" t="n"/>
      <c r="N575" s="17" t="n"/>
      <c r="O575" s="17" t="n"/>
      <c r="P575" s="17" t="n"/>
      <c r="Q575" s="17" t="n"/>
      <c r="R575" s="17" t="n"/>
      <c r="S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56" t="n"/>
      <c r="L576" s="17" t="n"/>
      <c r="M576" s="17" t="n"/>
      <c r="N576" s="17" t="n"/>
      <c r="O576" s="17" t="n"/>
      <c r="P576" s="17" t="n"/>
      <c r="Q576" s="17" t="n"/>
      <c r="R576" s="17" t="n"/>
      <c r="S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56" t="n"/>
      <c r="L577" s="17" t="n"/>
      <c r="M577" s="17" t="n"/>
      <c r="N577" s="17" t="n"/>
      <c r="O577" s="17" t="n"/>
      <c r="P577" s="17" t="n"/>
      <c r="Q577" s="17" t="n"/>
      <c r="R577" s="17" t="n"/>
      <c r="S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56" t="n"/>
      <c r="L578" s="17" t="n"/>
      <c r="M578" s="17" t="n"/>
      <c r="N578" s="17" t="n"/>
      <c r="O578" s="17" t="n"/>
      <c r="P578" s="17" t="n"/>
      <c r="Q578" s="17" t="n"/>
      <c r="R578" s="17" t="n"/>
      <c r="S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56" t="n"/>
      <c r="L579" s="17" t="n"/>
      <c r="M579" s="17" t="n"/>
      <c r="N579" s="17" t="n"/>
      <c r="O579" s="17" t="n"/>
      <c r="P579" s="17" t="n"/>
      <c r="Q579" s="17" t="n"/>
      <c r="R579" s="17" t="n"/>
      <c r="S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56" t="n"/>
      <c r="L580" s="17" t="n"/>
      <c r="M580" s="17" t="n"/>
      <c r="N580" s="17" t="n"/>
      <c r="O580" s="17" t="n"/>
      <c r="P580" s="17" t="n"/>
      <c r="Q580" s="17" t="n"/>
      <c r="R580" s="17" t="n"/>
      <c r="S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56" t="n"/>
      <c r="L581" s="17" t="n"/>
      <c r="M581" s="17" t="n"/>
      <c r="N581" s="17" t="n"/>
      <c r="O581" s="17" t="n"/>
      <c r="P581" s="17" t="n"/>
      <c r="Q581" s="17" t="n"/>
      <c r="R581" s="17" t="n"/>
      <c r="S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56" t="n"/>
      <c r="L582" s="17" t="n"/>
      <c r="M582" s="17" t="n"/>
      <c r="N582" s="17" t="n"/>
      <c r="O582" s="17" t="n"/>
      <c r="P582" s="17" t="n"/>
      <c r="Q582" s="17" t="n"/>
      <c r="R582" s="17" t="n"/>
      <c r="S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56" t="n"/>
      <c r="L583" s="17" t="n"/>
      <c r="M583" s="17" t="n"/>
      <c r="N583" s="17" t="n"/>
      <c r="O583" s="17" t="n"/>
      <c r="P583" s="17" t="n"/>
      <c r="Q583" s="17" t="n"/>
      <c r="R583" s="17" t="n"/>
      <c r="S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56" t="n"/>
      <c r="L584" s="17" t="n"/>
      <c r="M584" s="17" t="n"/>
      <c r="N584" s="17" t="n"/>
      <c r="O584" s="17" t="n"/>
      <c r="P584" s="17" t="n"/>
      <c r="Q584" s="17" t="n"/>
      <c r="R584" s="17" t="n"/>
      <c r="S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56" t="n"/>
      <c r="L585" s="17" t="n"/>
      <c r="M585" s="17" t="n"/>
      <c r="N585" s="17" t="n"/>
      <c r="O585" s="17" t="n"/>
      <c r="P585" s="17" t="n"/>
      <c r="Q585" s="17" t="n"/>
      <c r="R585" s="17" t="n"/>
      <c r="S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56" t="n"/>
      <c r="L586" s="17" t="n"/>
      <c r="M586" s="17" t="n"/>
      <c r="N586" s="17" t="n"/>
      <c r="O586" s="17" t="n"/>
      <c r="P586" s="17" t="n"/>
      <c r="Q586" s="17" t="n"/>
      <c r="R586" s="17" t="n"/>
      <c r="S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56" t="n"/>
      <c r="L587" s="17" t="n"/>
      <c r="M587" s="17" t="n"/>
      <c r="N587" s="17" t="n"/>
      <c r="O587" s="17" t="n"/>
      <c r="P587" s="17" t="n"/>
      <c r="Q587" s="17" t="n"/>
      <c r="R587" s="17" t="n"/>
      <c r="S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56" t="n"/>
      <c r="L588" s="17" t="n"/>
      <c r="M588" s="17" t="n"/>
      <c r="N588" s="17" t="n"/>
      <c r="O588" s="17" t="n"/>
      <c r="P588" s="17" t="n"/>
      <c r="Q588" s="17" t="n"/>
      <c r="R588" s="17" t="n"/>
      <c r="S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56" t="n"/>
      <c r="L589" s="17" t="n"/>
      <c r="M589" s="17" t="n"/>
      <c r="N589" s="17" t="n"/>
      <c r="O589" s="17" t="n"/>
      <c r="P589" s="17" t="n"/>
      <c r="Q589" s="17" t="n"/>
      <c r="R589" s="17" t="n"/>
      <c r="S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56" t="n"/>
      <c r="L590" s="17" t="n"/>
      <c r="M590" s="17" t="n"/>
      <c r="N590" s="17" t="n"/>
      <c r="O590" s="17" t="n"/>
      <c r="P590" s="17" t="n"/>
      <c r="Q590" s="17" t="n"/>
      <c r="R590" s="17" t="n"/>
      <c r="S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56" t="n"/>
      <c r="L591" s="17" t="n"/>
      <c r="M591" s="17" t="n"/>
      <c r="N591" s="17" t="n"/>
      <c r="O591" s="17" t="n"/>
      <c r="P591" s="17" t="n"/>
      <c r="Q591" s="17" t="n"/>
      <c r="R591" s="17" t="n"/>
      <c r="S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56" t="n"/>
      <c r="L592" s="17" t="n"/>
      <c r="M592" s="17" t="n"/>
      <c r="N592" s="17" t="n"/>
      <c r="O592" s="17" t="n"/>
      <c r="P592" s="17" t="n"/>
      <c r="Q592" s="17" t="n"/>
      <c r="R592" s="17" t="n"/>
      <c r="S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56" t="n"/>
      <c r="L593" s="17" t="n"/>
      <c r="M593" s="17" t="n"/>
      <c r="N593" s="17" t="n"/>
      <c r="O593" s="17" t="n"/>
      <c r="P593" s="17" t="n"/>
      <c r="Q593" s="17" t="n"/>
      <c r="R593" s="17" t="n"/>
      <c r="S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56" t="n"/>
      <c r="L594" s="17" t="n"/>
      <c r="M594" s="17" t="n"/>
      <c r="N594" s="17" t="n"/>
      <c r="O594" s="17" t="n"/>
      <c r="P594" s="17" t="n"/>
      <c r="Q594" s="17" t="n"/>
      <c r="R594" s="17" t="n"/>
      <c r="S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56" t="n"/>
      <c r="L595" s="17" t="n"/>
      <c r="M595" s="17" t="n"/>
      <c r="N595" s="17" t="n"/>
      <c r="O595" s="17" t="n"/>
      <c r="P595" s="17" t="n"/>
      <c r="Q595" s="17" t="n"/>
      <c r="R595" s="17" t="n"/>
      <c r="S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56" t="n"/>
      <c r="L596" s="17" t="n"/>
      <c r="M596" s="17" t="n"/>
      <c r="N596" s="17" t="n"/>
      <c r="O596" s="17" t="n"/>
      <c r="P596" s="17" t="n"/>
      <c r="Q596" s="17" t="n"/>
      <c r="R596" s="17" t="n"/>
      <c r="S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56" t="n"/>
      <c r="L597" s="17" t="n"/>
      <c r="M597" s="17" t="n"/>
      <c r="N597" s="17" t="n"/>
      <c r="O597" s="17" t="n"/>
      <c r="P597" s="17" t="n"/>
      <c r="Q597" s="17" t="n"/>
      <c r="R597" s="17" t="n"/>
      <c r="S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56" t="n"/>
      <c r="L598" s="17" t="n"/>
      <c r="M598" s="17" t="n"/>
      <c r="N598" s="17" t="n"/>
      <c r="O598" s="17" t="n"/>
      <c r="P598" s="17" t="n"/>
      <c r="Q598" s="17" t="n"/>
      <c r="R598" s="17" t="n"/>
      <c r="S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56" t="n"/>
      <c r="L599" s="17" t="n"/>
      <c r="M599" s="17" t="n"/>
      <c r="N599" s="17" t="n"/>
      <c r="O599" s="17" t="n"/>
      <c r="P599" s="17" t="n"/>
      <c r="Q599" s="17" t="n"/>
      <c r="R599" s="17" t="n"/>
      <c r="S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56" t="n"/>
      <c r="L600" s="17" t="n"/>
      <c r="M600" s="17" t="n"/>
      <c r="N600" s="17" t="n"/>
      <c r="O600" s="17" t="n"/>
      <c r="P600" s="17" t="n"/>
      <c r="Q600" s="17" t="n"/>
      <c r="R600" s="17" t="n"/>
      <c r="S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56" t="n"/>
      <c r="L601" s="17" t="n"/>
      <c r="M601" s="17" t="n"/>
      <c r="N601" s="17" t="n"/>
      <c r="O601" s="17" t="n"/>
      <c r="P601" s="17" t="n"/>
      <c r="Q601" s="17" t="n"/>
      <c r="R601" s="17" t="n"/>
      <c r="S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56" t="n"/>
      <c r="L602" s="17" t="n"/>
      <c r="M602" s="17" t="n"/>
      <c r="N602" s="17" t="n"/>
      <c r="O602" s="17" t="n"/>
      <c r="P602" s="17" t="n"/>
      <c r="Q602" s="17" t="n"/>
      <c r="R602" s="17" t="n"/>
      <c r="S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56" t="n"/>
      <c r="L603" s="17" t="n"/>
      <c r="M603" s="17" t="n"/>
      <c r="N603" s="17" t="n"/>
      <c r="O603" s="17" t="n"/>
      <c r="P603" s="17" t="n"/>
      <c r="Q603" s="17" t="n"/>
      <c r="R603" s="17" t="n"/>
      <c r="S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56" t="n"/>
      <c r="L604" s="17" t="n"/>
      <c r="M604" s="17" t="n"/>
      <c r="N604" s="17" t="n"/>
      <c r="O604" s="17" t="n"/>
      <c r="P604" s="17" t="n"/>
      <c r="Q604" s="17" t="n"/>
      <c r="R604" s="17" t="n"/>
      <c r="S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56" t="n"/>
      <c r="L605" s="17" t="n"/>
      <c r="M605" s="17" t="n"/>
      <c r="N605" s="17" t="n"/>
      <c r="O605" s="17" t="n"/>
      <c r="P605" s="17" t="n"/>
      <c r="Q605" s="17" t="n"/>
      <c r="R605" s="17" t="n"/>
      <c r="S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56" t="n"/>
      <c r="L606" s="17" t="n"/>
      <c r="M606" s="17" t="n"/>
      <c r="N606" s="17" t="n"/>
      <c r="O606" s="17" t="n"/>
      <c r="P606" s="17" t="n"/>
      <c r="Q606" s="17" t="n"/>
      <c r="R606" s="17" t="n"/>
      <c r="S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56" t="n"/>
      <c r="L607" s="17" t="n"/>
      <c r="M607" s="17" t="n"/>
      <c r="N607" s="17" t="n"/>
      <c r="O607" s="17" t="n"/>
      <c r="P607" s="17" t="n"/>
      <c r="Q607" s="17" t="n"/>
      <c r="R607" s="17" t="n"/>
      <c r="S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56" t="n"/>
      <c r="L608" s="17" t="n"/>
      <c r="M608" s="17" t="n"/>
      <c r="N608" s="17" t="n"/>
      <c r="O608" s="17" t="n"/>
      <c r="P608" s="17" t="n"/>
      <c r="Q608" s="17" t="n"/>
      <c r="R608" s="17" t="n"/>
      <c r="S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56" t="n"/>
      <c r="L609" s="17" t="n"/>
      <c r="M609" s="17" t="n"/>
      <c r="N609" s="17" t="n"/>
      <c r="O609" s="17" t="n"/>
      <c r="P609" s="17" t="n"/>
      <c r="Q609" s="17" t="n"/>
      <c r="R609" s="17" t="n"/>
      <c r="S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56" t="n"/>
      <c r="L610" s="17" t="n"/>
      <c r="M610" s="17" t="n"/>
      <c r="N610" s="17" t="n"/>
      <c r="O610" s="17" t="n"/>
      <c r="P610" s="17" t="n"/>
      <c r="Q610" s="17" t="n"/>
      <c r="R610" s="17" t="n"/>
      <c r="S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56" t="n"/>
      <c r="L611" s="17" t="n"/>
      <c r="M611" s="17" t="n"/>
      <c r="N611" s="17" t="n"/>
      <c r="O611" s="17" t="n"/>
      <c r="P611" s="17" t="n"/>
      <c r="Q611" s="17" t="n"/>
      <c r="R611" s="17" t="n"/>
      <c r="S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56" t="n"/>
      <c r="L612" s="17" t="n"/>
      <c r="M612" s="17" t="n"/>
      <c r="N612" s="17" t="n"/>
      <c r="O612" s="17" t="n"/>
      <c r="P612" s="17" t="n"/>
      <c r="Q612" s="17" t="n"/>
      <c r="R612" s="17" t="n"/>
      <c r="S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56" t="n"/>
      <c r="L613" s="17" t="n"/>
      <c r="M613" s="17" t="n"/>
      <c r="N613" s="17" t="n"/>
      <c r="O613" s="17" t="n"/>
      <c r="P613" s="17" t="n"/>
      <c r="Q613" s="17" t="n"/>
      <c r="R613" s="17" t="n"/>
      <c r="S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56" t="n"/>
      <c r="L614" s="17" t="n"/>
      <c r="M614" s="17" t="n"/>
      <c r="N614" s="17" t="n"/>
      <c r="O614" s="17" t="n"/>
      <c r="P614" s="17" t="n"/>
      <c r="Q614" s="17" t="n"/>
      <c r="R614" s="17" t="n"/>
      <c r="S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56" t="n"/>
      <c r="L615" s="17" t="n"/>
      <c r="M615" s="17" t="n"/>
      <c r="N615" s="17" t="n"/>
      <c r="O615" s="17" t="n"/>
      <c r="P615" s="17" t="n"/>
      <c r="Q615" s="17" t="n"/>
      <c r="R615" s="17" t="n"/>
      <c r="S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56" t="n"/>
      <c r="L616" s="17" t="n"/>
      <c r="M616" s="17" t="n"/>
      <c r="N616" s="17" t="n"/>
      <c r="O616" s="17" t="n"/>
      <c r="P616" s="17" t="n"/>
      <c r="Q616" s="17" t="n"/>
      <c r="R616" s="17" t="n"/>
      <c r="S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56" t="n"/>
      <c r="L617" s="17" t="n"/>
      <c r="M617" s="17" t="n"/>
      <c r="N617" s="17" t="n"/>
      <c r="O617" s="17" t="n"/>
      <c r="P617" s="17" t="n"/>
      <c r="Q617" s="17" t="n"/>
      <c r="R617" s="17" t="n"/>
      <c r="S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56" t="n"/>
      <c r="L618" s="17" t="n"/>
      <c r="M618" s="17" t="n"/>
      <c r="N618" s="17" t="n"/>
      <c r="O618" s="17" t="n"/>
      <c r="P618" s="17" t="n"/>
      <c r="Q618" s="17" t="n"/>
      <c r="R618" s="17" t="n"/>
      <c r="S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56" t="n"/>
      <c r="L619" s="17" t="n"/>
      <c r="M619" s="17" t="n"/>
      <c r="N619" s="17" t="n"/>
      <c r="O619" s="17" t="n"/>
      <c r="P619" s="17" t="n"/>
      <c r="Q619" s="17" t="n"/>
      <c r="R619" s="17" t="n"/>
      <c r="S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56" t="n"/>
      <c r="L620" s="17" t="n"/>
      <c r="M620" s="17" t="n"/>
      <c r="N620" s="17" t="n"/>
      <c r="O620" s="17" t="n"/>
      <c r="P620" s="17" t="n"/>
      <c r="Q620" s="17" t="n"/>
      <c r="R620" s="17" t="n"/>
      <c r="S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56" t="n"/>
      <c r="L621" s="17" t="n"/>
      <c r="M621" s="17" t="n"/>
      <c r="N621" s="17" t="n"/>
      <c r="O621" s="17" t="n"/>
      <c r="P621" s="17" t="n"/>
      <c r="Q621" s="17" t="n"/>
      <c r="R621" s="17" t="n"/>
      <c r="S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56" t="n"/>
      <c r="L622" s="17" t="n"/>
      <c r="M622" s="17" t="n"/>
      <c r="N622" s="17" t="n"/>
      <c r="O622" s="17" t="n"/>
      <c r="P622" s="17" t="n"/>
      <c r="Q622" s="17" t="n"/>
      <c r="R622" s="17" t="n"/>
      <c r="S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56" t="n"/>
      <c r="L623" s="17" t="n"/>
      <c r="M623" s="17" t="n"/>
      <c r="N623" s="17" t="n"/>
      <c r="O623" s="17" t="n"/>
      <c r="P623" s="17" t="n"/>
      <c r="Q623" s="17" t="n"/>
      <c r="R623" s="17" t="n"/>
      <c r="S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56" t="n"/>
      <c r="L624" s="17" t="n"/>
      <c r="M624" s="17" t="n"/>
      <c r="N624" s="17" t="n"/>
      <c r="O624" s="17" t="n"/>
      <c r="P624" s="17" t="n"/>
      <c r="Q624" s="17" t="n"/>
      <c r="R624" s="17" t="n"/>
      <c r="S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56" t="n"/>
      <c r="L625" s="17" t="n"/>
      <c r="M625" s="17" t="n"/>
      <c r="N625" s="17" t="n"/>
      <c r="O625" s="17" t="n"/>
      <c r="P625" s="17" t="n"/>
      <c r="Q625" s="17" t="n"/>
      <c r="R625" s="17" t="n"/>
      <c r="S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56" t="n"/>
      <c r="L626" s="17" t="n"/>
      <c r="M626" s="17" t="n"/>
      <c r="N626" s="17" t="n"/>
      <c r="O626" s="17" t="n"/>
      <c r="P626" s="17" t="n"/>
      <c r="Q626" s="17" t="n"/>
      <c r="R626" s="17" t="n"/>
      <c r="S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56" t="n"/>
      <c r="L627" s="17" t="n"/>
      <c r="M627" s="17" t="n"/>
      <c r="N627" s="17" t="n"/>
      <c r="O627" s="17" t="n"/>
      <c r="P627" s="17" t="n"/>
      <c r="Q627" s="17" t="n"/>
      <c r="R627" s="17" t="n"/>
      <c r="S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56" t="n"/>
      <c r="L628" s="17" t="n"/>
      <c r="M628" s="17" t="n"/>
      <c r="N628" s="17" t="n"/>
      <c r="O628" s="17" t="n"/>
      <c r="P628" s="17" t="n"/>
      <c r="Q628" s="17" t="n"/>
      <c r="R628" s="17" t="n"/>
      <c r="S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56" t="n"/>
      <c r="L629" s="17" t="n"/>
      <c r="M629" s="17" t="n"/>
      <c r="N629" s="17" t="n"/>
      <c r="O629" s="17" t="n"/>
      <c r="P629" s="17" t="n"/>
      <c r="Q629" s="17" t="n"/>
      <c r="R629" s="17" t="n"/>
      <c r="S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56" t="n"/>
      <c r="L630" s="17" t="n"/>
      <c r="M630" s="17" t="n"/>
      <c r="N630" s="17" t="n"/>
      <c r="O630" s="17" t="n"/>
      <c r="P630" s="17" t="n"/>
      <c r="Q630" s="17" t="n"/>
      <c r="R630" s="17" t="n"/>
      <c r="S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56" t="n"/>
      <c r="L631" s="17" t="n"/>
      <c r="M631" s="17" t="n"/>
      <c r="N631" s="17" t="n"/>
      <c r="O631" s="17" t="n"/>
      <c r="P631" s="17" t="n"/>
      <c r="Q631" s="17" t="n"/>
      <c r="R631" s="17" t="n"/>
      <c r="S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56" t="n"/>
      <c r="L632" s="17" t="n"/>
      <c r="M632" s="17" t="n"/>
      <c r="N632" s="17" t="n"/>
      <c r="O632" s="17" t="n"/>
      <c r="P632" s="17" t="n"/>
      <c r="Q632" s="17" t="n"/>
      <c r="R632" s="17" t="n"/>
      <c r="S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56" t="n"/>
      <c r="L633" s="17" t="n"/>
      <c r="M633" s="17" t="n"/>
      <c r="N633" s="17" t="n"/>
      <c r="O633" s="17" t="n"/>
      <c r="P633" s="17" t="n"/>
      <c r="Q633" s="17" t="n"/>
      <c r="R633" s="17" t="n"/>
      <c r="S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56" t="n"/>
      <c r="L634" s="17" t="n"/>
      <c r="M634" s="17" t="n"/>
      <c r="N634" s="17" t="n"/>
      <c r="O634" s="17" t="n"/>
      <c r="P634" s="17" t="n"/>
      <c r="Q634" s="17" t="n"/>
      <c r="R634" s="17" t="n"/>
      <c r="S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56" t="n"/>
      <c r="L635" s="17" t="n"/>
      <c r="M635" s="17" t="n"/>
      <c r="N635" s="17" t="n"/>
      <c r="O635" s="17" t="n"/>
      <c r="P635" s="17" t="n"/>
      <c r="Q635" s="17" t="n"/>
      <c r="R635" s="17" t="n"/>
      <c r="S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56" t="n"/>
      <c r="L636" s="17" t="n"/>
      <c r="M636" s="17" t="n"/>
      <c r="N636" s="17" t="n"/>
      <c r="O636" s="17" t="n"/>
      <c r="P636" s="17" t="n"/>
      <c r="Q636" s="17" t="n"/>
      <c r="R636" s="17" t="n"/>
      <c r="S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56" t="n"/>
      <c r="L637" s="17" t="n"/>
      <c r="M637" s="17" t="n"/>
      <c r="N637" s="17" t="n"/>
      <c r="O637" s="17" t="n"/>
      <c r="P637" s="17" t="n"/>
      <c r="Q637" s="17" t="n"/>
      <c r="R637" s="17" t="n"/>
      <c r="S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56" t="n"/>
      <c r="L638" s="17" t="n"/>
      <c r="M638" s="17" t="n"/>
      <c r="N638" s="17" t="n"/>
      <c r="O638" s="17" t="n"/>
      <c r="P638" s="17" t="n"/>
      <c r="Q638" s="17" t="n"/>
      <c r="R638" s="17" t="n"/>
      <c r="S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56" t="n"/>
      <c r="L639" s="17" t="n"/>
      <c r="M639" s="17" t="n"/>
      <c r="N639" s="17" t="n"/>
      <c r="O639" s="17" t="n"/>
      <c r="P639" s="17" t="n"/>
      <c r="Q639" s="17" t="n"/>
      <c r="R639" s="17" t="n"/>
      <c r="S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56" t="n"/>
      <c r="L640" s="17" t="n"/>
      <c r="M640" s="17" t="n"/>
      <c r="N640" s="17" t="n"/>
      <c r="O640" s="17" t="n"/>
      <c r="P640" s="17" t="n"/>
      <c r="Q640" s="17" t="n"/>
      <c r="R640" s="17" t="n"/>
      <c r="S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56" t="n"/>
      <c r="L641" s="17" t="n"/>
      <c r="M641" s="17" t="n"/>
      <c r="N641" s="17" t="n"/>
      <c r="O641" s="17" t="n"/>
      <c r="P641" s="17" t="n"/>
      <c r="Q641" s="17" t="n"/>
      <c r="R641" s="17" t="n"/>
      <c r="S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56" t="n"/>
      <c r="L642" s="17" t="n"/>
      <c r="M642" s="17" t="n"/>
      <c r="N642" s="17" t="n"/>
      <c r="O642" s="17" t="n"/>
      <c r="P642" s="17" t="n"/>
      <c r="Q642" s="17" t="n"/>
      <c r="R642" s="17" t="n"/>
      <c r="S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56" t="n"/>
      <c r="L643" s="17" t="n"/>
      <c r="M643" s="17" t="n"/>
      <c r="N643" s="17" t="n"/>
      <c r="O643" s="17" t="n"/>
      <c r="P643" s="17" t="n"/>
      <c r="Q643" s="17" t="n"/>
      <c r="R643" s="17" t="n"/>
      <c r="S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56" t="n"/>
      <c r="L644" s="17" t="n"/>
      <c r="M644" s="17" t="n"/>
      <c r="N644" s="17" t="n"/>
      <c r="O644" s="17" t="n"/>
      <c r="P644" s="17" t="n"/>
      <c r="Q644" s="17" t="n"/>
      <c r="R644" s="17" t="n"/>
      <c r="S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56" t="n"/>
      <c r="L645" s="17" t="n"/>
      <c r="M645" s="17" t="n"/>
      <c r="N645" s="17" t="n"/>
      <c r="O645" s="17" t="n"/>
      <c r="P645" s="17" t="n"/>
      <c r="Q645" s="17" t="n"/>
      <c r="R645" s="17" t="n"/>
      <c r="S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56" t="n"/>
      <c r="L646" s="17" t="n"/>
      <c r="M646" s="17" t="n"/>
      <c r="N646" s="17" t="n"/>
      <c r="O646" s="17" t="n"/>
      <c r="P646" s="17" t="n"/>
      <c r="Q646" s="17" t="n"/>
      <c r="R646" s="17" t="n"/>
      <c r="S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56" t="n"/>
      <c r="L647" s="17" t="n"/>
      <c r="M647" s="17" t="n"/>
      <c r="N647" s="17" t="n"/>
      <c r="O647" s="17" t="n"/>
      <c r="P647" s="17" t="n"/>
      <c r="Q647" s="17" t="n"/>
      <c r="R647" s="17" t="n"/>
      <c r="S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56" t="n"/>
      <c r="L648" s="17" t="n"/>
      <c r="M648" s="17" t="n"/>
      <c r="N648" s="17" t="n"/>
      <c r="O648" s="17" t="n"/>
      <c r="P648" s="17" t="n"/>
      <c r="Q648" s="17" t="n"/>
      <c r="R648" s="17" t="n"/>
      <c r="S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56" t="n"/>
      <c r="L649" s="17" t="n"/>
      <c r="M649" s="17" t="n"/>
      <c r="N649" s="17" t="n"/>
      <c r="O649" s="17" t="n"/>
      <c r="P649" s="17" t="n"/>
      <c r="Q649" s="17" t="n"/>
      <c r="R649" s="17" t="n"/>
      <c r="S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56" t="n"/>
      <c r="L650" s="17" t="n"/>
      <c r="M650" s="17" t="n"/>
      <c r="N650" s="17" t="n"/>
      <c r="O650" s="17" t="n"/>
      <c r="P650" s="17" t="n"/>
      <c r="Q650" s="17" t="n"/>
      <c r="R650" s="17" t="n"/>
      <c r="S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56" t="n"/>
      <c r="L651" s="17" t="n"/>
      <c r="M651" s="17" t="n"/>
      <c r="N651" s="17" t="n"/>
      <c r="O651" s="17" t="n"/>
      <c r="P651" s="17" t="n"/>
      <c r="Q651" s="17" t="n"/>
      <c r="R651" s="17" t="n"/>
      <c r="S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56" t="n"/>
      <c r="L652" s="17" t="n"/>
      <c r="M652" s="17" t="n"/>
      <c r="N652" s="17" t="n"/>
      <c r="O652" s="17" t="n"/>
      <c r="P652" s="17" t="n"/>
      <c r="Q652" s="17" t="n"/>
      <c r="R652" s="17" t="n"/>
      <c r="S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56" t="n"/>
      <c r="L653" s="17" t="n"/>
      <c r="M653" s="17" t="n"/>
      <c r="N653" s="17" t="n"/>
      <c r="O653" s="17" t="n"/>
      <c r="P653" s="17" t="n"/>
      <c r="Q653" s="17" t="n"/>
      <c r="R653" s="17" t="n"/>
      <c r="S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56" t="n"/>
      <c r="L654" s="17" t="n"/>
      <c r="M654" s="17" t="n"/>
      <c r="N654" s="17" t="n"/>
      <c r="O654" s="17" t="n"/>
      <c r="P654" s="17" t="n"/>
      <c r="Q654" s="17" t="n"/>
      <c r="R654" s="17" t="n"/>
      <c r="S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56" t="n"/>
      <c r="L655" s="17" t="n"/>
      <c r="M655" s="17" t="n"/>
      <c r="N655" s="17" t="n"/>
      <c r="O655" s="17" t="n"/>
      <c r="P655" s="17" t="n"/>
      <c r="Q655" s="17" t="n"/>
      <c r="R655" s="17" t="n"/>
      <c r="S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56" t="n"/>
      <c r="L656" s="17" t="n"/>
      <c r="M656" s="17" t="n"/>
      <c r="N656" s="17" t="n"/>
      <c r="O656" s="17" t="n"/>
      <c r="P656" s="17" t="n"/>
      <c r="Q656" s="17" t="n"/>
      <c r="R656" s="17" t="n"/>
      <c r="S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56" t="n"/>
      <c r="L657" s="17" t="n"/>
      <c r="M657" s="17" t="n"/>
      <c r="N657" s="17" t="n"/>
      <c r="O657" s="17" t="n"/>
      <c r="P657" s="17" t="n"/>
      <c r="Q657" s="17" t="n"/>
      <c r="R657" s="17" t="n"/>
      <c r="S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56" t="n"/>
      <c r="L658" s="17" t="n"/>
      <c r="M658" s="17" t="n"/>
      <c r="N658" s="17" t="n"/>
      <c r="O658" s="17" t="n"/>
      <c r="P658" s="17" t="n"/>
      <c r="Q658" s="17" t="n"/>
      <c r="R658" s="17" t="n"/>
      <c r="S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56" t="n"/>
      <c r="L659" s="17" t="n"/>
      <c r="M659" s="17" t="n"/>
      <c r="N659" s="17" t="n"/>
      <c r="O659" s="17" t="n"/>
      <c r="P659" s="17" t="n"/>
      <c r="Q659" s="17" t="n"/>
      <c r="R659" s="17" t="n"/>
      <c r="S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56" t="n"/>
      <c r="L660" s="17" t="n"/>
      <c r="M660" s="17" t="n"/>
      <c r="N660" s="17" t="n"/>
      <c r="O660" s="17" t="n"/>
      <c r="P660" s="17" t="n"/>
      <c r="Q660" s="17" t="n"/>
      <c r="R660" s="17" t="n"/>
      <c r="S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56" t="n"/>
      <c r="L661" s="17" t="n"/>
      <c r="M661" s="17" t="n"/>
      <c r="N661" s="17" t="n"/>
      <c r="O661" s="17" t="n"/>
      <c r="P661" s="17" t="n"/>
      <c r="Q661" s="17" t="n"/>
      <c r="R661" s="17" t="n"/>
      <c r="S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56" t="n"/>
      <c r="L662" s="17" t="n"/>
      <c r="M662" s="17" t="n"/>
      <c r="N662" s="17" t="n"/>
      <c r="O662" s="17" t="n"/>
      <c r="P662" s="17" t="n"/>
      <c r="Q662" s="17" t="n"/>
      <c r="R662" s="17" t="n"/>
      <c r="S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56" t="n"/>
      <c r="L663" s="17" t="n"/>
      <c r="M663" s="17" t="n"/>
      <c r="N663" s="17" t="n"/>
      <c r="O663" s="17" t="n"/>
      <c r="P663" s="17" t="n"/>
      <c r="Q663" s="17" t="n"/>
      <c r="R663" s="17" t="n"/>
      <c r="S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56" t="n"/>
      <c r="L664" s="17" t="n"/>
      <c r="M664" s="17" t="n"/>
      <c r="N664" s="17" t="n"/>
      <c r="O664" s="17" t="n"/>
      <c r="P664" s="17" t="n"/>
      <c r="Q664" s="17" t="n"/>
      <c r="R664" s="17" t="n"/>
      <c r="S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56" t="n"/>
      <c r="L665" s="17" t="n"/>
      <c r="M665" s="17" t="n"/>
      <c r="N665" s="17" t="n"/>
      <c r="O665" s="17" t="n"/>
      <c r="P665" s="17" t="n"/>
      <c r="Q665" s="17" t="n"/>
      <c r="R665" s="17" t="n"/>
      <c r="S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56" t="n"/>
      <c r="L666" s="17" t="n"/>
      <c r="M666" s="17" t="n"/>
      <c r="N666" s="17" t="n"/>
      <c r="O666" s="17" t="n"/>
      <c r="P666" s="17" t="n"/>
      <c r="Q666" s="17" t="n"/>
      <c r="R666" s="17" t="n"/>
      <c r="S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56" t="n"/>
      <c r="L667" s="17" t="n"/>
      <c r="M667" s="17" t="n"/>
      <c r="N667" s="17" t="n"/>
      <c r="O667" s="17" t="n"/>
      <c r="P667" s="17" t="n"/>
      <c r="Q667" s="17" t="n"/>
      <c r="R667" s="17" t="n"/>
      <c r="S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56" t="n"/>
      <c r="L668" s="17" t="n"/>
      <c r="M668" s="17" t="n"/>
      <c r="N668" s="17" t="n"/>
      <c r="O668" s="17" t="n"/>
      <c r="P668" s="17" t="n"/>
      <c r="Q668" s="17" t="n"/>
      <c r="R668" s="17" t="n"/>
      <c r="S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56" t="n"/>
      <c r="L669" s="17" t="n"/>
      <c r="M669" s="17" t="n"/>
      <c r="N669" s="17" t="n"/>
      <c r="O669" s="17" t="n"/>
      <c r="P669" s="17" t="n"/>
      <c r="Q669" s="17" t="n"/>
      <c r="R669" s="17" t="n"/>
      <c r="S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56" t="n"/>
      <c r="L670" s="17" t="n"/>
      <c r="M670" s="17" t="n"/>
      <c r="N670" s="17" t="n"/>
      <c r="O670" s="17" t="n"/>
      <c r="P670" s="17" t="n"/>
      <c r="Q670" s="17" t="n"/>
      <c r="R670" s="17" t="n"/>
      <c r="S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56" t="n"/>
      <c r="L671" s="17" t="n"/>
      <c r="M671" s="17" t="n"/>
      <c r="N671" s="17" t="n"/>
      <c r="O671" s="17" t="n"/>
      <c r="P671" s="17" t="n"/>
      <c r="Q671" s="17" t="n"/>
      <c r="R671" s="17" t="n"/>
      <c r="S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56" t="n"/>
      <c r="L672" s="17" t="n"/>
      <c r="M672" s="17" t="n"/>
      <c r="N672" s="17" t="n"/>
      <c r="O672" s="17" t="n"/>
      <c r="P672" s="17" t="n"/>
      <c r="Q672" s="17" t="n"/>
      <c r="R672" s="17" t="n"/>
      <c r="S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56" t="n"/>
      <c r="L673" s="17" t="n"/>
      <c r="M673" s="17" t="n"/>
      <c r="N673" s="17" t="n"/>
      <c r="O673" s="17" t="n"/>
      <c r="P673" s="17" t="n"/>
      <c r="Q673" s="17" t="n"/>
      <c r="R673" s="17" t="n"/>
      <c r="S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56" t="n"/>
      <c r="L674" s="17" t="n"/>
      <c r="M674" s="17" t="n"/>
      <c r="N674" s="17" t="n"/>
      <c r="O674" s="17" t="n"/>
      <c r="P674" s="17" t="n"/>
      <c r="Q674" s="17" t="n"/>
      <c r="R674" s="17" t="n"/>
      <c r="S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56" t="n"/>
      <c r="L675" s="17" t="n"/>
      <c r="M675" s="17" t="n"/>
      <c r="N675" s="17" t="n"/>
      <c r="O675" s="17" t="n"/>
      <c r="P675" s="17" t="n"/>
      <c r="Q675" s="17" t="n"/>
      <c r="R675" s="17" t="n"/>
      <c r="S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56" t="n"/>
      <c r="L676" s="17" t="n"/>
      <c r="M676" s="17" t="n"/>
      <c r="N676" s="17" t="n"/>
      <c r="O676" s="17" t="n"/>
      <c r="P676" s="17" t="n"/>
      <c r="Q676" s="17" t="n"/>
      <c r="R676" s="17" t="n"/>
      <c r="S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56" t="n"/>
      <c r="L677" s="17" t="n"/>
      <c r="M677" s="17" t="n"/>
      <c r="N677" s="17" t="n"/>
      <c r="O677" s="17" t="n"/>
      <c r="P677" s="17" t="n"/>
      <c r="Q677" s="17" t="n"/>
      <c r="R677" s="17" t="n"/>
      <c r="S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56" t="n"/>
      <c r="L678" s="17" t="n"/>
      <c r="M678" s="17" t="n"/>
      <c r="N678" s="17" t="n"/>
      <c r="O678" s="17" t="n"/>
      <c r="P678" s="17" t="n"/>
      <c r="Q678" s="17" t="n"/>
      <c r="R678" s="17" t="n"/>
      <c r="S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56" t="n"/>
      <c r="L679" s="17" t="n"/>
      <c r="M679" s="17" t="n"/>
      <c r="N679" s="17" t="n"/>
      <c r="O679" s="17" t="n"/>
      <c r="P679" s="17" t="n"/>
      <c r="Q679" s="17" t="n"/>
      <c r="R679" s="17" t="n"/>
      <c r="S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56" t="n"/>
      <c r="L680" s="17" t="n"/>
      <c r="M680" s="17" t="n"/>
      <c r="N680" s="17" t="n"/>
      <c r="O680" s="17" t="n"/>
      <c r="P680" s="17" t="n"/>
      <c r="Q680" s="17" t="n"/>
      <c r="R680" s="17" t="n"/>
      <c r="S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56" t="n"/>
      <c r="L681" s="17" t="n"/>
      <c r="M681" s="17" t="n"/>
      <c r="N681" s="17" t="n"/>
      <c r="O681" s="17" t="n"/>
      <c r="P681" s="17" t="n"/>
      <c r="Q681" s="17" t="n"/>
      <c r="R681" s="17" t="n"/>
      <c r="S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56" t="n"/>
      <c r="L682" s="17" t="n"/>
      <c r="M682" s="17" t="n"/>
      <c r="N682" s="17" t="n"/>
      <c r="O682" s="17" t="n"/>
      <c r="P682" s="17" t="n"/>
      <c r="Q682" s="17" t="n"/>
      <c r="R682" s="17" t="n"/>
      <c r="S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56" t="n"/>
      <c r="L683" s="17" t="n"/>
      <c r="M683" s="17" t="n"/>
      <c r="N683" s="17" t="n"/>
      <c r="O683" s="17" t="n"/>
      <c r="P683" s="17" t="n"/>
      <c r="Q683" s="17" t="n"/>
      <c r="R683" s="17" t="n"/>
      <c r="S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56" t="n"/>
      <c r="L684" s="17" t="n"/>
      <c r="M684" s="17" t="n"/>
      <c r="N684" s="17" t="n"/>
      <c r="O684" s="17" t="n"/>
      <c r="P684" s="17" t="n"/>
      <c r="Q684" s="17" t="n"/>
      <c r="R684" s="17" t="n"/>
      <c r="S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56" t="n"/>
      <c r="L685" s="17" t="n"/>
      <c r="M685" s="17" t="n"/>
      <c r="N685" s="17" t="n"/>
      <c r="O685" s="17" t="n"/>
      <c r="P685" s="17" t="n"/>
      <c r="Q685" s="17" t="n"/>
      <c r="R685" s="17" t="n"/>
      <c r="S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56" t="n"/>
      <c r="L686" s="17" t="n"/>
      <c r="M686" s="17" t="n"/>
      <c r="N686" s="17" t="n"/>
      <c r="O686" s="17" t="n"/>
      <c r="P686" s="17" t="n"/>
      <c r="Q686" s="17" t="n"/>
      <c r="R686" s="17" t="n"/>
      <c r="S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56" t="n"/>
      <c r="L687" s="17" t="n"/>
      <c r="M687" s="17" t="n"/>
      <c r="N687" s="17" t="n"/>
      <c r="O687" s="17" t="n"/>
      <c r="P687" s="17" t="n"/>
      <c r="Q687" s="17" t="n"/>
      <c r="R687" s="17" t="n"/>
      <c r="S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56" t="n"/>
      <c r="L688" s="17" t="n"/>
      <c r="M688" s="17" t="n"/>
      <c r="N688" s="17" t="n"/>
      <c r="O688" s="17" t="n"/>
      <c r="P688" s="17" t="n"/>
      <c r="Q688" s="17" t="n"/>
      <c r="R688" s="17" t="n"/>
      <c r="S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56" t="n"/>
      <c r="L689" s="17" t="n"/>
      <c r="M689" s="17" t="n"/>
      <c r="N689" s="17" t="n"/>
      <c r="O689" s="17" t="n"/>
      <c r="P689" s="17" t="n"/>
      <c r="Q689" s="17" t="n"/>
      <c r="R689" s="17" t="n"/>
      <c r="S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56" t="n"/>
      <c r="L690" s="17" t="n"/>
      <c r="M690" s="17" t="n"/>
      <c r="N690" s="17" t="n"/>
      <c r="O690" s="17" t="n"/>
      <c r="P690" s="17" t="n"/>
      <c r="Q690" s="17" t="n"/>
      <c r="R690" s="17" t="n"/>
      <c r="S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56" t="n"/>
      <c r="L691" s="17" t="n"/>
      <c r="M691" s="17" t="n"/>
      <c r="N691" s="17" t="n"/>
      <c r="O691" s="17" t="n"/>
      <c r="P691" s="17" t="n"/>
      <c r="Q691" s="17" t="n"/>
      <c r="R691" s="17" t="n"/>
      <c r="S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56" t="n"/>
      <c r="L692" s="17" t="n"/>
      <c r="M692" s="17" t="n"/>
      <c r="N692" s="17" t="n"/>
      <c r="O692" s="17" t="n"/>
      <c r="P692" s="17" t="n"/>
      <c r="Q692" s="17" t="n"/>
      <c r="R692" s="17" t="n"/>
      <c r="S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56" t="n"/>
      <c r="L693" s="17" t="n"/>
      <c r="M693" s="17" t="n"/>
      <c r="N693" s="17" t="n"/>
      <c r="O693" s="17" t="n"/>
      <c r="P693" s="17" t="n"/>
      <c r="Q693" s="17" t="n"/>
      <c r="R693" s="17" t="n"/>
      <c r="S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56" t="n"/>
      <c r="L694" s="17" t="n"/>
      <c r="M694" s="17" t="n"/>
      <c r="N694" s="17" t="n"/>
      <c r="O694" s="17" t="n"/>
      <c r="P694" s="17" t="n"/>
      <c r="Q694" s="17" t="n"/>
      <c r="R694" s="17" t="n"/>
      <c r="S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56" t="n"/>
      <c r="L695" s="17" t="n"/>
      <c r="M695" s="17" t="n"/>
      <c r="N695" s="17" t="n"/>
      <c r="O695" s="17" t="n"/>
      <c r="P695" s="17" t="n"/>
      <c r="Q695" s="17" t="n"/>
      <c r="R695" s="17" t="n"/>
      <c r="S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56" t="n"/>
      <c r="L696" s="17" t="n"/>
      <c r="M696" s="17" t="n"/>
      <c r="N696" s="17" t="n"/>
      <c r="O696" s="17" t="n"/>
      <c r="P696" s="17" t="n"/>
      <c r="Q696" s="17" t="n"/>
      <c r="R696" s="17" t="n"/>
      <c r="S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56" t="n"/>
      <c r="L697" s="17" t="n"/>
      <c r="M697" s="17" t="n"/>
      <c r="N697" s="17" t="n"/>
      <c r="O697" s="17" t="n"/>
      <c r="P697" s="17" t="n"/>
      <c r="Q697" s="17" t="n"/>
      <c r="R697" s="17" t="n"/>
      <c r="S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56" t="n"/>
      <c r="L698" s="17" t="n"/>
      <c r="M698" s="17" t="n"/>
      <c r="N698" s="17" t="n"/>
      <c r="O698" s="17" t="n"/>
      <c r="P698" s="17" t="n"/>
      <c r="Q698" s="17" t="n"/>
      <c r="R698" s="17" t="n"/>
      <c r="S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56" t="n"/>
      <c r="L699" s="17" t="n"/>
      <c r="M699" s="17" t="n"/>
      <c r="N699" s="17" t="n"/>
      <c r="O699" s="17" t="n"/>
      <c r="P699" s="17" t="n"/>
      <c r="Q699" s="17" t="n"/>
      <c r="R699" s="17" t="n"/>
      <c r="S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56" t="n"/>
      <c r="L700" s="17" t="n"/>
      <c r="M700" s="17" t="n"/>
      <c r="N700" s="17" t="n"/>
      <c r="O700" s="17" t="n"/>
      <c r="P700" s="17" t="n"/>
      <c r="Q700" s="17" t="n"/>
      <c r="R700" s="17" t="n"/>
      <c r="S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56" t="n"/>
      <c r="L701" s="17" t="n"/>
      <c r="M701" s="17" t="n"/>
      <c r="N701" s="17" t="n"/>
      <c r="O701" s="17" t="n"/>
      <c r="P701" s="17" t="n"/>
      <c r="Q701" s="17" t="n"/>
      <c r="R701" s="17" t="n"/>
      <c r="S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56" t="n"/>
      <c r="L702" s="17" t="n"/>
      <c r="M702" s="17" t="n"/>
      <c r="N702" s="17" t="n"/>
      <c r="O702" s="17" t="n"/>
      <c r="P702" s="17" t="n"/>
      <c r="Q702" s="17" t="n"/>
      <c r="R702" s="17" t="n"/>
      <c r="S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56" t="n"/>
      <c r="L703" s="17" t="n"/>
      <c r="M703" s="17" t="n"/>
      <c r="N703" s="17" t="n"/>
      <c r="O703" s="17" t="n"/>
      <c r="P703" s="17" t="n"/>
      <c r="Q703" s="17" t="n"/>
      <c r="R703" s="17" t="n"/>
      <c r="S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56" t="n"/>
      <c r="L704" s="17" t="n"/>
      <c r="M704" s="17" t="n"/>
      <c r="N704" s="17" t="n"/>
      <c r="O704" s="17" t="n"/>
      <c r="P704" s="17" t="n"/>
      <c r="Q704" s="17" t="n"/>
      <c r="R704" s="17" t="n"/>
      <c r="S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56" t="n"/>
      <c r="L705" s="17" t="n"/>
      <c r="M705" s="17" t="n"/>
      <c r="N705" s="17" t="n"/>
      <c r="O705" s="17" t="n"/>
      <c r="P705" s="17" t="n"/>
      <c r="Q705" s="17" t="n"/>
      <c r="R705" s="17" t="n"/>
      <c r="S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56" t="n"/>
      <c r="L706" s="17" t="n"/>
      <c r="M706" s="17" t="n"/>
      <c r="N706" s="17" t="n"/>
      <c r="O706" s="17" t="n"/>
      <c r="P706" s="17" t="n"/>
      <c r="Q706" s="17" t="n"/>
      <c r="R706" s="17" t="n"/>
      <c r="S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56" t="n"/>
      <c r="L707" s="17" t="n"/>
      <c r="M707" s="17" t="n"/>
      <c r="N707" s="17" t="n"/>
      <c r="O707" s="17" t="n"/>
      <c r="P707" s="17" t="n"/>
      <c r="Q707" s="17" t="n"/>
      <c r="R707" s="17" t="n"/>
      <c r="S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56" t="n"/>
      <c r="L708" s="17" t="n"/>
      <c r="M708" s="17" t="n"/>
      <c r="N708" s="17" t="n"/>
      <c r="O708" s="17" t="n"/>
      <c r="P708" s="17" t="n"/>
      <c r="Q708" s="17" t="n"/>
      <c r="R708" s="17" t="n"/>
      <c r="S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56" t="n"/>
      <c r="L709" s="17" t="n"/>
      <c r="M709" s="17" t="n"/>
      <c r="N709" s="17" t="n"/>
      <c r="O709" s="17" t="n"/>
      <c r="P709" s="17" t="n"/>
      <c r="Q709" s="17" t="n"/>
      <c r="R709" s="17" t="n"/>
      <c r="S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56" t="n"/>
      <c r="L710" s="17" t="n"/>
      <c r="M710" s="17" t="n"/>
      <c r="N710" s="17" t="n"/>
      <c r="O710" s="17" t="n"/>
      <c r="P710" s="17" t="n"/>
      <c r="Q710" s="17" t="n"/>
      <c r="R710" s="17" t="n"/>
      <c r="S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56" t="n"/>
      <c r="L711" s="17" t="n"/>
      <c r="M711" s="17" t="n"/>
      <c r="N711" s="17" t="n"/>
      <c r="O711" s="17" t="n"/>
      <c r="P711" s="17" t="n"/>
      <c r="Q711" s="17" t="n"/>
      <c r="R711" s="17" t="n"/>
      <c r="S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56" t="n"/>
      <c r="L712" s="17" t="n"/>
      <c r="M712" s="17" t="n"/>
      <c r="N712" s="17" t="n"/>
      <c r="O712" s="17" t="n"/>
      <c r="P712" s="17" t="n"/>
      <c r="Q712" s="17" t="n"/>
      <c r="R712" s="17" t="n"/>
      <c r="S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56" t="n"/>
      <c r="L713" s="17" t="n"/>
      <c r="M713" s="17" t="n"/>
      <c r="N713" s="17" t="n"/>
      <c r="O713" s="17" t="n"/>
      <c r="P713" s="17" t="n"/>
      <c r="Q713" s="17" t="n"/>
      <c r="R713" s="17" t="n"/>
      <c r="S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56" t="n"/>
      <c r="L714" s="17" t="n"/>
      <c r="M714" s="17" t="n"/>
      <c r="N714" s="17" t="n"/>
      <c r="O714" s="17" t="n"/>
      <c r="P714" s="17" t="n"/>
      <c r="Q714" s="17" t="n"/>
      <c r="R714" s="17" t="n"/>
      <c r="S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56" t="n"/>
      <c r="L715" s="17" t="n"/>
      <c r="M715" s="17" t="n"/>
      <c r="N715" s="17" t="n"/>
      <c r="O715" s="17" t="n"/>
      <c r="P715" s="17" t="n"/>
      <c r="Q715" s="17" t="n"/>
      <c r="R715" s="17" t="n"/>
      <c r="S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56" t="n"/>
      <c r="L716" s="17" t="n"/>
      <c r="M716" s="17" t="n"/>
      <c r="N716" s="17" t="n"/>
      <c r="O716" s="17" t="n"/>
      <c r="P716" s="17" t="n"/>
      <c r="Q716" s="17" t="n"/>
      <c r="R716" s="17" t="n"/>
      <c r="S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56" t="n"/>
      <c r="L717" s="17" t="n"/>
      <c r="M717" s="17" t="n"/>
      <c r="N717" s="17" t="n"/>
      <c r="O717" s="17" t="n"/>
      <c r="P717" s="17" t="n"/>
      <c r="Q717" s="17" t="n"/>
      <c r="R717" s="17" t="n"/>
      <c r="S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56" t="n"/>
      <c r="L718" s="17" t="n"/>
      <c r="M718" s="17" t="n"/>
      <c r="N718" s="17" t="n"/>
      <c r="O718" s="17" t="n"/>
      <c r="P718" s="17" t="n"/>
      <c r="Q718" s="17" t="n"/>
      <c r="R718" s="17" t="n"/>
      <c r="S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56" t="n"/>
      <c r="L719" s="17" t="n"/>
      <c r="M719" s="17" t="n"/>
      <c r="N719" s="17" t="n"/>
      <c r="O719" s="17" t="n"/>
      <c r="P719" s="17" t="n"/>
      <c r="Q719" s="17" t="n"/>
      <c r="R719" s="17" t="n"/>
      <c r="S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56" t="n"/>
      <c r="L720" s="17" t="n"/>
      <c r="M720" s="17" t="n"/>
      <c r="N720" s="17" t="n"/>
      <c r="O720" s="17" t="n"/>
      <c r="P720" s="17" t="n"/>
      <c r="Q720" s="17" t="n"/>
      <c r="R720" s="17" t="n"/>
      <c r="S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56" t="n"/>
      <c r="L721" s="17" t="n"/>
      <c r="M721" s="17" t="n"/>
      <c r="N721" s="17" t="n"/>
      <c r="O721" s="17" t="n"/>
      <c r="P721" s="17" t="n"/>
      <c r="Q721" s="17" t="n"/>
      <c r="R721" s="17" t="n"/>
      <c r="S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56" t="n"/>
      <c r="L722" s="17" t="n"/>
      <c r="M722" s="17" t="n"/>
      <c r="N722" s="17" t="n"/>
      <c r="O722" s="17" t="n"/>
      <c r="P722" s="17" t="n"/>
      <c r="Q722" s="17" t="n"/>
      <c r="R722" s="17" t="n"/>
      <c r="S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56" t="n"/>
      <c r="L723" s="17" t="n"/>
      <c r="M723" s="17" t="n"/>
      <c r="N723" s="17" t="n"/>
      <c r="O723" s="17" t="n"/>
      <c r="P723" s="17" t="n"/>
      <c r="Q723" s="17" t="n"/>
      <c r="R723" s="17" t="n"/>
      <c r="S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56" t="n"/>
      <c r="L724" s="17" t="n"/>
      <c r="M724" s="17" t="n"/>
      <c r="N724" s="17" t="n"/>
      <c r="O724" s="17" t="n"/>
      <c r="P724" s="17" t="n"/>
      <c r="Q724" s="17" t="n"/>
      <c r="R724" s="17" t="n"/>
      <c r="S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56" t="n"/>
      <c r="L725" s="17" t="n"/>
      <c r="M725" s="17" t="n"/>
      <c r="N725" s="17" t="n"/>
      <c r="O725" s="17" t="n"/>
      <c r="P725" s="17" t="n"/>
      <c r="Q725" s="17" t="n"/>
      <c r="R725" s="17" t="n"/>
      <c r="S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56" t="n"/>
      <c r="L726" s="17" t="n"/>
      <c r="M726" s="17" t="n"/>
      <c r="N726" s="17" t="n"/>
      <c r="O726" s="17" t="n"/>
      <c r="P726" s="17" t="n"/>
      <c r="Q726" s="17" t="n"/>
      <c r="R726" s="17" t="n"/>
      <c r="S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56" t="n"/>
      <c r="L727" s="17" t="n"/>
      <c r="M727" s="17" t="n"/>
      <c r="N727" s="17" t="n"/>
      <c r="O727" s="17" t="n"/>
      <c r="P727" s="17" t="n"/>
      <c r="Q727" s="17" t="n"/>
      <c r="R727" s="17" t="n"/>
      <c r="S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56" t="n"/>
      <c r="L728" s="17" t="n"/>
      <c r="M728" s="17" t="n"/>
      <c r="N728" s="17" t="n"/>
      <c r="O728" s="17" t="n"/>
      <c r="P728" s="17" t="n"/>
      <c r="Q728" s="17" t="n"/>
      <c r="R728" s="17" t="n"/>
      <c r="S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56" t="n"/>
      <c r="L729" s="17" t="n"/>
      <c r="M729" s="17" t="n"/>
      <c r="N729" s="17" t="n"/>
      <c r="O729" s="17" t="n"/>
      <c r="P729" s="17" t="n"/>
      <c r="Q729" s="17" t="n"/>
      <c r="R729" s="17" t="n"/>
      <c r="S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56" t="n"/>
      <c r="L730" s="17" t="n"/>
      <c r="M730" s="17" t="n"/>
      <c r="N730" s="17" t="n"/>
      <c r="O730" s="17" t="n"/>
      <c r="P730" s="17" t="n"/>
      <c r="Q730" s="17" t="n"/>
      <c r="R730" s="17" t="n"/>
      <c r="S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56" t="n"/>
      <c r="L731" s="17" t="n"/>
      <c r="M731" s="17" t="n"/>
      <c r="N731" s="17" t="n"/>
      <c r="O731" s="17" t="n"/>
      <c r="P731" s="17" t="n"/>
      <c r="Q731" s="17" t="n"/>
      <c r="R731" s="17" t="n"/>
      <c r="S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56" t="n"/>
      <c r="L732" s="17" t="n"/>
      <c r="M732" s="17" t="n"/>
      <c r="N732" s="17" t="n"/>
      <c r="O732" s="17" t="n"/>
      <c r="P732" s="17" t="n"/>
      <c r="Q732" s="17" t="n"/>
      <c r="R732" s="17" t="n"/>
      <c r="S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56" t="n"/>
      <c r="L733" s="17" t="n"/>
      <c r="M733" s="17" t="n"/>
      <c r="N733" s="17" t="n"/>
      <c r="O733" s="17" t="n"/>
      <c r="P733" s="17" t="n"/>
      <c r="Q733" s="17" t="n"/>
      <c r="R733" s="17" t="n"/>
      <c r="S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56" t="n"/>
      <c r="L734" s="17" t="n"/>
      <c r="M734" s="17" t="n"/>
      <c r="N734" s="17" t="n"/>
      <c r="O734" s="17" t="n"/>
      <c r="P734" s="17" t="n"/>
      <c r="Q734" s="17" t="n"/>
      <c r="R734" s="17" t="n"/>
      <c r="S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56" t="n"/>
      <c r="L735" s="17" t="n"/>
      <c r="M735" s="17" t="n"/>
      <c r="N735" s="17" t="n"/>
      <c r="O735" s="17" t="n"/>
      <c r="P735" s="17" t="n"/>
      <c r="Q735" s="17" t="n"/>
      <c r="R735" s="17" t="n"/>
      <c r="S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56" t="n"/>
      <c r="L736" s="17" t="n"/>
      <c r="M736" s="17" t="n"/>
      <c r="N736" s="17" t="n"/>
      <c r="O736" s="17" t="n"/>
      <c r="P736" s="17" t="n"/>
      <c r="Q736" s="17" t="n"/>
      <c r="R736" s="17" t="n"/>
      <c r="S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56" t="n"/>
      <c r="L737" s="17" t="n"/>
      <c r="M737" s="17" t="n"/>
      <c r="N737" s="17" t="n"/>
      <c r="O737" s="17" t="n"/>
      <c r="P737" s="17" t="n"/>
      <c r="Q737" s="17" t="n"/>
      <c r="R737" s="17" t="n"/>
      <c r="S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56" t="n"/>
      <c r="L738" s="17" t="n"/>
      <c r="M738" s="17" t="n"/>
      <c r="N738" s="17" t="n"/>
      <c r="O738" s="17" t="n"/>
      <c r="P738" s="17" t="n"/>
      <c r="Q738" s="17" t="n"/>
      <c r="R738" s="17" t="n"/>
      <c r="S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56" t="n"/>
      <c r="L739" s="17" t="n"/>
      <c r="M739" s="17" t="n"/>
      <c r="N739" s="17" t="n"/>
      <c r="O739" s="17" t="n"/>
      <c r="P739" s="17" t="n"/>
      <c r="Q739" s="17" t="n"/>
      <c r="R739" s="17" t="n"/>
      <c r="S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56" t="n"/>
      <c r="L740" s="17" t="n"/>
      <c r="M740" s="17" t="n"/>
      <c r="N740" s="17" t="n"/>
      <c r="O740" s="17" t="n"/>
      <c r="P740" s="17" t="n"/>
      <c r="Q740" s="17" t="n"/>
      <c r="R740" s="17" t="n"/>
      <c r="S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56" t="n"/>
      <c r="L741" s="17" t="n"/>
      <c r="M741" s="17" t="n"/>
      <c r="N741" s="17" t="n"/>
      <c r="O741" s="17" t="n"/>
      <c r="P741" s="17" t="n"/>
      <c r="Q741" s="17" t="n"/>
      <c r="R741" s="17" t="n"/>
      <c r="S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56" t="n"/>
      <c r="L742" s="17" t="n"/>
      <c r="M742" s="17" t="n"/>
      <c r="N742" s="17" t="n"/>
      <c r="O742" s="17" t="n"/>
      <c r="P742" s="17" t="n"/>
      <c r="Q742" s="17" t="n"/>
      <c r="R742" s="17" t="n"/>
      <c r="S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56" t="n"/>
      <c r="L743" s="17" t="n"/>
      <c r="M743" s="17" t="n"/>
      <c r="N743" s="17" t="n"/>
      <c r="O743" s="17" t="n"/>
      <c r="P743" s="17" t="n"/>
      <c r="Q743" s="17" t="n"/>
      <c r="R743" s="17" t="n"/>
      <c r="S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56" t="n"/>
      <c r="L744" s="17" t="n"/>
      <c r="M744" s="17" t="n"/>
      <c r="N744" s="17" t="n"/>
      <c r="O744" s="17" t="n"/>
      <c r="P744" s="17" t="n"/>
      <c r="Q744" s="17" t="n"/>
      <c r="R744" s="17" t="n"/>
      <c r="S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56" t="n"/>
      <c r="L745" s="17" t="n"/>
      <c r="M745" s="17" t="n"/>
      <c r="N745" s="17" t="n"/>
      <c r="O745" s="17" t="n"/>
      <c r="P745" s="17" t="n"/>
      <c r="Q745" s="17" t="n"/>
      <c r="R745" s="17" t="n"/>
      <c r="S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56" t="n"/>
      <c r="L746" s="17" t="n"/>
      <c r="M746" s="17" t="n"/>
      <c r="N746" s="17" t="n"/>
      <c r="O746" s="17" t="n"/>
      <c r="P746" s="17" t="n"/>
      <c r="Q746" s="17" t="n"/>
      <c r="R746" s="17" t="n"/>
      <c r="S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56" t="n"/>
      <c r="L747" s="17" t="n"/>
      <c r="M747" s="17" t="n"/>
      <c r="N747" s="17" t="n"/>
      <c r="O747" s="17" t="n"/>
      <c r="P747" s="17" t="n"/>
      <c r="Q747" s="17" t="n"/>
      <c r="R747" s="17" t="n"/>
      <c r="S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56" t="n"/>
      <c r="L748" s="17" t="n"/>
      <c r="M748" s="17" t="n"/>
      <c r="N748" s="17" t="n"/>
      <c r="O748" s="17" t="n"/>
      <c r="P748" s="17" t="n"/>
      <c r="Q748" s="17" t="n"/>
      <c r="R748" s="17" t="n"/>
      <c r="S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56" t="n"/>
      <c r="L749" s="17" t="n"/>
      <c r="M749" s="17" t="n"/>
      <c r="N749" s="17" t="n"/>
      <c r="O749" s="17" t="n"/>
      <c r="P749" s="17" t="n"/>
      <c r="Q749" s="17" t="n"/>
      <c r="R749" s="17" t="n"/>
      <c r="S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56" t="n"/>
      <c r="L750" s="17" t="n"/>
      <c r="M750" s="17" t="n"/>
      <c r="N750" s="17" t="n"/>
      <c r="O750" s="17" t="n"/>
      <c r="P750" s="17" t="n"/>
      <c r="Q750" s="17" t="n"/>
      <c r="R750" s="17" t="n"/>
      <c r="S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56" t="n"/>
      <c r="L751" s="17" t="n"/>
      <c r="M751" s="17" t="n"/>
      <c r="N751" s="17" t="n"/>
      <c r="O751" s="17" t="n"/>
      <c r="P751" s="17" t="n"/>
      <c r="Q751" s="17" t="n"/>
      <c r="R751" s="17" t="n"/>
      <c r="S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56" t="n"/>
      <c r="L752" s="17" t="n"/>
      <c r="M752" s="17" t="n"/>
      <c r="N752" s="17" t="n"/>
      <c r="O752" s="17" t="n"/>
      <c r="P752" s="17" t="n"/>
      <c r="Q752" s="17" t="n"/>
      <c r="R752" s="17" t="n"/>
      <c r="S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56" t="n"/>
      <c r="L753" s="17" t="n"/>
      <c r="M753" s="17" t="n"/>
      <c r="N753" s="17" t="n"/>
      <c r="O753" s="17" t="n"/>
      <c r="P753" s="17" t="n"/>
      <c r="Q753" s="17" t="n"/>
      <c r="R753" s="17" t="n"/>
      <c r="S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56" t="n"/>
      <c r="L754" s="17" t="n"/>
      <c r="M754" s="17" t="n"/>
      <c r="N754" s="17" t="n"/>
      <c r="O754" s="17" t="n"/>
      <c r="P754" s="17" t="n"/>
      <c r="Q754" s="17" t="n"/>
      <c r="R754" s="17" t="n"/>
      <c r="S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56" t="n"/>
      <c r="L755" s="17" t="n"/>
      <c r="M755" s="17" t="n"/>
      <c r="N755" s="17" t="n"/>
      <c r="O755" s="17" t="n"/>
      <c r="P755" s="17" t="n"/>
      <c r="Q755" s="17" t="n"/>
      <c r="R755" s="17" t="n"/>
      <c r="S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56" t="n"/>
      <c r="L756" s="17" t="n"/>
      <c r="M756" s="17" t="n"/>
      <c r="N756" s="17" t="n"/>
      <c r="O756" s="17" t="n"/>
      <c r="P756" s="17" t="n"/>
      <c r="Q756" s="17" t="n"/>
      <c r="R756" s="17" t="n"/>
      <c r="S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56" t="n"/>
      <c r="L757" s="17" t="n"/>
      <c r="M757" s="17" t="n"/>
      <c r="N757" s="17" t="n"/>
      <c r="O757" s="17" t="n"/>
      <c r="P757" s="17" t="n"/>
      <c r="Q757" s="17" t="n"/>
      <c r="R757" s="17" t="n"/>
      <c r="S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56" t="n"/>
      <c r="L758" s="17" t="n"/>
      <c r="M758" s="17" t="n"/>
      <c r="N758" s="17" t="n"/>
      <c r="O758" s="17" t="n"/>
      <c r="P758" s="17" t="n"/>
      <c r="Q758" s="17" t="n"/>
      <c r="R758" s="17" t="n"/>
      <c r="S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56" t="n"/>
      <c r="L759" s="17" t="n"/>
      <c r="M759" s="17" t="n"/>
      <c r="N759" s="17" t="n"/>
      <c r="O759" s="17" t="n"/>
      <c r="P759" s="17" t="n"/>
      <c r="Q759" s="17" t="n"/>
      <c r="R759" s="17" t="n"/>
      <c r="S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56" t="n"/>
      <c r="L760" s="17" t="n"/>
      <c r="M760" s="17" t="n"/>
      <c r="N760" s="17" t="n"/>
      <c r="O760" s="17" t="n"/>
      <c r="P760" s="17" t="n"/>
      <c r="Q760" s="17" t="n"/>
      <c r="R760" s="17" t="n"/>
      <c r="S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56" t="n"/>
      <c r="L761" s="17" t="n"/>
      <c r="M761" s="17" t="n"/>
      <c r="N761" s="17" t="n"/>
      <c r="O761" s="17" t="n"/>
      <c r="P761" s="17" t="n"/>
      <c r="Q761" s="17" t="n"/>
      <c r="R761" s="17" t="n"/>
      <c r="S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56" t="n"/>
      <c r="L762" s="17" t="n"/>
      <c r="M762" s="17" t="n"/>
      <c r="N762" s="17" t="n"/>
      <c r="O762" s="17" t="n"/>
      <c r="P762" s="17" t="n"/>
      <c r="Q762" s="17" t="n"/>
      <c r="R762" s="17" t="n"/>
      <c r="S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56" t="n"/>
      <c r="L763" s="17" t="n"/>
      <c r="M763" s="17" t="n"/>
      <c r="N763" s="17" t="n"/>
      <c r="O763" s="17" t="n"/>
      <c r="P763" s="17" t="n"/>
      <c r="Q763" s="17" t="n"/>
      <c r="R763" s="17" t="n"/>
      <c r="S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56" t="n"/>
      <c r="L764" s="17" t="n"/>
      <c r="M764" s="17" t="n"/>
      <c r="N764" s="17" t="n"/>
      <c r="O764" s="17" t="n"/>
      <c r="P764" s="17" t="n"/>
      <c r="Q764" s="17" t="n"/>
      <c r="R764" s="17" t="n"/>
      <c r="S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56" t="n"/>
      <c r="L765" s="17" t="n"/>
      <c r="M765" s="17" t="n"/>
      <c r="N765" s="17" t="n"/>
      <c r="O765" s="17" t="n"/>
      <c r="P765" s="17" t="n"/>
      <c r="Q765" s="17" t="n"/>
      <c r="R765" s="17" t="n"/>
      <c r="S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56" t="n"/>
      <c r="L766" s="17" t="n"/>
      <c r="M766" s="17" t="n"/>
      <c r="N766" s="17" t="n"/>
      <c r="O766" s="17" t="n"/>
      <c r="P766" s="17" t="n"/>
      <c r="Q766" s="17" t="n"/>
      <c r="R766" s="17" t="n"/>
      <c r="S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56" t="n"/>
      <c r="L767" s="17" t="n"/>
      <c r="M767" s="17" t="n"/>
      <c r="N767" s="17" t="n"/>
      <c r="O767" s="17" t="n"/>
      <c r="P767" s="17" t="n"/>
      <c r="Q767" s="17" t="n"/>
      <c r="R767" s="17" t="n"/>
      <c r="S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56" t="n"/>
      <c r="L768" s="17" t="n"/>
      <c r="M768" s="17" t="n"/>
      <c r="N768" s="17" t="n"/>
      <c r="O768" s="17" t="n"/>
      <c r="P768" s="17" t="n"/>
      <c r="Q768" s="17" t="n"/>
      <c r="R768" s="17" t="n"/>
      <c r="S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56" t="n"/>
      <c r="L769" s="17" t="n"/>
      <c r="M769" s="17" t="n"/>
      <c r="N769" s="17" t="n"/>
      <c r="O769" s="17" t="n"/>
      <c r="P769" s="17" t="n"/>
      <c r="Q769" s="17" t="n"/>
      <c r="R769" s="17" t="n"/>
      <c r="S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56" t="n"/>
      <c r="L770" s="17" t="n"/>
      <c r="M770" s="17" t="n"/>
      <c r="N770" s="17" t="n"/>
      <c r="O770" s="17" t="n"/>
      <c r="P770" s="17" t="n"/>
      <c r="Q770" s="17" t="n"/>
      <c r="R770" s="17" t="n"/>
      <c r="S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56" t="n"/>
      <c r="L771" s="17" t="n"/>
      <c r="M771" s="17" t="n"/>
      <c r="N771" s="17" t="n"/>
      <c r="O771" s="17" t="n"/>
      <c r="P771" s="17" t="n"/>
      <c r="Q771" s="17" t="n"/>
      <c r="R771" s="17" t="n"/>
      <c r="S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56" t="n"/>
      <c r="L772" s="17" t="n"/>
      <c r="M772" s="17" t="n"/>
      <c r="N772" s="17" t="n"/>
      <c r="O772" s="17" t="n"/>
      <c r="P772" s="17" t="n"/>
      <c r="Q772" s="17" t="n"/>
      <c r="R772" s="17" t="n"/>
      <c r="S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56" t="n"/>
      <c r="L773" s="17" t="n"/>
      <c r="M773" s="17" t="n"/>
      <c r="N773" s="17" t="n"/>
      <c r="O773" s="17" t="n"/>
      <c r="P773" s="17" t="n"/>
      <c r="Q773" s="17" t="n"/>
      <c r="R773" s="17" t="n"/>
      <c r="S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56" t="n"/>
      <c r="L774" s="17" t="n"/>
      <c r="M774" s="17" t="n"/>
      <c r="N774" s="17" t="n"/>
      <c r="O774" s="17" t="n"/>
      <c r="P774" s="17" t="n"/>
      <c r="Q774" s="17" t="n"/>
      <c r="R774" s="17" t="n"/>
      <c r="S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56" t="n"/>
      <c r="L775" s="17" t="n"/>
      <c r="M775" s="17" t="n"/>
      <c r="N775" s="17" t="n"/>
      <c r="O775" s="17" t="n"/>
      <c r="P775" s="17" t="n"/>
      <c r="Q775" s="17" t="n"/>
      <c r="R775" s="17" t="n"/>
      <c r="S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56" t="n"/>
      <c r="L776" s="17" t="n"/>
      <c r="M776" s="17" t="n"/>
      <c r="N776" s="17" t="n"/>
      <c r="O776" s="17" t="n"/>
      <c r="P776" s="17" t="n"/>
      <c r="Q776" s="17" t="n"/>
      <c r="R776" s="17" t="n"/>
      <c r="S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56" t="n"/>
      <c r="L777" s="17" t="n"/>
      <c r="M777" s="17" t="n"/>
      <c r="N777" s="17" t="n"/>
      <c r="O777" s="17" t="n"/>
      <c r="P777" s="17" t="n"/>
      <c r="Q777" s="17" t="n"/>
      <c r="R777" s="17" t="n"/>
      <c r="S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56" t="n"/>
      <c r="L778" s="17" t="n"/>
      <c r="M778" s="17" t="n"/>
      <c r="N778" s="17" t="n"/>
      <c r="O778" s="17" t="n"/>
      <c r="P778" s="17" t="n"/>
      <c r="Q778" s="17" t="n"/>
      <c r="R778" s="17" t="n"/>
      <c r="S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56" t="n"/>
      <c r="L779" s="17" t="n"/>
      <c r="M779" s="17" t="n"/>
      <c r="N779" s="17" t="n"/>
      <c r="O779" s="17" t="n"/>
      <c r="P779" s="17" t="n"/>
      <c r="Q779" s="17" t="n"/>
      <c r="R779" s="17" t="n"/>
      <c r="S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56" t="n"/>
      <c r="L780" s="17" t="n"/>
      <c r="M780" s="17" t="n"/>
      <c r="N780" s="17" t="n"/>
      <c r="O780" s="17" t="n"/>
      <c r="P780" s="17" t="n"/>
      <c r="Q780" s="17" t="n"/>
      <c r="R780" s="17" t="n"/>
      <c r="S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56" t="n"/>
      <c r="L781" s="17" t="n"/>
      <c r="M781" s="17" t="n"/>
      <c r="N781" s="17" t="n"/>
      <c r="O781" s="17" t="n"/>
      <c r="P781" s="17" t="n"/>
      <c r="Q781" s="17" t="n"/>
      <c r="R781" s="17" t="n"/>
      <c r="S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56" t="n"/>
      <c r="L782" s="17" t="n"/>
      <c r="M782" s="17" t="n"/>
      <c r="N782" s="17" t="n"/>
      <c r="O782" s="17" t="n"/>
      <c r="P782" s="17" t="n"/>
      <c r="Q782" s="17" t="n"/>
      <c r="R782" s="17" t="n"/>
      <c r="S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56" t="n"/>
      <c r="L783" s="17" t="n"/>
      <c r="M783" s="17" t="n"/>
      <c r="N783" s="17" t="n"/>
      <c r="O783" s="17" t="n"/>
      <c r="P783" s="17" t="n"/>
      <c r="Q783" s="17" t="n"/>
      <c r="R783" s="17" t="n"/>
      <c r="S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56" t="n"/>
      <c r="L784" s="17" t="n"/>
      <c r="M784" s="17" t="n"/>
      <c r="N784" s="17" t="n"/>
      <c r="O784" s="17" t="n"/>
      <c r="P784" s="17" t="n"/>
      <c r="Q784" s="17" t="n"/>
      <c r="R784" s="17" t="n"/>
      <c r="S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56" t="n"/>
      <c r="L785" s="17" t="n"/>
      <c r="M785" s="17" t="n"/>
      <c r="N785" s="17" t="n"/>
      <c r="O785" s="17" t="n"/>
      <c r="P785" s="17" t="n"/>
      <c r="Q785" s="17" t="n"/>
      <c r="R785" s="17" t="n"/>
      <c r="S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56" t="n"/>
      <c r="L786" s="17" t="n"/>
      <c r="M786" s="17" t="n"/>
      <c r="N786" s="17" t="n"/>
      <c r="O786" s="17" t="n"/>
      <c r="P786" s="17" t="n"/>
      <c r="Q786" s="17" t="n"/>
      <c r="R786" s="17" t="n"/>
      <c r="S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56" t="n"/>
      <c r="L787" s="17" t="n"/>
      <c r="M787" s="17" t="n"/>
      <c r="N787" s="17" t="n"/>
      <c r="O787" s="17" t="n"/>
      <c r="P787" s="17" t="n"/>
      <c r="Q787" s="17" t="n"/>
      <c r="R787" s="17" t="n"/>
      <c r="S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56" t="n"/>
      <c r="L788" s="17" t="n"/>
      <c r="M788" s="17" t="n"/>
      <c r="N788" s="17" t="n"/>
      <c r="O788" s="17" t="n"/>
      <c r="P788" s="17" t="n"/>
      <c r="Q788" s="17" t="n"/>
      <c r="R788" s="17" t="n"/>
      <c r="S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56" t="n"/>
      <c r="L789" s="17" t="n"/>
      <c r="M789" s="17" t="n"/>
      <c r="N789" s="17" t="n"/>
      <c r="O789" s="17" t="n"/>
      <c r="P789" s="17" t="n"/>
      <c r="Q789" s="17" t="n"/>
      <c r="R789" s="17" t="n"/>
      <c r="S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56" t="n"/>
      <c r="L790" s="17" t="n"/>
      <c r="M790" s="17" t="n"/>
      <c r="N790" s="17" t="n"/>
      <c r="O790" s="17" t="n"/>
      <c r="P790" s="17" t="n"/>
      <c r="Q790" s="17" t="n"/>
      <c r="R790" s="17" t="n"/>
      <c r="S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56" t="n"/>
      <c r="L791" s="17" t="n"/>
      <c r="M791" s="17" t="n"/>
      <c r="N791" s="17" t="n"/>
      <c r="O791" s="17" t="n"/>
      <c r="P791" s="17" t="n"/>
      <c r="Q791" s="17" t="n"/>
      <c r="R791" s="17" t="n"/>
      <c r="S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56" t="n"/>
      <c r="L792" s="17" t="n"/>
      <c r="M792" s="17" t="n"/>
      <c r="N792" s="17" t="n"/>
      <c r="O792" s="17" t="n"/>
      <c r="P792" s="17" t="n"/>
      <c r="Q792" s="17" t="n"/>
      <c r="R792" s="17" t="n"/>
      <c r="S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56" t="n"/>
      <c r="L793" s="17" t="n"/>
      <c r="M793" s="17" t="n"/>
      <c r="N793" s="17" t="n"/>
      <c r="O793" s="17" t="n"/>
      <c r="P793" s="17" t="n"/>
      <c r="Q793" s="17" t="n"/>
      <c r="R793" s="17" t="n"/>
      <c r="S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56" t="n"/>
      <c r="L794" s="17" t="n"/>
      <c r="M794" s="17" t="n"/>
      <c r="N794" s="17" t="n"/>
      <c r="O794" s="17" t="n"/>
      <c r="P794" s="17" t="n"/>
      <c r="Q794" s="17" t="n"/>
      <c r="R794" s="17" t="n"/>
      <c r="S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56" t="n"/>
      <c r="L795" s="17" t="n"/>
      <c r="M795" s="17" t="n"/>
      <c r="N795" s="17" t="n"/>
      <c r="O795" s="17" t="n"/>
      <c r="P795" s="17" t="n"/>
      <c r="Q795" s="17" t="n"/>
      <c r="R795" s="17" t="n"/>
      <c r="S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56" t="n"/>
      <c r="L796" s="17" t="n"/>
      <c r="M796" s="17" t="n"/>
      <c r="N796" s="17" t="n"/>
      <c r="O796" s="17" t="n"/>
      <c r="P796" s="17" t="n"/>
      <c r="Q796" s="17" t="n"/>
      <c r="R796" s="17" t="n"/>
      <c r="S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56" t="n"/>
      <c r="L797" s="17" t="n"/>
      <c r="M797" s="17" t="n"/>
      <c r="N797" s="17" t="n"/>
      <c r="O797" s="17" t="n"/>
      <c r="P797" s="17" t="n"/>
      <c r="Q797" s="17" t="n"/>
      <c r="R797" s="17" t="n"/>
      <c r="S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56" t="n"/>
      <c r="L798" s="17" t="n"/>
      <c r="M798" s="17" t="n"/>
      <c r="N798" s="17" t="n"/>
      <c r="O798" s="17" t="n"/>
      <c r="P798" s="17" t="n"/>
      <c r="Q798" s="17" t="n"/>
      <c r="R798" s="17" t="n"/>
      <c r="S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56" t="n"/>
      <c r="L799" s="17" t="n"/>
      <c r="M799" s="17" t="n"/>
      <c r="N799" s="17" t="n"/>
      <c r="O799" s="17" t="n"/>
      <c r="P799" s="17" t="n"/>
      <c r="Q799" s="17" t="n"/>
      <c r="R799" s="17" t="n"/>
      <c r="S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56" t="n"/>
      <c r="L800" s="17" t="n"/>
      <c r="M800" s="17" t="n"/>
      <c r="N800" s="17" t="n"/>
      <c r="O800" s="17" t="n"/>
      <c r="P800" s="17" t="n"/>
      <c r="Q800" s="17" t="n"/>
      <c r="R800" s="17" t="n"/>
      <c r="S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56" t="n"/>
      <c r="L801" s="17" t="n"/>
      <c r="M801" s="17" t="n"/>
      <c r="N801" s="17" t="n"/>
      <c r="O801" s="17" t="n"/>
      <c r="P801" s="17" t="n"/>
      <c r="Q801" s="17" t="n"/>
      <c r="R801" s="17" t="n"/>
      <c r="S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56" t="n"/>
      <c r="L802" s="17" t="n"/>
      <c r="M802" s="17" t="n"/>
      <c r="N802" s="17" t="n"/>
      <c r="O802" s="17" t="n"/>
      <c r="P802" s="17" t="n"/>
      <c r="Q802" s="17" t="n"/>
      <c r="R802" s="17" t="n"/>
      <c r="S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56" t="n"/>
      <c r="L803" s="17" t="n"/>
      <c r="M803" s="17" t="n"/>
      <c r="N803" s="17" t="n"/>
      <c r="O803" s="17" t="n"/>
      <c r="P803" s="17" t="n"/>
      <c r="Q803" s="17" t="n"/>
      <c r="R803" s="17" t="n"/>
      <c r="S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56" t="n"/>
      <c r="L804" s="17" t="n"/>
      <c r="M804" s="17" t="n"/>
      <c r="N804" s="17" t="n"/>
      <c r="O804" s="17" t="n"/>
      <c r="P804" s="17" t="n"/>
      <c r="Q804" s="17" t="n"/>
      <c r="R804" s="17" t="n"/>
      <c r="S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56" t="n"/>
      <c r="L805" s="17" t="n"/>
      <c r="M805" s="17" t="n"/>
      <c r="N805" s="17" t="n"/>
      <c r="O805" s="17" t="n"/>
      <c r="P805" s="17" t="n"/>
      <c r="Q805" s="17" t="n"/>
      <c r="R805" s="17" t="n"/>
      <c r="S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56" t="n"/>
      <c r="L806" s="17" t="n"/>
      <c r="M806" s="17" t="n"/>
      <c r="N806" s="17" t="n"/>
      <c r="O806" s="17" t="n"/>
      <c r="P806" s="17" t="n"/>
      <c r="Q806" s="17" t="n"/>
      <c r="R806" s="17" t="n"/>
      <c r="S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56" t="n"/>
      <c r="L807" s="17" t="n"/>
      <c r="M807" s="17" t="n"/>
      <c r="N807" s="17" t="n"/>
      <c r="O807" s="17" t="n"/>
      <c r="P807" s="17" t="n"/>
      <c r="Q807" s="17" t="n"/>
      <c r="R807" s="17" t="n"/>
      <c r="S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56" t="n"/>
      <c r="L808" s="17" t="n"/>
      <c r="M808" s="17" t="n"/>
      <c r="N808" s="17" t="n"/>
      <c r="O808" s="17" t="n"/>
      <c r="P808" s="17" t="n"/>
      <c r="Q808" s="17" t="n"/>
      <c r="R808" s="17" t="n"/>
      <c r="S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56" t="n"/>
      <c r="L809" s="17" t="n"/>
      <c r="M809" s="17" t="n"/>
      <c r="N809" s="17" t="n"/>
      <c r="O809" s="17" t="n"/>
      <c r="P809" s="17" t="n"/>
      <c r="Q809" s="17" t="n"/>
      <c r="R809" s="17" t="n"/>
      <c r="S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56" t="n"/>
      <c r="L810" s="17" t="n"/>
      <c r="M810" s="17" t="n"/>
      <c r="N810" s="17" t="n"/>
      <c r="O810" s="17" t="n"/>
      <c r="P810" s="17" t="n"/>
      <c r="Q810" s="17" t="n"/>
      <c r="R810" s="17" t="n"/>
      <c r="S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56" t="n"/>
      <c r="L811" s="17" t="n"/>
      <c r="M811" s="17" t="n"/>
      <c r="N811" s="17" t="n"/>
      <c r="O811" s="17" t="n"/>
      <c r="P811" s="17" t="n"/>
      <c r="Q811" s="17" t="n"/>
      <c r="R811" s="17" t="n"/>
      <c r="S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56" t="n"/>
      <c r="L812" s="17" t="n"/>
      <c r="M812" s="17" t="n"/>
      <c r="N812" s="17" t="n"/>
      <c r="O812" s="17" t="n"/>
      <c r="P812" s="17" t="n"/>
      <c r="Q812" s="17" t="n"/>
      <c r="R812" s="17" t="n"/>
      <c r="S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56" t="n"/>
      <c r="L813" s="17" t="n"/>
      <c r="M813" s="17" t="n"/>
      <c r="N813" s="17" t="n"/>
      <c r="O813" s="17" t="n"/>
      <c r="P813" s="17" t="n"/>
      <c r="Q813" s="17" t="n"/>
      <c r="R813" s="17" t="n"/>
      <c r="S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56" t="n"/>
      <c r="L814" s="17" t="n"/>
      <c r="M814" s="17" t="n"/>
      <c r="N814" s="17" t="n"/>
      <c r="O814" s="17" t="n"/>
      <c r="P814" s="17" t="n"/>
      <c r="Q814" s="17" t="n"/>
      <c r="R814" s="17" t="n"/>
      <c r="S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56" t="n"/>
      <c r="L815" s="17" t="n"/>
      <c r="M815" s="17" t="n"/>
      <c r="N815" s="17" t="n"/>
      <c r="O815" s="17" t="n"/>
      <c r="P815" s="17" t="n"/>
      <c r="Q815" s="17" t="n"/>
      <c r="R815" s="17" t="n"/>
      <c r="S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56" t="n"/>
      <c r="L816" s="17" t="n"/>
      <c r="M816" s="17" t="n"/>
      <c r="N816" s="17" t="n"/>
      <c r="O816" s="17" t="n"/>
      <c r="P816" s="17" t="n"/>
      <c r="Q816" s="17" t="n"/>
      <c r="R816" s="17" t="n"/>
      <c r="S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56" t="n"/>
      <c r="L817" s="17" t="n"/>
      <c r="M817" s="17" t="n"/>
      <c r="N817" s="17" t="n"/>
      <c r="O817" s="17" t="n"/>
      <c r="P817" s="17" t="n"/>
      <c r="Q817" s="17" t="n"/>
      <c r="R817" s="17" t="n"/>
      <c r="S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56" t="n"/>
      <c r="L818" s="17" t="n"/>
      <c r="M818" s="17" t="n"/>
      <c r="N818" s="17" t="n"/>
      <c r="O818" s="17" t="n"/>
      <c r="P818" s="17" t="n"/>
      <c r="Q818" s="17" t="n"/>
      <c r="R818" s="17" t="n"/>
      <c r="S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56" t="n"/>
      <c r="L819" s="17" t="n"/>
      <c r="M819" s="17" t="n"/>
      <c r="N819" s="17" t="n"/>
      <c r="O819" s="17" t="n"/>
      <c r="P819" s="17" t="n"/>
      <c r="Q819" s="17" t="n"/>
      <c r="R819" s="17" t="n"/>
      <c r="S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56" t="n"/>
      <c r="L820" s="17" t="n"/>
      <c r="M820" s="17" t="n"/>
      <c r="N820" s="17" t="n"/>
      <c r="O820" s="17" t="n"/>
      <c r="P820" s="17" t="n"/>
      <c r="Q820" s="17" t="n"/>
      <c r="R820" s="17" t="n"/>
      <c r="S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56" t="n"/>
      <c r="L821" s="17" t="n"/>
      <c r="M821" s="17" t="n"/>
      <c r="N821" s="17" t="n"/>
      <c r="O821" s="17" t="n"/>
      <c r="P821" s="17" t="n"/>
      <c r="Q821" s="17" t="n"/>
      <c r="R821" s="17" t="n"/>
      <c r="S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56" t="n"/>
      <c r="L822" s="17" t="n"/>
      <c r="M822" s="17" t="n"/>
      <c r="N822" s="17" t="n"/>
      <c r="O822" s="17" t="n"/>
      <c r="P822" s="17" t="n"/>
      <c r="Q822" s="17" t="n"/>
      <c r="R822" s="17" t="n"/>
      <c r="S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56" t="n"/>
      <c r="L823" s="17" t="n"/>
      <c r="M823" s="17" t="n"/>
      <c r="N823" s="17" t="n"/>
      <c r="O823" s="17" t="n"/>
      <c r="P823" s="17" t="n"/>
      <c r="Q823" s="17" t="n"/>
      <c r="R823" s="17" t="n"/>
      <c r="S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56" t="n"/>
      <c r="L824" s="17" t="n"/>
      <c r="M824" s="17" t="n"/>
      <c r="N824" s="17" t="n"/>
      <c r="O824" s="17" t="n"/>
      <c r="P824" s="17" t="n"/>
      <c r="Q824" s="17" t="n"/>
      <c r="R824" s="17" t="n"/>
      <c r="S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56" t="n"/>
      <c r="L825" s="17" t="n"/>
      <c r="M825" s="17" t="n"/>
      <c r="N825" s="17" t="n"/>
      <c r="O825" s="17" t="n"/>
      <c r="P825" s="17" t="n"/>
      <c r="Q825" s="17" t="n"/>
      <c r="R825" s="17" t="n"/>
      <c r="S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56" t="n"/>
      <c r="L826" s="17" t="n"/>
      <c r="M826" s="17" t="n"/>
      <c r="N826" s="17" t="n"/>
      <c r="O826" s="17" t="n"/>
      <c r="P826" s="17" t="n"/>
      <c r="Q826" s="17" t="n"/>
      <c r="R826" s="17" t="n"/>
      <c r="S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56" t="n"/>
      <c r="L827" s="17" t="n"/>
      <c r="M827" s="17" t="n"/>
      <c r="N827" s="17" t="n"/>
      <c r="O827" s="17" t="n"/>
      <c r="P827" s="17" t="n"/>
      <c r="Q827" s="17" t="n"/>
      <c r="R827" s="17" t="n"/>
      <c r="S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56" t="n"/>
      <c r="L828" s="17" t="n"/>
      <c r="M828" s="17" t="n"/>
      <c r="N828" s="17" t="n"/>
      <c r="O828" s="17" t="n"/>
      <c r="P828" s="17" t="n"/>
      <c r="Q828" s="17" t="n"/>
      <c r="R828" s="17" t="n"/>
      <c r="S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56" t="n"/>
      <c r="L829" s="17" t="n"/>
      <c r="M829" s="17" t="n"/>
      <c r="N829" s="17" t="n"/>
      <c r="O829" s="17" t="n"/>
      <c r="P829" s="17" t="n"/>
      <c r="Q829" s="17" t="n"/>
      <c r="R829" s="17" t="n"/>
      <c r="S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56" t="n"/>
      <c r="L830" s="17" t="n"/>
      <c r="M830" s="17" t="n"/>
      <c r="N830" s="17" t="n"/>
      <c r="O830" s="17" t="n"/>
      <c r="P830" s="17" t="n"/>
      <c r="Q830" s="17" t="n"/>
      <c r="R830" s="17" t="n"/>
      <c r="S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56" t="n"/>
      <c r="L831" s="17" t="n"/>
      <c r="M831" s="17" t="n"/>
      <c r="N831" s="17" t="n"/>
      <c r="O831" s="17" t="n"/>
      <c r="P831" s="17" t="n"/>
      <c r="Q831" s="17" t="n"/>
      <c r="R831" s="17" t="n"/>
      <c r="S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56" t="n"/>
      <c r="L832" s="17" t="n"/>
      <c r="M832" s="17" t="n"/>
      <c r="N832" s="17" t="n"/>
      <c r="O832" s="17" t="n"/>
      <c r="P832" s="17" t="n"/>
      <c r="Q832" s="17" t="n"/>
      <c r="R832" s="17" t="n"/>
      <c r="S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56" t="n"/>
      <c r="L833" s="17" t="n"/>
      <c r="M833" s="17" t="n"/>
      <c r="N833" s="17" t="n"/>
      <c r="O833" s="17" t="n"/>
      <c r="P833" s="17" t="n"/>
      <c r="Q833" s="17" t="n"/>
      <c r="R833" s="17" t="n"/>
      <c r="S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56" t="n"/>
      <c r="L834" s="17" t="n"/>
      <c r="M834" s="17" t="n"/>
      <c r="N834" s="17" t="n"/>
      <c r="O834" s="17" t="n"/>
      <c r="P834" s="17" t="n"/>
      <c r="Q834" s="17" t="n"/>
      <c r="R834" s="17" t="n"/>
      <c r="S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56" t="n"/>
      <c r="L835" s="17" t="n"/>
      <c r="M835" s="17" t="n"/>
      <c r="N835" s="17" t="n"/>
      <c r="O835" s="17" t="n"/>
      <c r="P835" s="17" t="n"/>
      <c r="Q835" s="17" t="n"/>
      <c r="R835" s="17" t="n"/>
      <c r="S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56" t="n"/>
      <c r="L836" s="17" t="n"/>
      <c r="M836" s="17" t="n"/>
      <c r="N836" s="17" t="n"/>
      <c r="O836" s="17" t="n"/>
      <c r="P836" s="17" t="n"/>
      <c r="Q836" s="17" t="n"/>
      <c r="R836" s="17" t="n"/>
      <c r="S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56" t="n"/>
      <c r="L837" s="17" t="n"/>
      <c r="M837" s="17" t="n"/>
      <c r="N837" s="17" t="n"/>
      <c r="O837" s="17" t="n"/>
      <c r="P837" s="17" t="n"/>
      <c r="Q837" s="17" t="n"/>
      <c r="R837" s="17" t="n"/>
      <c r="S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56" t="n"/>
      <c r="L838" s="17" t="n"/>
      <c r="M838" s="17" t="n"/>
      <c r="N838" s="17" t="n"/>
      <c r="O838" s="17" t="n"/>
      <c r="P838" s="17" t="n"/>
      <c r="Q838" s="17" t="n"/>
      <c r="R838" s="17" t="n"/>
      <c r="S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56" t="n"/>
      <c r="L839" s="17" t="n"/>
      <c r="M839" s="17" t="n"/>
      <c r="N839" s="17" t="n"/>
      <c r="O839" s="17" t="n"/>
      <c r="P839" s="17" t="n"/>
      <c r="Q839" s="17" t="n"/>
      <c r="R839" s="17" t="n"/>
      <c r="S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56" t="n"/>
      <c r="L840" s="17" t="n"/>
      <c r="M840" s="17" t="n"/>
      <c r="N840" s="17" t="n"/>
      <c r="O840" s="17" t="n"/>
      <c r="P840" s="17" t="n"/>
      <c r="Q840" s="17" t="n"/>
      <c r="R840" s="17" t="n"/>
      <c r="S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56" t="n"/>
      <c r="L841" s="17" t="n"/>
      <c r="M841" s="17" t="n"/>
      <c r="N841" s="17" t="n"/>
      <c r="O841" s="17" t="n"/>
      <c r="P841" s="17" t="n"/>
      <c r="Q841" s="17" t="n"/>
      <c r="R841" s="17" t="n"/>
      <c r="S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56" t="n"/>
      <c r="L842" s="17" t="n"/>
      <c r="M842" s="17" t="n"/>
      <c r="N842" s="17" t="n"/>
      <c r="O842" s="17" t="n"/>
      <c r="P842" s="17" t="n"/>
      <c r="Q842" s="17" t="n"/>
      <c r="R842" s="17" t="n"/>
      <c r="S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56" t="n"/>
      <c r="L843" s="17" t="n"/>
      <c r="M843" s="17" t="n"/>
      <c r="N843" s="17" t="n"/>
      <c r="O843" s="17" t="n"/>
      <c r="P843" s="17" t="n"/>
      <c r="Q843" s="17" t="n"/>
      <c r="R843" s="17" t="n"/>
      <c r="S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56" t="n"/>
      <c r="L844" s="17" t="n"/>
      <c r="M844" s="17" t="n"/>
      <c r="N844" s="17" t="n"/>
      <c r="O844" s="17" t="n"/>
      <c r="P844" s="17" t="n"/>
      <c r="Q844" s="17" t="n"/>
      <c r="R844" s="17" t="n"/>
      <c r="S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56" t="n"/>
      <c r="L845" s="17" t="n"/>
      <c r="M845" s="17" t="n"/>
      <c r="N845" s="17" t="n"/>
      <c r="O845" s="17" t="n"/>
      <c r="P845" s="17" t="n"/>
      <c r="Q845" s="17" t="n"/>
      <c r="R845" s="17" t="n"/>
      <c r="S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56" t="n"/>
      <c r="L846" s="17" t="n"/>
      <c r="M846" s="17" t="n"/>
      <c r="N846" s="17" t="n"/>
      <c r="O846" s="17" t="n"/>
      <c r="P846" s="17" t="n"/>
      <c r="Q846" s="17" t="n"/>
      <c r="R846" s="17" t="n"/>
      <c r="S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56" t="n"/>
      <c r="L847" s="17" t="n"/>
      <c r="M847" s="17" t="n"/>
      <c r="N847" s="17" t="n"/>
      <c r="O847" s="17" t="n"/>
      <c r="P847" s="17" t="n"/>
      <c r="Q847" s="17" t="n"/>
      <c r="R847" s="17" t="n"/>
      <c r="S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56" t="n"/>
      <c r="L848" s="17" t="n"/>
      <c r="M848" s="17" t="n"/>
      <c r="N848" s="17" t="n"/>
      <c r="O848" s="17" t="n"/>
      <c r="P848" s="17" t="n"/>
      <c r="Q848" s="17" t="n"/>
      <c r="R848" s="17" t="n"/>
      <c r="S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56" t="n"/>
      <c r="L849" s="17" t="n"/>
      <c r="M849" s="17" t="n"/>
      <c r="N849" s="17" t="n"/>
      <c r="O849" s="17" t="n"/>
      <c r="P849" s="17" t="n"/>
      <c r="Q849" s="17" t="n"/>
      <c r="R849" s="17" t="n"/>
      <c r="S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56" t="n"/>
      <c r="L850" s="17" t="n"/>
      <c r="M850" s="17" t="n"/>
      <c r="N850" s="17" t="n"/>
      <c r="O850" s="17" t="n"/>
      <c r="P850" s="17" t="n"/>
      <c r="Q850" s="17" t="n"/>
      <c r="R850" s="17" t="n"/>
      <c r="S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56" t="n"/>
      <c r="L851" s="17" t="n"/>
      <c r="M851" s="17" t="n"/>
      <c r="N851" s="17" t="n"/>
      <c r="O851" s="17" t="n"/>
      <c r="P851" s="17" t="n"/>
      <c r="Q851" s="17" t="n"/>
      <c r="R851" s="17" t="n"/>
      <c r="S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56" t="n"/>
      <c r="L852" s="17" t="n"/>
      <c r="M852" s="17" t="n"/>
      <c r="N852" s="17" t="n"/>
      <c r="O852" s="17" t="n"/>
      <c r="P852" s="17" t="n"/>
      <c r="Q852" s="17" t="n"/>
      <c r="R852" s="17" t="n"/>
      <c r="S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56" t="n"/>
      <c r="L853" s="17" t="n"/>
      <c r="M853" s="17" t="n"/>
      <c r="N853" s="17" t="n"/>
      <c r="O853" s="17" t="n"/>
      <c r="P853" s="17" t="n"/>
      <c r="Q853" s="17" t="n"/>
      <c r="R853" s="17" t="n"/>
      <c r="S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56" t="n"/>
      <c r="L854" s="17" t="n"/>
      <c r="M854" s="17" t="n"/>
      <c r="N854" s="17" t="n"/>
      <c r="O854" s="17" t="n"/>
      <c r="P854" s="17" t="n"/>
      <c r="Q854" s="17" t="n"/>
      <c r="R854" s="17" t="n"/>
      <c r="S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56" t="n"/>
      <c r="L855" s="17" t="n"/>
      <c r="M855" s="17" t="n"/>
      <c r="N855" s="17" t="n"/>
      <c r="O855" s="17" t="n"/>
      <c r="P855" s="17" t="n"/>
      <c r="Q855" s="17" t="n"/>
      <c r="R855" s="17" t="n"/>
      <c r="S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56" t="n"/>
      <c r="L856" s="17" t="n"/>
      <c r="M856" s="17" t="n"/>
      <c r="N856" s="17" t="n"/>
      <c r="O856" s="17" t="n"/>
      <c r="P856" s="17" t="n"/>
      <c r="Q856" s="17" t="n"/>
      <c r="R856" s="17" t="n"/>
      <c r="S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56" t="n"/>
      <c r="L857" s="17" t="n"/>
      <c r="M857" s="17" t="n"/>
      <c r="N857" s="17" t="n"/>
      <c r="O857" s="17" t="n"/>
      <c r="P857" s="17" t="n"/>
      <c r="Q857" s="17" t="n"/>
      <c r="R857" s="17" t="n"/>
      <c r="S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56" t="n"/>
      <c r="L858" s="17" t="n"/>
      <c r="M858" s="17" t="n"/>
      <c r="N858" s="17" t="n"/>
      <c r="O858" s="17" t="n"/>
      <c r="P858" s="17" t="n"/>
      <c r="Q858" s="17" t="n"/>
      <c r="R858" s="17" t="n"/>
      <c r="S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56" t="n"/>
      <c r="L859" s="17" t="n"/>
      <c r="M859" s="17" t="n"/>
      <c r="N859" s="17" t="n"/>
      <c r="O859" s="17" t="n"/>
      <c r="P859" s="17" t="n"/>
      <c r="Q859" s="17" t="n"/>
      <c r="R859" s="17" t="n"/>
      <c r="S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56" t="n"/>
      <c r="L860" s="17" t="n"/>
      <c r="M860" s="17" t="n"/>
      <c r="N860" s="17" t="n"/>
      <c r="O860" s="17" t="n"/>
      <c r="P860" s="17" t="n"/>
      <c r="Q860" s="17" t="n"/>
      <c r="R860" s="17" t="n"/>
      <c r="S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56" t="n"/>
      <c r="L861" s="17" t="n"/>
      <c r="M861" s="17" t="n"/>
      <c r="N861" s="17" t="n"/>
      <c r="O861" s="17" t="n"/>
      <c r="P861" s="17" t="n"/>
      <c r="Q861" s="17" t="n"/>
      <c r="R861" s="17" t="n"/>
      <c r="S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56" t="n"/>
      <c r="L862" s="17" t="n"/>
      <c r="M862" s="17" t="n"/>
      <c r="N862" s="17" t="n"/>
      <c r="O862" s="17" t="n"/>
      <c r="P862" s="17" t="n"/>
      <c r="Q862" s="17" t="n"/>
      <c r="R862" s="17" t="n"/>
      <c r="S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56" t="n"/>
      <c r="L863" s="17" t="n"/>
      <c r="M863" s="17" t="n"/>
      <c r="N863" s="17" t="n"/>
      <c r="O863" s="17" t="n"/>
      <c r="P863" s="17" t="n"/>
      <c r="Q863" s="17" t="n"/>
      <c r="R863" s="17" t="n"/>
      <c r="S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56" t="n"/>
      <c r="L864" s="17" t="n"/>
      <c r="M864" s="17" t="n"/>
      <c r="N864" s="17" t="n"/>
      <c r="O864" s="17" t="n"/>
      <c r="P864" s="17" t="n"/>
      <c r="Q864" s="17" t="n"/>
      <c r="R864" s="17" t="n"/>
      <c r="S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56" t="n"/>
      <c r="L865" s="17" t="n"/>
      <c r="M865" s="17" t="n"/>
      <c r="N865" s="17" t="n"/>
      <c r="O865" s="17" t="n"/>
      <c r="P865" s="17" t="n"/>
      <c r="Q865" s="17" t="n"/>
      <c r="R865" s="17" t="n"/>
      <c r="S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56" t="n"/>
      <c r="L866" s="17" t="n"/>
      <c r="M866" s="17" t="n"/>
      <c r="N866" s="17" t="n"/>
      <c r="O866" s="17" t="n"/>
      <c r="P866" s="17" t="n"/>
      <c r="Q866" s="17" t="n"/>
      <c r="R866" s="17" t="n"/>
      <c r="S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56" t="n"/>
      <c r="L867" s="17" t="n"/>
      <c r="M867" s="17" t="n"/>
      <c r="N867" s="17" t="n"/>
      <c r="O867" s="17" t="n"/>
      <c r="P867" s="17" t="n"/>
      <c r="Q867" s="17" t="n"/>
      <c r="R867" s="17" t="n"/>
      <c r="S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56" t="n"/>
      <c r="L868" s="17" t="n"/>
      <c r="M868" s="17" t="n"/>
      <c r="N868" s="17" t="n"/>
      <c r="O868" s="17" t="n"/>
      <c r="P868" s="17" t="n"/>
      <c r="Q868" s="17" t="n"/>
      <c r="R868" s="17" t="n"/>
      <c r="S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56" t="n"/>
      <c r="L869" s="17" t="n"/>
      <c r="M869" s="17" t="n"/>
      <c r="N869" s="17" t="n"/>
      <c r="O869" s="17" t="n"/>
      <c r="P869" s="17" t="n"/>
      <c r="Q869" s="17" t="n"/>
      <c r="R869" s="17" t="n"/>
      <c r="S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56" t="n"/>
      <c r="L870" s="17" t="n"/>
      <c r="M870" s="17" t="n"/>
      <c r="N870" s="17" t="n"/>
      <c r="O870" s="17" t="n"/>
      <c r="P870" s="17" t="n"/>
      <c r="Q870" s="17" t="n"/>
      <c r="R870" s="17" t="n"/>
      <c r="S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56" t="n"/>
      <c r="L871" s="17" t="n"/>
      <c r="M871" s="17" t="n"/>
      <c r="N871" s="17" t="n"/>
      <c r="O871" s="17" t="n"/>
      <c r="P871" s="17" t="n"/>
      <c r="Q871" s="17" t="n"/>
      <c r="R871" s="17" t="n"/>
      <c r="S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56" t="n"/>
      <c r="L872" s="17" t="n"/>
      <c r="M872" s="17" t="n"/>
      <c r="N872" s="17" t="n"/>
      <c r="O872" s="17" t="n"/>
      <c r="P872" s="17" t="n"/>
      <c r="Q872" s="17" t="n"/>
      <c r="R872" s="17" t="n"/>
      <c r="S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56" t="n"/>
      <c r="L873" s="17" t="n"/>
      <c r="M873" s="17" t="n"/>
      <c r="N873" s="17" t="n"/>
      <c r="O873" s="17" t="n"/>
      <c r="P873" s="17" t="n"/>
      <c r="Q873" s="17" t="n"/>
      <c r="R873" s="17" t="n"/>
      <c r="S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56" t="n"/>
      <c r="L874" s="17" t="n"/>
      <c r="M874" s="17" t="n"/>
      <c r="N874" s="17" t="n"/>
      <c r="O874" s="17" t="n"/>
      <c r="P874" s="17" t="n"/>
      <c r="Q874" s="17" t="n"/>
      <c r="R874" s="17" t="n"/>
      <c r="S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56" t="n"/>
      <c r="L875" s="17" t="n"/>
      <c r="M875" s="17" t="n"/>
      <c r="N875" s="17" t="n"/>
      <c r="O875" s="17" t="n"/>
      <c r="P875" s="17" t="n"/>
      <c r="Q875" s="17" t="n"/>
      <c r="R875" s="17" t="n"/>
      <c r="S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56" t="n"/>
      <c r="L876" s="17" t="n"/>
      <c r="M876" s="17" t="n"/>
      <c r="N876" s="17" t="n"/>
      <c r="O876" s="17" t="n"/>
      <c r="P876" s="17" t="n"/>
      <c r="Q876" s="17" t="n"/>
      <c r="R876" s="17" t="n"/>
      <c r="S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56" t="n"/>
      <c r="L877" s="17" t="n"/>
      <c r="M877" s="17" t="n"/>
      <c r="N877" s="17" t="n"/>
      <c r="O877" s="17" t="n"/>
      <c r="P877" s="17" t="n"/>
      <c r="Q877" s="17" t="n"/>
      <c r="R877" s="17" t="n"/>
      <c r="S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56" t="n"/>
      <c r="L878" s="17" t="n"/>
      <c r="M878" s="17" t="n"/>
      <c r="N878" s="17" t="n"/>
      <c r="O878" s="17" t="n"/>
      <c r="P878" s="17" t="n"/>
      <c r="Q878" s="17" t="n"/>
      <c r="R878" s="17" t="n"/>
      <c r="S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56" t="n"/>
      <c r="L879" s="17" t="n"/>
      <c r="M879" s="17" t="n"/>
      <c r="N879" s="17" t="n"/>
      <c r="O879" s="17" t="n"/>
      <c r="P879" s="17" t="n"/>
      <c r="Q879" s="17" t="n"/>
      <c r="R879" s="17" t="n"/>
      <c r="S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56" t="n"/>
      <c r="L880" s="17" t="n"/>
      <c r="M880" s="17" t="n"/>
      <c r="N880" s="17" t="n"/>
      <c r="O880" s="17" t="n"/>
      <c r="P880" s="17" t="n"/>
      <c r="Q880" s="17" t="n"/>
      <c r="R880" s="17" t="n"/>
      <c r="S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56" t="n"/>
      <c r="L881" s="17" t="n"/>
      <c r="M881" s="17" t="n"/>
      <c r="N881" s="17" t="n"/>
      <c r="O881" s="17" t="n"/>
      <c r="P881" s="17" t="n"/>
      <c r="Q881" s="17" t="n"/>
      <c r="R881" s="17" t="n"/>
      <c r="S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56" t="n"/>
      <c r="L882" s="17" t="n"/>
      <c r="M882" s="17" t="n"/>
      <c r="N882" s="17" t="n"/>
      <c r="O882" s="17" t="n"/>
      <c r="P882" s="17" t="n"/>
      <c r="Q882" s="17" t="n"/>
      <c r="R882" s="17" t="n"/>
      <c r="S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56" t="n"/>
      <c r="L883" s="17" t="n"/>
      <c r="M883" s="17" t="n"/>
      <c r="N883" s="17" t="n"/>
      <c r="O883" s="17" t="n"/>
      <c r="P883" s="17" t="n"/>
      <c r="Q883" s="17" t="n"/>
      <c r="R883" s="17" t="n"/>
      <c r="S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56" t="n"/>
      <c r="L884" s="17" t="n"/>
      <c r="M884" s="17" t="n"/>
      <c r="N884" s="17" t="n"/>
      <c r="O884" s="17" t="n"/>
      <c r="P884" s="17" t="n"/>
      <c r="Q884" s="17" t="n"/>
      <c r="R884" s="17" t="n"/>
      <c r="S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56" t="n"/>
      <c r="L885" s="17" t="n"/>
      <c r="M885" s="17" t="n"/>
      <c r="N885" s="17" t="n"/>
      <c r="O885" s="17" t="n"/>
      <c r="P885" s="17" t="n"/>
      <c r="Q885" s="17" t="n"/>
      <c r="R885" s="17" t="n"/>
      <c r="S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56" t="n"/>
      <c r="L886" s="17" t="n"/>
      <c r="M886" s="17" t="n"/>
      <c r="N886" s="17" t="n"/>
      <c r="O886" s="17" t="n"/>
      <c r="P886" s="17" t="n"/>
      <c r="Q886" s="17" t="n"/>
      <c r="R886" s="17" t="n"/>
      <c r="S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56" t="n"/>
      <c r="L887" s="17" t="n"/>
      <c r="M887" s="17" t="n"/>
      <c r="N887" s="17" t="n"/>
      <c r="O887" s="17" t="n"/>
      <c r="P887" s="17" t="n"/>
      <c r="Q887" s="17" t="n"/>
      <c r="R887" s="17" t="n"/>
      <c r="S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56" t="n"/>
      <c r="L888" s="17" t="n"/>
      <c r="M888" s="17" t="n"/>
      <c r="N888" s="17" t="n"/>
      <c r="O888" s="17" t="n"/>
      <c r="P888" s="17" t="n"/>
      <c r="Q888" s="17" t="n"/>
      <c r="R888" s="17" t="n"/>
      <c r="S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56" t="n"/>
      <c r="L889" s="17" t="n"/>
      <c r="M889" s="17" t="n"/>
      <c r="N889" s="17" t="n"/>
      <c r="O889" s="17" t="n"/>
      <c r="P889" s="17" t="n"/>
      <c r="Q889" s="17" t="n"/>
      <c r="R889" s="17" t="n"/>
      <c r="S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56" t="n"/>
      <c r="L890" s="17" t="n"/>
      <c r="M890" s="17" t="n"/>
      <c r="N890" s="17" t="n"/>
      <c r="O890" s="17" t="n"/>
      <c r="P890" s="17" t="n"/>
      <c r="Q890" s="17" t="n"/>
      <c r="R890" s="17" t="n"/>
      <c r="S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56" t="n"/>
      <c r="L891" s="17" t="n"/>
      <c r="M891" s="17" t="n"/>
      <c r="N891" s="17" t="n"/>
      <c r="O891" s="17" t="n"/>
      <c r="P891" s="17" t="n"/>
      <c r="Q891" s="17" t="n"/>
      <c r="R891" s="17" t="n"/>
      <c r="S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56" t="n"/>
      <c r="L892" s="17" t="n"/>
      <c r="M892" s="17" t="n"/>
      <c r="N892" s="17" t="n"/>
      <c r="O892" s="17" t="n"/>
      <c r="P892" s="17" t="n"/>
      <c r="Q892" s="17" t="n"/>
      <c r="R892" s="17" t="n"/>
      <c r="S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56" t="n"/>
      <c r="L893" s="17" t="n"/>
      <c r="M893" s="17" t="n"/>
      <c r="N893" s="17" t="n"/>
      <c r="O893" s="17" t="n"/>
      <c r="P893" s="17" t="n"/>
      <c r="Q893" s="17" t="n"/>
      <c r="R893" s="17" t="n"/>
      <c r="S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56" t="n"/>
      <c r="L894" s="17" t="n"/>
      <c r="M894" s="17" t="n"/>
      <c r="N894" s="17" t="n"/>
      <c r="O894" s="17" t="n"/>
      <c r="P894" s="17" t="n"/>
      <c r="Q894" s="17" t="n"/>
      <c r="R894" s="17" t="n"/>
      <c r="S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56" t="n"/>
      <c r="L895" s="17" t="n"/>
      <c r="M895" s="17" t="n"/>
      <c r="N895" s="17" t="n"/>
      <c r="O895" s="17" t="n"/>
      <c r="P895" s="17" t="n"/>
      <c r="Q895" s="17" t="n"/>
      <c r="R895" s="17" t="n"/>
      <c r="S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56" t="n"/>
      <c r="L896" s="17" t="n"/>
      <c r="M896" s="17" t="n"/>
      <c r="N896" s="17" t="n"/>
      <c r="O896" s="17" t="n"/>
      <c r="P896" s="17" t="n"/>
      <c r="Q896" s="17" t="n"/>
      <c r="R896" s="17" t="n"/>
      <c r="S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56" t="n"/>
      <c r="L897" s="17" t="n"/>
      <c r="M897" s="17" t="n"/>
      <c r="N897" s="17" t="n"/>
      <c r="O897" s="17" t="n"/>
      <c r="P897" s="17" t="n"/>
      <c r="Q897" s="17" t="n"/>
      <c r="R897" s="17" t="n"/>
      <c r="S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56" t="n"/>
      <c r="L898" s="17" t="n"/>
      <c r="M898" s="17" t="n"/>
      <c r="N898" s="17" t="n"/>
      <c r="O898" s="17" t="n"/>
      <c r="P898" s="17" t="n"/>
      <c r="Q898" s="17" t="n"/>
      <c r="R898" s="17" t="n"/>
      <c r="S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56" t="n"/>
      <c r="L899" s="17" t="n"/>
      <c r="M899" s="17" t="n"/>
      <c r="N899" s="17" t="n"/>
      <c r="O899" s="17" t="n"/>
      <c r="P899" s="17" t="n"/>
      <c r="Q899" s="17" t="n"/>
      <c r="R899" s="17" t="n"/>
      <c r="S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56" t="n"/>
      <c r="L900" s="17" t="n"/>
      <c r="M900" s="17" t="n"/>
      <c r="N900" s="17" t="n"/>
      <c r="O900" s="17" t="n"/>
      <c r="P900" s="17" t="n"/>
      <c r="Q900" s="17" t="n"/>
      <c r="R900" s="17" t="n"/>
      <c r="S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56" t="n"/>
      <c r="L901" s="17" t="n"/>
      <c r="M901" s="17" t="n"/>
      <c r="N901" s="17" t="n"/>
      <c r="O901" s="17" t="n"/>
      <c r="P901" s="17" t="n"/>
      <c r="Q901" s="17" t="n"/>
      <c r="R901" s="17" t="n"/>
      <c r="S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56" t="n"/>
      <c r="L902" s="17" t="n"/>
      <c r="M902" s="17" t="n"/>
      <c r="N902" s="17" t="n"/>
      <c r="O902" s="17" t="n"/>
      <c r="P902" s="17" t="n"/>
      <c r="Q902" s="17" t="n"/>
      <c r="R902" s="17" t="n"/>
      <c r="S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56" t="n"/>
      <c r="L903" s="17" t="n"/>
      <c r="M903" s="17" t="n"/>
      <c r="N903" s="17" t="n"/>
      <c r="O903" s="17" t="n"/>
      <c r="P903" s="17" t="n"/>
      <c r="Q903" s="17" t="n"/>
      <c r="R903" s="17" t="n"/>
      <c r="S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56" t="n"/>
      <c r="L904" s="17" t="n"/>
      <c r="M904" s="17" t="n"/>
      <c r="N904" s="17" t="n"/>
      <c r="O904" s="17" t="n"/>
      <c r="P904" s="17" t="n"/>
      <c r="Q904" s="17" t="n"/>
      <c r="R904" s="17" t="n"/>
      <c r="S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56" t="n"/>
      <c r="L905" s="17" t="n"/>
      <c r="M905" s="17" t="n"/>
      <c r="N905" s="17" t="n"/>
      <c r="O905" s="17" t="n"/>
      <c r="P905" s="17" t="n"/>
      <c r="Q905" s="17" t="n"/>
      <c r="R905" s="17" t="n"/>
      <c r="S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56" t="n"/>
      <c r="L906" s="17" t="n"/>
      <c r="M906" s="17" t="n"/>
      <c r="N906" s="17" t="n"/>
      <c r="O906" s="17" t="n"/>
      <c r="P906" s="17" t="n"/>
      <c r="Q906" s="17" t="n"/>
      <c r="R906" s="17" t="n"/>
      <c r="S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56" t="n"/>
      <c r="L907" s="17" t="n"/>
      <c r="M907" s="17" t="n"/>
      <c r="N907" s="17" t="n"/>
      <c r="O907" s="17" t="n"/>
      <c r="P907" s="17" t="n"/>
      <c r="Q907" s="17" t="n"/>
      <c r="R907" s="17" t="n"/>
      <c r="S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56" t="n"/>
      <c r="L908" s="17" t="n"/>
      <c r="M908" s="17" t="n"/>
      <c r="N908" s="17" t="n"/>
      <c r="O908" s="17" t="n"/>
      <c r="P908" s="17" t="n"/>
      <c r="Q908" s="17" t="n"/>
      <c r="R908" s="17" t="n"/>
      <c r="S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56" t="n"/>
      <c r="L909" s="17" t="n"/>
      <c r="M909" s="17" t="n"/>
      <c r="N909" s="17" t="n"/>
      <c r="O909" s="17" t="n"/>
      <c r="P909" s="17" t="n"/>
      <c r="Q909" s="17" t="n"/>
      <c r="R909" s="17" t="n"/>
      <c r="S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56" t="n"/>
      <c r="L910" s="17" t="n"/>
      <c r="M910" s="17" t="n"/>
      <c r="N910" s="17" t="n"/>
      <c r="O910" s="17" t="n"/>
      <c r="P910" s="17" t="n"/>
      <c r="Q910" s="17" t="n"/>
      <c r="R910" s="17" t="n"/>
      <c r="S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56" t="n"/>
      <c r="L911" s="17" t="n"/>
      <c r="M911" s="17" t="n"/>
      <c r="N911" s="17" t="n"/>
      <c r="O911" s="17" t="n"/>
      <c r="P911" s="17" t="n"/>
      <c r="Q911" s="17" t="n"/>
      <c r="R911" s="17" t="n"/>
      <c r="S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56" t="n"/>
      <c r="L912" s="17" t="n"/>
      <c r="M912" s="17" t="n"/>
      <c r="N912" s="17" t="n"/>
      <c r="O912" s="17" t="n"/>
      <c r="P912" s="17" t="n"/>
      <c r="Q912" s="17" t="n"/>
      <c r="R912" s="17" t="n"/>
      <c r="S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56" t="n"/>
      <c r="L913" s="17" t="n"/>
      <c r="M913" s="17" t="n"/>
      <c r="N913" s="17" t="n"/>
      <c r="O913" s="17" t="n"/>
      <c r="P913" s="17" t="n"/>
      <c r="Q913" s="17" t="n"/>
      <c r="R913" s="17" t="n"/>
      <c r="S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56" t="n"/>
      <c r="L914" s="17" t="n"/>
      <c r="M914" s="17" t="n"/>
      <c r="N914" s="17" t="n"/>
      <c r="O914" s="17" t="n"/>
      <c r="P914" s="17" t="n"/>
      <c r="Q914" s="17" t="n"/>
      <c r="R914" s="17" t="n"/>
      <c r="S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56" t="n"/>
      <c r="L915" s="17" t="n"/>
      <c r="M915" s="17" t="n"/>
      <c r="N915" s="17" t="n"/>
      <c r="O915" s="17" t="n"/>
      <c r="P915" s="17" t="n"/>
      <c r="Q915" s="17" t="n"/>
      <c r="R915" s="17" t="n"/>
      <c r="S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56" t="n"/>
      <c r="L916" s="17" t="n"/>
      <c r="M916" s="17" t="n"/>
      <c r="N916" s="17" t="n"/>
      <c r="O916" s="17" t="n"/>
      <c r="P916" s="17" t="n"/>
      <c r="Q916" s="17" t="n"/>
      <c r="R916" s="17" t="n"/>
      <c r="S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56" t="n"/>
      <c r="L917" s="17" t="n"/>
      <c r="M917" s="17" t="n"/>
      <c r="N917" s="17" t="n"/>
      <c r="O917" s="17" t="n"/>
      <c r="P917" s="17" t="n"/>
      <c r="Q917" s="17" t="n"/>
      <c r="R917" s="17" t="n"/>
      <c r="S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56" t="n"/>
      <c r="L918" s="17" t="n"/>
      <c r="M918" s="17" t="n"/>
      <c r="N918" s="17" t="n"/>
      <c r="O918" s="17" t="n"/>
      <c r="P918" s="17" t="n"/>
      <c r="Q918" s="17" t="n"/>
      <c r="R918" s="17" t="n"/>
      <c r="S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56" t="n"/>
      <c r="L919" s="17" t="n"/>
      <c r="M919" s="17" t="n"/>
      <c r="N919" s="17" t="n"/>
      <c r="O919" s="17" t="n"/>
      <c r="P919" s="17" t="n"/>
      <c r="Q919" s="17" t="n"/>
      <c r="R919" s="17" t="n"/>
      <c r="S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56" t="n"/>
      <c r="L920" s="17" t="n"/>
      <c r="M920" s="17" t="n"/>
      <c r="N920" s="17" t="n"/>
      <c r="O920" s="17" t="n"/>
      <c r="P920" s="17" t="n"/>
      <c r="Q920" s="17" t="n"/>
      <c r="R920" s="17" t="n"/>
      <c r="S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56" t="n"/>
      <c r="L921" s="17" t="n"/>
      <c r="M921" s="17" t="n"/>
      <c r="N921" s="17" t="n"/>
      <c r="O921" s="17" t="n"/>
      <c r="P921" s="17" t="n"/>
      <c r="Q921" s="17" t="n"/>
      <c r="R921" s="17" t="n"/>
      <c r="S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56" t="n"/>
      <c r="L922" s="17" t="n"/>
      <c r="M922" s="17" t="n"/>
      <c r="N922" s="17" t="n"/>
      <c r="O922" s="17" t="n"/>
      <c r="P922" s="17" t="n"/>
      <c r="Q922" s="17" t="n"/>
      <c r="R922" s="17" t="n"/>
      <c r="S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56" t="n"/>
      <c r="L923" s="17" t="n"/>
      <c r="M923" s="17" t="n"/>
      <c r="N923" s="17" t="n"/>
      <c r="O923" s="17" t="n"/>
      <c r="P923" s="17" t="n"/>
      <c r="Q923" s="17" t="n"/>
      <c r="R923" s="17" t="n"/>
      <c r="S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56" t="n"/>
      <c r="L924" s="17" t="n"/>
      <c r="M924" s="17" t="n"/>
      <c r="N924" s="17" t="n"/>
      <c r="O924" s="17" t="n"/>
      <c r="P924" s="17" t="n"/>
      <c r="Q924" s="17" t="n"/>
      <c r="R924" s="17" t="n"/>
      <c r="S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56" t="n"/>
      <c r="L925" s="17" t="n"/>
      <c r="M925" s="17" t="n"/>
      <c r="N925" s="17" t="n"/>
      <c r="O925" s="17" t="n"/>
      <c r="P925" s="17" t="n"/>
      <c r="Q925" s="17" t="n"/>
      <c r="R925" s="17" t="n"/>
      <c r="S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56" t="n"/>
      <c r="L926" s="17" t="n"/>
      <c r="M926" s="17" t="n"/>
      <c r="N926" s="17" t="n"/>
      <c r="O926" s="17" t="n"/>
      <c r="P926" s="17" t="n"/>
      <c r="Q926" s="17" t="n"/>
      <c r="R926" s="17" t="n"/>
      <c r="S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56" t="n"/>
      <c r="L927" s="17" t="n"/>
      <c r="M927" s="17" t="n"/>
      <c r="N927" s="17" t="n"/>
      <c r="O927" s="17" t="n"/>
      <c r="P927" s="17" t="n"/>
      <c r="Q927" s="17" t="n"/>
      <c r="R927" s="17" t="n"/>
      <c r="S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56" t="n"/>
      <c r="L928" s="17" t="n"/>
      <c r="M928" s="17" t="n"/>
      <c r="N928" s="17" t="n"/>
      <c r="O928" s="17" t="n"/>
      <c r="P928" s="17" t="n"/>
      <c r="Q928" s="17" t="n"/>
      <c r="R928" s="17" t="n"/>
      <c r="S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56" t="n"/>
      <c r="L929" s="17" t="n"/>
      <c r="M929" s="17" t="n"/>
      <c r="N929" s="17" t="n"/>
      <c r="O929" s="17" t="n"/>
      <c r="P929" s="17" t="n"/>
      <c r="Q929" s="17" t="n"/>
      <c r="R929" s="17" t="n"/>
      <c r="S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56" t="n"/>
      <c r="L930" s="17" t="n"/>
      <c r="M930" s="17" t="n"/>
      <c r="N930" s="17" t="n"/>
      <c r="O930" s="17" t="n"/>
      <c r="P930" s="17" t="n"/>
      <c r="Q930" s="17" t="n"/>
      <c r="R930" s="17" t="n"/>
      <c r="S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56" t="n"/>
      <c r="L931" s="17" t="n"/>
      <c r="M931" s="17" t="n"/>
      <c r="N931" s="17" t="n"/>
      <c r="O931" s="17" t="n"/>
      <c r="P931" s="17" t="n"/>
      <c r="Q931" s="17" t="n"/>
      <c r="R931" s="17" t="n"/>
      <c r="S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56" t="n"/>
      <c r="L932" s="17" t="n"/>
      <c r="M932" s="17" t="n"/>
      <c r="N932" s="17" t="n"/>
      <c r="O932" s="17" t="n"/>
      <c r="P932" s="17" t="n"/>
      <c r="Q932" s="17" t="n"/>
      <c r="R932" s="17" t="n"/>
      <c r="S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56" t="n"/>
      <c r="L933" s="17" t="n"/>
      <c r="M933" s="17" t="n"/>
      <c r="N933" s="17" t="n"/>
      <c r="O933" s="17" t="n"/>
      <c r="P933" s="17" t="n"/>
      <c r="Q933" s="17" t="n"/>
      <c r="R933" s="17" t="n"/>
      <c r="S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56" t="n"/>
      <c r="L934" s="17" t="n"/>
      <c r="M934" s="17" t="n"/>
      <c r="N934" s="17" t="n"/>
      <c r="O934" s="17" t="n"/>
      <c r="P934" s="17" t="n"/>
      <c r="Q934" s="17" t="n"/>
      <c r="R934" s="17" t="n"/>
      <c r="S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56" t="n"/>
      <c r="L935" s="17" t="n"/>
      <c r="M935" s="17" t="n"/>
      <c r="N935" s="17" t="n"/>
      <c r="O935" s="17" t="n"/>
      <c r="P935" s="17" t="n"/>
      <c r="Q935" s="17" t="n"/>
      <c r="R935" s="17" t="n"/>
      <c r="S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56" t="n"/>
      <c r="L936" s="17" t="n"/>
      <c r="M936" s="17" t="n"/>
      <c r="N936" s="17" t="n"/>
      <c r="O936" s="17" t="n"/>
      <c r="P936" s="17" t="n"/>
      <c r="Q936" s="17" t="n"/>
      <c r="R936" s="17" t="n"/>
      <c r="S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56" t="n"/>
      <c r="L937" s="17" t="n"/>
      <c r="M937" s="17" t="n"/>
      <c r="N937" s="17" t="n"/>
      <c r="O937" s="17" t="n"/>
      <c r="P937" s="17" t="n"/>
      <c r="Q937" s="17" t="n"/>
      <c r="R937" s="17" t="n"/>
      <c r="S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56" t="n"/>
      <c r="L938" s="17" t="n"/>
      <c r="M938" s="17" t="n"/>
      <c r="N938" s="17" t="n"/>
      <c r="O938" s="17" t="n"/>
      <c r="P938" s="17" t="n"/>
      <c r="Q938" s="17" t="n"/>
      <c r="R938" s="17" t="n"/>
      <c r="S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56" t="n"/>
      <c r="L939" s="17" t="n"/>
      <c r="M939" s="17" t="n"/>
      <c r="N939" s="17" t="n"/>
      <c r="O939" s="17" t="n"/>
      <c r="P939" s="17" t="n"/>
      <c r="Q939" s="17" t="n"/>
      <c r="R939" s="17" t="n"/>
      <c r="S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56" t="n"/>
      <c r="L940" s="17" t="n"/>
      <c r="M940" s="17" t="n"/>
      <c r="N940" s="17" t="n"/>
      <c r="O940" s="17" t="n"/>
      <c r="P940" s="17" t="n"/>
      <c r="Q940" s="17" t="n"/>
      <c r="R940" s="17" t="n"/>
      <c r="S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56" t="n"/>
      <c r="L941" s="17" t="n"/>
      <c r="M941" s="17" t="n"/>
      <c r="N941" s="17" t="n"/>
      <c r="O941" s="17" t="n"/>
      <c r="P941" s="17" t="n"/>
      <c r="Q941" s="17" t="n"/>
      <c r="R941" s="17" t="n"/>
      <c r="S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56" t="n"/>
      <c r="L942" s="17" t="n"/>
      <c r="M942" s="17" t="n"/>
      <c r="N942" s="17" t="n"/>
      <c r="O942" s="17" t="n"/>
      <c r="P942" s="17" t="n"/>
      <c r="Q942" s="17" t="n"/>
      <c r="R942" s="17" t="n"/>
      <c r="S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56" t="n"/>
      <c r="L943" s="17" t="n"/>
      <c r="M943" s="17" t="n"/>
      <c r="N943" s="17" t="n"/>
      <c r="O943" s="17" t="n"/>
      <c r="P943" s="17" t="n"/>
      <c r="Q943" s="17" t="n"/>
      <c r="R943" s="17" t="n"/>
      <c r="S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56" t="n"/>
      <c r="L944" s="17" t="n"/>
      <c r="M944" s="17" t="n"/>
      <c r="N944" s="17" t="n"/>
      <c r="O944" s="17" t="n"/>
      <c r="P944" s="17" t="n"/>
      <c r="Q944" s="17" t="n"/>
      <c r="R944" s="17" t="n"/>
      <c r="S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56" t="n"/>
      <c r="L945" s="17" t="n"/>
      <c r="M945" s="17" t="n"/>
      <c r="N945" s="17" t="n"/>
      <c r="O945" s="17" t="n"/>
      <c r="P945" s="17" t="n"/>
      <c r="Q945" s="17" t="n"/>
      <c r="R945" s="17" t="n"/>
      <c r="S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56" t="n"/>
      <c r="L946" s="17" t="n"/>
      <c r="M946" s="17" t="n"/>
      <c r="N946" s="17" t="n"/>
      <c r="O946" s="17" t="n"/>
      <c r="P946" s="17" t="n"/>
      <c r="Q946" s="17" t="n"/>
      <c r="R946" s="17" t="n"/>
      <c r="S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56" t="n"/>
      <c r="L947" s="17" t="n"/>
      <c r="M947" s="17" t="n"/>
      <c r="N947" s="17" t="n"/>
      <c r="O947" s="17" t="n"/>
      <c r="P947" s="17" t="n"/>
      <c r="Q947" s="17" t="n"/>
      <c r="R947" s="17" t="n"/>
      <c r="S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56" t="n"/>
      <c r="L948" s="17" t="n"/>
      <c r="M948" s="17" t="n"/>
      <c r="N948" s="17" t="n"/>
      <c r="O948" s="17" t="n"/>
      <c r="P948" s="17" t="n"/>
      <c r="Q948" s="17" t="n"/>
      <c r="R948" s="17" t="n"/>
      <c r="S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56" t="n"/>
      <c r="L949" s="17" t="n"/>
      <c r="M949" s="17" t="n"/>
      <c r="N949" s="17" t="n"/>
      <c r="O949" s="17" t="n"/>
      <c r="P949" s="17" t="n"/>
      <c r="Q949" s="17" t="n"/>
      <c r="R949" s="17" t="n"/>
      <c r="S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56" t="n"/>
      <c r="L950" s="17" t="n"/>
      <c r="M950" s="17" t="n"/>
      <c r="N950" s="17" t="n"/>
      <c r="O950" s="17" t="n"/>
      <c r="P950" s="17" t="n"/>
      <c r="Q950" s="17" t="n"/>
      <c r="R950" s="17" t="n"/>
      <c r="S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56" t="n"/>
      <c r="L951" s="17" t="n"/>
      <c r="M951" s="17" t="n"/>
      <c r="N951" s="17" t="n"/>
      <c r="O951" s="17" t="n"/>
      <c r="P951" s="17" t="n"/>
      <c r="Q951" s="17" t="n"/>
      <c r="R951" s="17" t="n"/>
      <c r="S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56" t="n"/>
      <c r="L952" s="17" t="n"/>
      <c r="M952" s="17" t="n"/>
      <c r="N952" s="17" t="n"/>
      <c r="O952" s="17" t="n"/>
      <c r="P952" s="17" t="n"/>
      <c r="Q952" s="17" t="n"/>
      <c r="R952" s="17" t="n"/>
      <c r="S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56" t="n"/>
      <c r="L953" s="17" t="n"/>
      <c r="M953" s="17" t="n"/>
      <c r="N953" s="17" t="n"/>
      <c r="O953" s="17" t="n"/>
      <c r="P953" s="17" t="n"/>
      <c r="Q953" s="17" t="n"/>
      <c r="R953" s="17" t="n"/>
      <c r="S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56" t="n"/>
      <c r="L954" s="17" t="n"/>
      <c r="M954" s="17" t="n"/>
      <c r="N954" s="17" t="n"/>
      <c r="O954" s="17" t="n"/>
      <c r="P954" s="17" t="n"/>
      <c r="Q954" s="17" t="n"/>
      <c r="R954" s="17" t="n"/>
      <c r="S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56" t="n"/>
      <c r="L955" s="17" t="n"/>
      <c r="M955" s="17" t="n"/>
      <c r="N955" s="17" t="n"/>
      <c r="O955" s="17" t="n"/>
      <c r="P955" s="17" t="n"/>
      <c r="Q955" s="17" t="n"/>
      <c r="R955" s="17" t="n"/>
      <c r="S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56" t="n"/>
      <c r="L956" s="17" t="n"/>
      <c r="M956" s="17" t="n"/>
      <c r="N956" s="17" t="n"/>
      <c r="O956" s="17" t="n"/>
      <c r="P956" s="17" t="n"/>
      <c r="Q956" s="17" t="n"/>
      <c r="R956" s="17" t="n"/>
      <c r="S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56" t="n"/>
      <c r="L957" s="17" t="n"/>
      <c r="M957" s="17" t="n"/>
      <c r="N957" s="17" t="n"/>
      <c r="O957" s="17" t="n"/>
      <c r="P957" s="17" t="n"/>
      <c r="Q957" s="17" t="n"/>
      <c r="R957" s="17" t="n"/>
      <c r="S957" s="17" t="n"/>
    </row>
  </sheetData>
  <dataValidations count="2">
    <dataValidation sqref="L53 L55 L59 L61 L64 M66:N67" showDropDown="0" showInputMessage="0" showErrorMessage="1" allowBlank="1" type="list">
      <formula1>"JOCELYN,SILVANA,ARI"</formula1>
    </dataValidation>
    <dataValidation sqref="L2:N22 L25:N43 L47:L52 L54 L56:L58 L60:N60 L62:L63 L65:N65 L66:L68 L72:L74 L75:N76 L77:L82 L83:N83 L84:L86 L87:N87 L88:L94 L98:L121 L124:L144 N100:N102 N106 N108 N110 N113:N115 N119:N121 N124:N144 P102 P104 P107 P109 P112 P118" showDropDown="0" showInputMessage="0" showErrorMessage="1" allowBlank="1" type="list">
      <formula1>"MARCO,PAOLA LUNA,SILVANA,JORGE DURAN,JORGE HERRERA,AISHA,Emily Bustamante"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992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18" min="1" max="1"/>
    <col width="18.75" customWidth="1" style="118" min="2" max="2"/>
    <col width="16.5" customWidth="1" style="118" min="12" max="12"/>
    <col width="15" customWidth="1" style="118" min="13" max="13"/>
    <col width="17.88" customWidth="1" style="118" min="14" max="14"/>
  </cols>
  <sheetData>
    <row r="1">
      <c r="A1" s="27" t="inlineStr">
        <is>
          <t>Room ID</t>
        </is>
      </c>
      <c r="B1" s="27" t="inlineStr">
        <is>
          <t>TT Handle</t>
        </is>
      </c>
      <c r="C1" s="27" t="inlineStr">
        <is>
          <t>Country</t>
        </is>
      </c>
      <c r="D1" s="27" t="inlineStr">
        <is>
          <t>GMV</t>
        </is>
      </c>
      <c r="E1" s="27" t="inlineStr">
        <is>
          <t>GMV/sin EVA</t>
        </is>
      </c>
      <c r="F1" s="27" t="inlineStr">
        <is>
          <t>GMV PER HOUR</t>
        </is>
      </c>
      <c r="G1" s="27" t="inlineStr">
        <is>
          <t>GMV PER HOUR/sin EVA</t>
        </is>
      </c>
      <c r="H1" s="27" t="inlineStr">
        <is>
          <t>Ads Cost</t>
        </is>
      </c>
      <c r="I1" s="27" t="inlineStr">
        <is>
          <t>Duration (H)</t>
        </is>
      </c>
      <c r="J1" s="28" t="inlineStr">
        <is>
          <t>Duration （Formula）</t>
        </is>
      </c>
      <c r="K1" s="29" t="inlineStr">
        <is>
          <t>Start date</t>
        </is>
      </c>
      <c r="L1" s="30" t="inlineStr">
        <is>
          <t>HOST 1</t>
        </is>
      </c>
      <c r="M1" s="30" t="inlineStr">
        <is>
          <t xml:space="preserve">HOST 2 </t>
        </is>
      </c>
      <c r="N1" s="30" t="inlineStr">
        <is>
          <t>Operator</t>
        </is>
      </c>
    </row>
    <row r="2">
      <c r="A2" s="91" t="inlineStr">
        <is>
          <t>7633979499146775314</t>
        </is>
      </c>
      <c r="B2" s="83" t="inlineStr">
        <is>
          <t>langavibars</t>
        </is>
      </c>
      <c r="C2" s="83" t="inlineStr">
        <is>
          <t>MX</t>
        </is>
      </c>
      <c r="D2" s="35" t="n">
        <v>3568</v>
      </c>
      <c r="E2" s="40">
        <f>D2/1.16</f>
        <v/>
      </c>
      <c r="F2" s="40" t="n">
        <v>1182.25</v>
      </c>
      <c r="G2" s="40">
        <f>F2/1.16</f>
        <v/>
      </c>
      <c r="H2" s="87" t="n">
        <v>0</v>
      </c>
      <c r="I2" s="42" t="n">
        <v>3.02</v>
      </c>
      <c r="J2" s="74">
        <f>LET(dec, I2-INT(I2), IF(dec&lt;0.1, INT(I2), IF(dec&lt;=0.7, INT(I2)+0.5, INT(I2)+1)))</f>
        <v/>
      </c>
      <c r="K2" s="43" t="n">
        <v>46140</v>
      </c>
      <c r="L2" s="36" t="inlineStr">
        <is>
          <t>JORGE DURAN</t>
        </is>
      </c>
      <c r="M2" s="63" t="n"/>
      <c r="N2" s="91" t="inlineStr">
        <is>
          <t>DIEGO</t>
        </is>
      </c>
    </row>
    <row r="3">
      <c r="A3" s="91" t="inlineStr">
        <is>
          <t>7634350968510974728</t>
        </is>
      </c>
      <c r="B3" s="83" t="inlineStr">
        <is>
          <t>langavibars</t>
        </is>
      </c>
      <c r="C3" s="83" t="inlineStr">
        <is>
          <t>MX</t>
        </is>
      </c>
      <c r="D3" s="35" t="n">
        <v>4274</v>
      </c>
      <c r="E3" s="40">
        <f>D3/1.16</f>
        <v/>
      </c>
      <c r="F3" s="40" t="n">
        <v>1427.46</v>
      </c>
      <c r="G3" s="40">
        <f>F3/1.16</f>
        <v/>
      </c>
      <c r="H3" s="87" t="n">
        <v>36.02</v>
      </c>
      <c r="I3" s="42" t="n">
        <v>2.99</v>
      </c>
      <c r="J3" s="74">
        <f>LET(dec, I3-INT(I3), IF(dec&lt;0.1, INT(I3), IF(dec&lt;=0.7, INT(I3)+0.5, INT(I3)+1)))</f>
        <v/>
      </c>
      <c r="K3" s="43" t="n">
        <v>46141</v>
      </c>
      <c r="L3" s="36" t="inlineStr">
        <is>
          <t>JORGE DURAN</t>
        </is>
      </c>
      <c r="M3" s="91" t="n"/>
      <c r="N3" s="91" t="inlineStr">
        <is>
          <t>DIEGO</t>
        </is>
      </c>
    </row>
    <row r="4">
      <c r="A4" s="91" t="inlineStr">
        <is>
          <t>7634723992200940296</t>
        </is>
      </c>
      <c r="B4" s="83" t="inlineStr">
        <is>
          <t>langavibars</t>
        </is>
      </c>
      <c r="C4" s="83" t="inlineStr">
        <is>
          <t>MX</t>
        </is>
      </c>
      <c r="D4" s="35" t="n">
        <v>3058</v>
      </c>
      <c r="E4" s="40">
        <f>D4/1.16</f>
        <v/>
      </c>
      <c r="F4" s="40" t="n">
        <v>1023.71</v>
      </c>
      <c r="G4" s="40">
        <f>F4/1.16</f>
        <v/>
      </c>
      <c r="H4" s="87" t="n">
        <v>24.98</v>
      </c>
      <c r="I4" s="42" t="n">
        <v>2.99</v>
      </c>
      <c r="J4" s="74">
        <f>LET(dec, I4-INT(I4), IF(dec&lt;0.1, INT(I4), IF(dec&lt;=0.7, INT(I4)+0.5, INT(I4)+1)))</f>
        <v/>
      </c>
      <c r="K4" s="43" t="n">
        <v>46142</v>
      </c>
      <c r="L4" s="36" t="inlineStr">
        <is>
          <t>JORGE DURAN</t>
        </is>
      </c>
      <c r="M4" s="91" t="n"/>
      <c r="N4" s="91" t="inlineStr">
        <is>
          <t>DIEGO</t>
        </is>
      </c>
    </row>
    <row r="5">
      <c r="A5" s="91" t="inlineStr">
        <is>
          <t>7636206808830708488</t>
        </is>
      </c>
      <c r="B5" s="83" t="inlineStr">
        <is>
          <t>langavibars</t>
        </is>
      </c>
      <c r="C5" s="83" t="inlineStr">
        <is>
          <t>MX</t>
        </is>
      </c>
      <c r="D5" s="35" t="n">
        <v>6596.47</v>
      </c>
      <c r="E5" s="40">
        <f>D5/1.16</f>
        <v/>
      </c>
      <c r="F5" s="40" t="n">
        <v>2007.1</v>
      </c>
      <c r="G5" s="40">
        <f>F5/1.16</f>
        <v/>
      </c>
      <c r="H5" s="87" t="n">
        <v>1175.45</v>
      </c>
      <c r="I5" s="42" t="n">
        <v>2.99</v>
      </c>
      <c r="J5" s="74">
        <f>LET(dec, I5-INT(I5), IF(dec&lt;0.1, INT(I5), IF(dec&lt;=0.7, INT(I5)+0.5, INT(I5)+1)))</f>
        <v/>
      </c>
      <c r="K5" s="43" t="n">
        <v>46146</v>
      </c>
      <c r="L5" s="36" t="inlineStr">
        <is>
          <t>JORGE DURAN</t>
        </is>
      </c>
      <c r="M5" s="91" t="n"/>
      <c r="N5" s="91" t="inlineStr">
        <is>
          <t>DIEGO</t>
        </is>
      </c>
    </row>
    <row r="6">
      <c r="A6" s="91" t="inlineStr">
        <is>
          <t>7636563035754875666</t>
        </is>
      </c>
      <c r="B6" s="83" t="inlineStr">
        <is>
          <t>langavibars</t>
        </is>
      </c>
      <c r="C6" s="83" t="inlineStr">
        <is>
          <t>MX</t>
        </is>
      </c>
      <c r="D6" s="35" t="n">
        <v>5419.53</v>
      </c>
      <c r="E6" s="40">
        <f>D6/1.16</f>
        <v/>
      </c>
      <c r="F6" s="40" t="n">
        <v>1029.01</v>
      </c>
      <c r="G6" s="40">
        <f>F6/1.16</f>
        <v/>
      </c>
      <c r="H6" s="87" t="n">
        <v>537.5</v>
      </c>
      <c r="I6" s="42" t="n">
        <v>3.04</v>
      </c>
      <c r="J6" s="74">
        <f>LET(dec, I6-INT(I6), IF(dec&lt;0.1, INT(I6), IF(dec&lt;=0.7, INT(I6)+0.5, INT(I6)+1)))</f>
        <v/>
      </c>
      <c r="K6" s="43" t="n">
        <v>46147</v>
      </c>
      <c r="L6" s="36" t="inlineStr">
        <is>
          <t>JORGE DURAN</t>
        </is>
      </c>
      <c r="M6" s="91" t="n"/>
      <c r="N6" s="91" t="inlineStr">
        <is>
          <t>DIEGO</t>
        </is>
      </c>
    </row>
    <row r="7">
      <c r="A7" s="91" t="inlineStr">
        <is>
          <t>7636932915682659080</t>
        </is>
      </c>
      <c r="B7" s="83" t="inlineStr">
        <is>
          <t>langavibars</t>
        </is>
      </c>
      <c r="C7" s="83" t="inlineStr">
        <is>
          <t>MX</t>
        </is>
      </c>
      <c r="D7" s="35" t="n">
        <v>7910.19</v>
      </c>
      <c r="E7" s="40">
        <f>D7/1.16</f>
        <v/>
      </c>
      <c r="F7" s="40" t="n">
        <v>1947.27</v>
      </c>
      <c r="G7" s="40">
        <f>F7/1.16</f>
        <v/>
      </c>
      <c r="H7" s="87" t="n">
        <v>1422.91</v>
      </c>
      <c r="I7" s="42" t="n">
        <v>4.01</v>
      </c>
      <c r="J7" s="74">
        <f>LET(dec, I7-INT(I7), IF(dec&lt;0.1, INT(I7), IF(dec&lt;=0.7, INT(I7)+0.5, INT(I7)+1)))</f>
        <v/>
      </c>
      <c r="K7" s="43" t="n">
        <v>46148</v>
      </c>
      <c r="L7" s="36" t="inlineStr">
        <is>
          <t>JORGE DURAN</t>
        </is>
      </c>
      <c r="M7" s="91" t="n"/>
      <c r="N7" s="91" t="inlineStr">
        <is>
          <t>DIEGO</t>
        </is>
      </c>
    </row>
    <row r="8">
      <c r="A8" s="91" t="inlineStr">
        <is>
          <t>7637303780249291538</t>
        </is>
      </c>
      <c r="B8" s="83" t="inlineStr">
        <is>
          <t>langavibars</t>
        </is>
      </c>
      <c r="C8" s="83" t="inlineStr">
        <is>
          <t>MX</t>
        </is>
      </c>
      <c r="D8" s="35" t="n">
        <v>3570.34</v>
      </c>
      <c r="E8" s="40">
        <f>D8/1.16</f>
        <v/>
      </c>
      <c r="F8" s="40" t="n">
        <v>886.0599999999999</v>
      </c>
      <c r="G8" s="40">
        <f>F8/1.16</f>
        <v/>
      </c>
      <c r="H8" s="87" t="n">
        <v>900.78</v>
      </c>
      <c r="I8" s="42" t="n">
        <v>4.03</v>
      </c>
      <c r="J8" s="74">
        <f>LET(dec, I8-INT(I8), IF(dec&lt;0.1, INT(I8), IF(dec&lt;=0.7, INT(I8)+0.5, INT(I8)+1)))</f>
        <v/>
      </c>
      <c r="K8" s="43" t="n">
        <v>46149</v>
      </c>
      <c r="L8" s="36" t="inlineStr">
        <is>
          <t>JORGE DURAN</t>
        </is>
      </c>
      <c r="M8" s="91" t="n"/>
      <c r="N8" s="91" t="inlineStr">
        <is>
          <t>DIEGO</t>
        </is>
      </c>
    </row>
    <row r="9">
      <c r="A9" s="91" t="inlineStr">
        <is>
          <t>7637675037696297735</t>
        </is>
      </c>
      <c r="B9" s="83" t="inlineStr">
        <is>
          <t>langavibars</t>
        </is>
      </c>
      <c r="C9" s="83" t="inlineStr">
        <is>
          <t>MX</t>
        </is>
      </c>
      <c r="D9" s="35" t="n">
        <v>5428.55</v>
      </c>
      <c r="E9" s="40">
        <f>D9/1.16</f>
        <v/>
      </c>
      <c r="F9" s="40" t="n">
        <v>1350.29</v>
      </c>
      <c r="G9" s="40">
        <f>F9/1.16</f>
        <v/>
      </c>
      <c r="H9" s="87" t="n">
        <v>1022.73</v>
      </c>
      <c r="I9" s="42" t="n">
        <v>4.02</v>
      </c>
      <c r="J9" s="74">
        <f>LET(dec, I9-INT(I9), IF(dec&lt;0.1, INT(I9), IF(dec&lt;=0.7, INT(I9)+0.5, INT(I9)+1)))</f>
        <v/>
      </c>
      <c r="K9" s="43" t="n">
        <v>46150</v>
      </c>
      <c r="L9" s="36" t="inlineStr">
        <is>
          <t>JORGE DURAN</t>
        </is>
      </c>
      <c r="M9" s="91" t="n"/>
      <c r="N9" s="91" t="inlineStr">
        <is>
          <t>DIEGO</t>
        </is>
      </c>
    </row>
    <row r="10">
      <c r="A10" s="91" t="inlineStr">
        <is>
          <t>7638788992370264840</t>
        </is>
      </c>
      <c r="B10" s="83" t="inlineStr">
        <is>
          <t>langavibars</t>
        </is>
      </c>
      <c r="C10" s="83" t="inlineStr">
        <is>
          <t>MX</t>
        </is>
      </c>
      <c r="D10" s="35" t="n">
        <v>6236</v>
      </c>
      <c r="E10" s="40">
        <f>D10/1.16</f>
        <v/>
      </c>
      <c r="F10" s="40" t="n">
        <v>1574.4</v>
      </c>
      <c r="G10" s="40">
        <f>F10/1.16</f>
        <v/>
      </c>
      <c r="H10" s="87" t="n">
        <v>911.96</v>
      </c>
      <c r="I10" s="42" t="n">
        <v>3.96</v>
      </c>
      <c r="J10" s="74">
        <f>LET(dec, I10-INT(I10), IF(dec&lt;0.1, INT(I10), IF(dec&lt;=0.7, INT(I10)+0.5, INT(I10)+1)))</f>
        <v/>
      </c>
      <c r="K10" s="43" t="n">
        <v>46153</v>
      </c>
      <c r="L10" s="36" t="inlineStr">
        <is>
          <t>JORGE DURAN</t>
        </is>
      </c>
      <c r="M10" s="91" t="n"/>
      <c r="N10" s="91" t="inlineStr">
        <is>
          <t>DIEGO</t>
        </is>
      </c>
    </row>
    <row r="11">
      <c r="A11" s="91" t="inlineStr">
        <is>
          <t>7639159686067030792</t>
        </is>
      </c>
      <c r="B11" s="83" t="inlineStr">
        <is>
          <t>langavibars</t>
        </is>
      </c>
      <c r="C11" s="83" t="inlineStr">
        <is>
          <t>MX</t>
        </is>
      </c>
      <c r="D11" s="35" t="n">
        <v>7776</v>
      </c>
      <c r="E11" s="40">
        <f>D11/1.16</f>
        <v/>
      </c>
      <c r="F11" s="40" t="n">
        <v>1919.29</v>
      </c>
      <c r="G11" s="40">
        <f>F11/1.16</f>
        <v/>
      </c>
      <c r="H11" s="87" t="n">
        <v>1711.78</v>
      </c>
      <c r="I11" s="42" t="n">
        <v>4.05</v>
      </c>
      <c r="J11" s="74">
        <f>LET(dec, I11-INT(I11), IF(dec&lt;0.1, INT(I11), IF(dec&lt;=0.7, INT(I11)+0.5, INT(I11)+1)))</f>
        <v/>
      </c>
      <c r="K11" s="43" t="n">
        <v>46154</v>
      </c>
      <c r="L11" s="36" t="inlineStr">
        <is>
          <t>JORGE DURAN</t>
        </is>
      </c>
      <c r="M11" s="63" t="n"/>
      <c r="N11" s="91" t="inlineStr">
        <is>
          <t>DIEGO</t>
        </is>
      </c>
    </row>
    <row r="12">
      <c r="A12" s="91" t="inlineStr">
        <is>
          <t>7639530330051578632</t>
        </is>
      </c>
      <c r="B12" s="83" t="inlineStr">
        <is>
          <t>langavibars</t>
        </is>
      </c>
      <c r="C12" s="83" t="inlineStr">
        <is>
          <t>MX</t>
        </is>
      </c>
      <c r="D12" s="35" t="n">
        <v>4283</v>
      </c>
      <c r="E12" s="40">
        <f>D12/1.16</f>
        <v/>
      </c>
      <c r="F12" s="40" t="n">
        <v>1056.55</v>
      </c>
      <c r="G12" s="40">
        <f>F12/1.16</f>
        <v/>
      </c>
      <c r="H12" s="87" t="n">
        <v>737.36</v>
      </c>
      <c r="I12" s="42" t="n">
        <v>4.05</v>
      </c>
      <c r="J12" s="74">
        <f>LET(dec, I12-INT(I12), IF(dec&lt;0.1, INT(I12), IF(dec&lt;=0.7, INT(I12)+0.5, INT(I12)+1)))</f>
        <v/>
      </c>
      <c r="K12" s="43" t="n">
        <v>46155</v>
      </c>
      <c r="L12" s="36" t="inlineStr">
        <is>
          <t>JORGE DURAN</t>
        </is>
      </c>
      <c r="M12" s="63" t="n"/>
      <c r="N12" s="91" t="inlineStr">
        <is>
          <t>DIEGO</t>
        </is>
      </c>
    </row>
    <row r="13">
      <c r="A13" s="91" t="inlineStr">
        <is>
          <t>7639901422926695175</t>
        </is>
      </c>
      <c r="B13" s="83" t="inlineStr">
        <is>
          <t>langavibars</t>
        </is>
      </c>
      <c r="C13" s="83" t="inlineStr">
        <is>
          <t>MX</t>
        </is>
      </c>
      <c r="D13" s="35" t="n">
        <v>4559.35</v>
      </c>
      <c r="E13" s="40">
        <f>D13/1.16</f>
        <v/>
      </c>
      <c r="F13" s="40" t="n">
        <v>1136.68</v>
      </c>
      <c r="G13" s="40">
        <f>F13/1.16</f>
        <v/>
      </c>
      <c r="H13" s="87" t="n">
        <v>683.64</v>
      </c>
      <c r="I13" s="42" t="n">
        <v>3.96</v>
      </c>
      <c r="J13" s="74">
        <f>LET(dec, I13-INT(I13), IF(dec&lt;0.1, INT(I13), IF(dec&lt;=0.7, INT(I13)+0.5, INT(I13)+1)))</f>
        <v/>
      </c>
      <c r="K13" s="43" t="n">
        <v>46156</v>
      </c>
      <c r="L13" s="36" t="inlineStr">
        <is>
          <t>JORGE DURAN</t>
        </is>
      </c>
      <c r="M13" s="63" t="n"/>
      <c r="N13" s="91" t="inlineStr">
        <is>
          <t>DIEGO</t>
        </is>
      </c>
    </row>
    <row r="14">
      <c r="A14" s="91" t="inlineStr">
        <is>
          <t>7640241802637495058</t>
        </is>
      </c>
      <c r="B14" s="83" t="inlineStr">
        <is>
          <t>langavibars</t>
        </is>
      </c>
      <c r="C14" s="83" t="inlineStr">
        <is>
          <t>MX</t>
        </is>
      </c>
      <c r="D14" s="35" t="n">
        <v>6592</v>
      </c>
      <c r="E14" s="40">
        <f>D14/1.16</f>
        <v/>
      </c>
      <c r="F14" s="40" t="n">
        <v>1098.45</v>
      </c>
      <c r="G14" s="40">
        <f>F14/1.16</f>
        <v/>
      </c>
      <c r="H14" s="87" t="n">
        <v>713.52</v>
      </c>
      <c r="I14" s="42" t="n">
        <v>6</v>
      </c>
      <c r="J14" s="74">
        <f>LET(dec, I14-INT(I14), IF(dec&lt;0.1, INT(I14), IF(dec&lt;=0.7, INT(I14)+0.5, INT(I14)+1)))</f>
        <v/>
      </c>
      <c r="K14" s="43" t="n">
        <v>46157</v>
      </c>
      <c r="L14" s="36" t="inlineStr">
        <is>
          <t>JORGE DURAN</t>
        </is>
      </c>
      <c r="M14" s="63" t="n"/>
      <c r="N14" s="91" t="inlineStr">
        <is>
          <t>DIEGO</t>
        </is>
      </c>
    </row>
    <row r="15">
      <c r="A15" s="91" t="inlineStr">
        <is>
          <t>7641250557705653000</t>
        </is>
      </c>
      <c r="B15" s="83" t="inlineStr">
        <is>
          <t>langavibars</t>
        </is>
      </c>
      <c r="C15" s="83" t="inlineStr">
        <is>
          <t>MX</t>
        </is>
      </c>
      <c r="D15" s="35" t="n">
        <v>4841</v>
      </c>
      <c r="E15" s="40">
        <f>D15/1.16</f>
        <v/>
      </c>
      <c r="F15" s="40" t="n">
        <v>1213.55</v>
      </c>
      <c r="G15" s="40">
        <f>F15/1.16</f>
        <v/>
      </c>
      <c r="H15" s="87" t="n">
        <v>907.47</v>
      </c>
      <c r="I15" s="42" t="n">
        <v>3.96</v>
      </c>
      <c r="J15" s="74">
        <f>LET(dec, I15-INT(I15), IF(dec&lt;0.1, INT(I15), IF(dec&lt;=0.7, INT(I15)+0.5, INT(I15)+1)))</f>
        <v/>
      </c>
      <c r="K15" s="43" t="n">
        <v>46160</v>
      </c>
      <c r="L15" s="36" t="inlineStr">
        <is>
          <t>JORGE DURAN</t>
        </is>
      </c>
      <c r="M15" s="63" t="n"/>
      <c r="N15" s="91" t="inlineStr">
        <is>
          <t>DIEGO</t>
        </is>
      </c>
    </row>
    <row r="16">
      <c r="A16" s="91" t="inlineStr">
        <is>
          <t>7641619523657517832</t>
        </is>
      </c>
      <c r="B16" s="83" t="inlineStr">
        <is>
          <t>langavibars</t>
        </is>
      </c>
      <c r="C16" s="83" t="inlineStr">
        <is>
          <t>MX</t>
        </is>
      </c>
      <c r="D16" s="35" t="n">
        <v>2454</v>
      </c>
      <c r="E16" s="40">
        <f>D16/1.16</f>
        <v/>
      </c>
      <c r="F16" s="40" t="n">
        <v>616.21</v>
      </c>
      <c r="G16" s="40">
        <f>F16/1.16</f>
        <v/>
      </c>
      <c r="H16" s="87" t="n">
        <v>0</v>
      </c>
      <c r="I16" s="42" t="n">
        <v>3.98</v>
      </c>
      <c r="J16" s="74">
        <f>LET(dec, I16-INT(I16), IF(dec&lt;0.1, INT(I16), IF(dec&lt;=0.7, INT(I16)+0.5, INT(I16)+1)))</f>
        <v/>
      </c>
      <c r="K16" s="43" t="n">
        <v>46161</v>
      </c>
      <c r="L16" s="36" t="inlineStr">
        <is>
          <t>JORGE DURAN</t>
        </is>
      </c>
      <c r="M16" s="63" t="n"/>
      <c r="N16" s="91" t="inlineStr">
        <is>
          <t>DIEGO</t>
        </is>
      </c>
    </row>
    <row r="17">
      <c r="A17" s="91" t="inlineStr">
        <is>
          <t>7642008134860507922</t>
        </is>
      </c>
      <c r="B17" s="83" t="inlineStr">
        <is>
          <t>langavibars</t>
        </is>
      </c>
      <c r="C17" s="83" t="inlineStr">
        <is>
          <t>MX</t>
        </is>
      </c>
      <c r="D17" s="35" t="n">
        <v>5168</v>
      </c>
      <c r="E17" s="40">
        <f>D17/1.16</f>
        <v/>
      </c>
      <c r="F17" s="40" t="n">
        <v>1290.43</v>
      </c>
      <c r="G17" s="40">
        <f>F17/1.16</f>
        <v/>
      </c>
      <c r="H17" s="87" t="n">
        <v>496.83</v>
      </c>
      <c r="I17" s="42" t="n">
        <v>4.01</v>
      </c>
      <c r="J17" s="74">
        <f>LET(dec, I17-INT(I17), IF(dec&lt;0.1, INT(I17), IF(dec&lt;=0.7, INT(I17)+0.5, INT(I17)+1)))</f>
        <v/>
      </c>
      <c r="K17" s="43" t="n">
        <v>46162</v>
      </c>
      <c r="L17" s="91" t="inlineStr">
        <is>
          <t>EMILIANO</t>
        </is>
      </c>
      <c r="M17" s="63" t="n"/>
      <c r="N17" s="91" t="inlineStr">
        <is>
          <t>DIEGO</t>
        </is>
      </c>
    </row>
    <row r="18">
      <c r="A18" s="91" t="inlineStr">
        <is>
          <t>7642732464231107335</t>
        </is>
      </c>
      <c r="B18" s="83" t="inlineStr">
        <is>
          <t>langavibars</t>
        </is>
      </c>
      <c r="C18" s="83" t="inlineStr">
        <is>
          <t>MX</t>
        </is>
      </c>
      <c r="D18" s="35" t="n">
        <v>4726</v>
      </c>
      <c r="E18" s="40">
        <f>D18/1.16</f>
        <v/>
      </c>
      <c r="F18" s="40" t="n">
        <v>1178.88</v>
      </c>
      <c r="G18" s="40">
        <f>F18/1.16</f>
        <v/>
      </c>
      <c r="H18" s="87" t="n">
        <v>472.93</v>
      </c>
      <c r="I18" s="42" t="n">
        <v>4.01</v>
      </c>
      <c r="J18" s="74">
        <f>LET(dec, I18-INT(I18), IF(dec&lt;0.1, INT(I18), IF(dec&lt;=0.7, INT(I18)+0.5, INT(I18)+1)))</f>
        <v/>
      </c>
      <c r="K18" s="43" t="n">
        <v>46164</v>
      </c>
      <c r="L18" s="91" t="inlineStr">
        <is>
          <t>EMILIANO</t>
        </is>
      </c>
      <c r="M18" s="63" t="n"/>
      <c r="N18" s="91" t="inlineStr">
        <is>
          <t>DIEGO</t>
        </is>
      </c>
    </row>
    <row r="19">
      <c r="A19" s="91" t="inlineStr">
        <is>
          <t>7643476549539597063</t>
        </is>
      </c>
      <c r="B19" s="83" t="inlineStr">
        <is>
          <t>langavibars</t>
        </is>
      </c>
      <c r="C19" s="83" t="inlineStr">
        <is>
          <t>MX</t>
        </is>
      </c>
      <c r="D19" s="35" t="n">
        <v>7303</v>
      </c>
      <c r="E19" s="40">
        <f>D19/1.16</f>
        <v/>
      </c>
      <c r="F19" s="40" t="n">
        <v>1750.08</v>
      </c>
      <c r="G19" s="40">
        <f>F19/1.16</f>
        <v/>
      </c>
      <c r="H19" s="87" t="n">
        <v>495.5</v>
      </c>
      <c r="I19" s="42" t="n">
        <v>4.17</v>
      </c>
      <c r="J19" s="74" t="n">
        <v>4</v>
      </c>
      <c r="K19" s="43" t="n">
        <v>46166</v>
      </c>
      <c r="L19" s="36" t="inlineStr">
        <is>
          <t>JORGE DURAN</t>
        </is>
      </c>
      <c r="M19" s="63" t="n"/>
      <c r="N19" s="91" t="inlineStr">
        <is>
          <t>DIEGO</t>
        </is>
      </c>
    </row>
    <row r="20">
      <c r="A20" s="91" t="inlineStr">
        <is>
          <t>7643983368295549703</t>
        </is>
      </c>
      <c r="B20" s="83" t="inlineStr">
        <is>
          <t>langavibars</t>
        </is>
      </c>
      <c r="C20" s="83" t="inlineStr">
        <is>
          <t>MX</t>
        </is>
      </c>
      <c r="D20" s="35" t="n">
        <v>6233</v>
      </c>
      <c r="E20" s="40">
        <f>D20/1.16</f>
        <v/>
      </c>
      <c r="F20" s="40" t="n">
        <v>1039.92</v>
      </c>
      <c r="G20" s="40">
        <f>F20/1.16</f>
        <v/>
      </c>
      <c r="H20" s="87" t="n">
        <v>794.8099999999999</v>
      </c>
      <c r="I20" s="42" t="n">
        <v>5.99</v>
      </c>
      <c r="J20" s="74">
        <f>LET(dec, I20-INT(I20), IF(dec&lt;0.1, INT(I20), IF(dec&lt;=0.7, INT(I20)+0.5, INT(I20)+1)))</f>
        <v/>
      </c>
      <c r="K20" s="43" t="n">
        <v>46167</v>
      </c>
      <c r="L20" s="91" t="inlineStr">
        <is>
          <t>EMILIANO</t>
        </is>
      </c>
      <c r="M20" s="63" t="n"/>
      <c r="N20" s="91" t="inlineStr">
        <is>
          <t>DIEGO</t>
        </is>
      </c>
    </row>
    <row r="21">
      <c r="A21" s="91" t="inlineStr">
        <is>
          <t>7644323523367832328</t>
        </is>
      </c>
      <c r="B21" s="83" t="inlineStr">
        <is>
          <t>langavibars</t>
        </is>
      </c>
      <c r="C21" s="83" t="inlineStr">
        <is>
          <t>MX</t>
        </is>
      </c>
      <c r="D21" s="35" t="n">
        <v>11147</v>
      </c>
      <c r="E21" s="40">
        <f>D21/1.16</f>
        <v/>
      </c>
      <c r="F21" s="40" t="n">
        <v>1859.55</v>
      </c>
      <c r="G21" s="40">
        <f>F21/1.16</f>
        <v/>
      </c>
      <c r="H21" s="87" t="n">
        <v>797.24</v>
      </c>
      <c r="I21" s="42" t="n">
        <v>5.99</v>
      </c>
      <c r="J21" s="74">
        <f>LET(dec, I21-INT(I21), IF(dec&lt;0.1, INT(I21), IF(dec&lt;=0.7, INT(I21)+0.5, INT(I21)+1)))</f>
        <v/>
      </c>
      <c r="K21" s="43" t="n">
        <v>46168</v>
      </c>
      <c r="L21" s="91" t="inlineStr">
        <is>
          <t>EMILIANO</t>
        </is>
      </c>
      <c r="M21" s="36" t="inlineStr">
        <is>
          <t>JORGE DURAN</t>
        </is>
      </c>
      <c r="N21" s="91" t="inlineStr">
        <is>
          <t>DIEGO</t>
        </is>
      </c>
    </row>
    <row r="22">
      <c r="A22" s="91" t="inlineStr">
        <is>
          <t>7644694592532515602</t>
        </is>
      </c>
      <c r="B22" s="83" t="inlineStr">
        <is>
          <t>langavibars</t>
        </is>
      </c>
      <c r="C22" s="83" t="inlineStr">
        <is>
          <t>MX</t>
        </is>
      </c>
      <c r="D22" s="35" t="n">
        <v>8774</v>
      </c>
      <c r="E22" s="40">
        <f>D22/1.16</f>
        <v/>
      </c>
      <c r="F22" s="40" t="n">
        <v>1462.79</v>
      </c>
      <c r="G22" s="40" t="n">
        <v>1027.71</v>
      </c>
      <c r="H22" s="87" t="n">
        <v>1027.71</v>
      </c>
      <c r="I22" s="42" t="n">
        <v>5.99</v>
      </c>
      <c r="J22" s="74">
        <f>LET(dec, I22-INT(I22), IF(dec&lt;0.1, INT(I22), IF(dec&lt;=0.7, INT(I22)+0.5, INT(I22)+1)))</f>
        <v/>
      </c>
      <c r="K22" s="43" t="n">
        <v>46169</v>
      </c>
      <c r="L22" s="91" t="inlineStr">
        <is>
          <t>EMILIANO</t>
        </is>
      </c>
      <c r="M22" s="36" t="inlineStr">
        <is>
          <t>JORGE DURAN</t>
        </is>
      </c>
      <c r="N22" s="91" t="inlineStr">
        <is>
          <t>DIEGO</t>
        </is>
      </c>
    </row>
    <row r="23">
      <c r="E23" s="54">
        <f>SUM(E2:E22)</f>
        <v/>
      </c>
      <c r="K23" s="84" t="n"/>
    </row>
    <row r="24">
      <c r="K24" s="84" t="n"/>
    </row>
    <row r="25">
      <c r="K25" s="84" t="n"/>
    </row>
    <row r="26">
      <c r="A26" s="7" t="inlineStr">
        <is>
          <t>Room ID</t>
        </is>
      </c>
      <c r="B26" s="7" t="inlineStr">
        <is>
          <t>TT Handle</t>
        </is>
      </c>
      <c r="C26" s="7" t="inlineStr">
        <is>
          <t>Country</t>
        </is>
      </c>
      <c r="D26" s="7" t="inlineStr">
        <is>
          <t>GMV</t>
        </is>
      </c>
      <c r="E26" s="7" t="inlineStr">
        <is>
          <t>GMV/sin EVA</t>
        </is>
      </c>
      <c r="F26" s="7" t="inlineStr">
        <is>
          <t>GMV PER HOUR</t>
        </is>
      </c>
      <c r="G26" s="7" t="inlineStr">
        <is>
          <t>GMV PER HOUR/sin EVA</t>
        </is>
      </c>
      <c r="H26" s="7" t="inlineStr">
        <is>
          <t>Ads Cost</t>
        </is>
      </c>
      <c r="I26" s="9" t="inlineStr">
        <is>
          <t>Duration (H)</t>
        </is>
      </c>
      <c r="J26" s="70" t="inlineStr">
        <is>
          <t>Duration （Formula）</t>
        </is>
      </c>
      <c r="K26" s="101" t="inlineStr">
        <is>
          <t>Start date</t>
        </is>
      </c>
      <c r="L26" s="71" t="inlineStr">
        <is>
          <t>HOST1</t>
        </is>
      </c>
      <c r="M26" s="71" t="inlineStr">
        <is>
          <t xml:space="preserve">HOST 2 </t>
        </is>
      </c>
      <c r="N26" s="71" t="inlineStr">
        <is>
          <t>Operator</t>
        </is>
      </c>
    </row>
    <row r="27">
      <c r="A27" s="91" t="inlineStr">
        <is>
          <t>7645405902094273288</t>
        </is>
      </c>
      <c r="B27" s="83" t="inlineStr">
        <is>
          <t>langavibars</t>
        </is>
      </c>
      <c r="C27" s="83" t="inlineStr">
        <is>
          <t>MX</t>
        </is>
      </c>
      <c r="D27" s="35" t="n">
        <v>2492.51</v>
      </c>
      <c r="E27" s="40">
        <f>D27/1.16</f>
        <v/>
      </c>
      <c r="F27" s="40">
        <f>D27/J27</f>
        <v/>
      </c>
      <c r="G27" s="40">
        <f>F27/1.16</f>
        <v/>
      </c>
      <c r="H27" s="87" t="n">
        <v>805.83</v>
      </c>
      <c r="I27" s="42" t="n">
        <v>4</v>
      </c>
      <c r="J27" s="74">
        <f>LET(dec, I27-INT(I27), IF(dec&lt;0.1, INT(I27), IF(dec&lt;=0.7, INT(I27)+0.5, INT(I27)+1)))</f>
        <v/>
      </c>
      <c r="K27" s="43" t="n">
        <v>46171</v>
      </c>
      <c r="L27" s="36" t="inlineStr">
        <is>
          <t>JORGE DURAN</t>
        </is>
      </c>
      <c r="M27" s="63" t="n"/>
      <c r="N27" s="91" t="inlineStr">
        <is>
          <t>DIEGO</t>
        </is>
      </c>
    </row>
    <row r="28">
      <c r="A28" s="91" t="inlineStr">
        <is>
          <t>7646209870340852488</t>
        </is>
      </c>
      <c r="B28" s="83" t="inlineStr">
        <is>
          <t>langavibars</t>
        </is>
      </c>
      <c r="C28" s="83" t="inlineStr">
        <is>
          <t>MX</t>
        </is>
      </c>
      <c r="D28" s="35" t="n">
        <v>3586.99</v>
      </c>
      <c r="E28" s="40">
        <f>D28/1.16</f>
        <v/>
      </c>
      <c r="F28" s="40">
        <f>D28/J28</f>
        <v/>
      </c>
      <c r="G28" s="40">
        <f>F28/1.16</f>
        <v/>
      </c>
      <c r="H28" s="87" t="n">
        <v>85.40000000000001</v>
      </c>
      <c r="I28" s="42" t="n">
        <v>4</v>
      </c>
      <c r="J28" s="74">
        <f>LET(dec, I28-INT(I28), IF(dec&lt;0.1, INT(I28), IF(dec&lt;=0.7, INT(I28)+0.5, INT(I28)+1)))</f>
        <v/>
      </c>
      <c r="K28" s="43" t="n">
        <v>46173</v>
      </c>
      <c r="L28" s="36" t="inlineStr">
        <is>
          <t>JORGE DURAN</t>
        </is>
      </c>
      <c r="M28" s="91" t="n"/>
      <c r="N28" s="91" t="inlineStr">
        <is>
          <t>DIEGO</t>
        </is>
      </c>
    </row>
    <row r="29">
      <c r="A29" s="91" t="inlineStr">
        <is>
          <t>7646565822592289554</t>
        </is>
      </c>
      <c r="B29" s="83" t="inlineStr">
        <is>
          <t>langavibars</t>
        </is>
      </c>
      <c r="C29" s="83" t="inlineStr">
        <is>
          <t>MX</t>
        </is>
      </c>
      <c r="D29" s="35" t="n">
        <v>2459.39</v>
      </c>
      <c r="E29" s="40">
        <f>D29/1.16</f>
        <v/>
      </c>
      <c r="F29" s="40">
        <f>D29/J29</f>
        <v/>
      </c>
      <c r="G29" s="40">
        <f>F29/1.16</f>
        <v/>
      </c>
      <c r="H29" s="87" t="n">
        <v>500.88</v>
      </c>
      <c r="I29" s="42" t="n">
        <v>5</v>
      </c>
      <c r="J29" s="74">
        <f>LET(dec, I29-INT(I29), IF(dec&lt;0.1, INT(I29), IF(dec&lt;=0.7, INT(I29)+0.5, INT(I29)+1)))</f>
        <v/>
      </c>
      <c r="K29" s="43" t="n">
        <v>46174</v>
      </c>
      <c r="L29" s="63" t="inlineStr">
        <is>
          <t>EMILIANO</t>
        </is>
      </c>
      <c r="M29" s="91" t="n"/>
      <c r="N29" s="91" t="inlineStr">
        <is>
          <t>DIEGO</t>
        </is>
      </c>
    </row>
    <row r="30">
      <c r="A30" s="91" t="inlineStr">
        <is>
          <t>7646936557529680658</t>
        </is>
      </c>
      <c r="B30" s="83" t="inlineStr">
        <is>
          <t>langavibars</t>
        </is>
      </c>
      <c r="C30" s="83" t="inlineStr">
        <is>
          <t>MX</t>
        </is>
      </c>
      <c r="D30" s="35" t="n">
        <v>6216.87</v>
      </c>
      <c r="E30" s="40">
        <f>D30/1.16</f>
        <v/>
      </c>
      <c r="F30" s="40">
        <f>D30/J30</f>
        <v/>
      </c>
      <c r="G30" s="40">
        <f>F30/1.16</f>
        <v/>
      </c>
      <c r="H30" s="87" t="n">
        <v>602.29</v>
      </c>
      <c r="I30" s="42" t="n">
        <v>5</v>
      </c>
      <c r="J30" s="74">
        <f>LET(dec, I30-INT(I30), IF(dec&lt;0.1, INT(I30), IF(dec&lt;=0.7, INT(I30)+0.5, INT(I30)+1)))</f>
        <v/>
      </c>
      <c r="K30" s="43" t="n">
        <v>46175</v>
      </c>
      <c r="L30" s="63" t="inlineStr">
        <is>
          <t>EMILIANO</t>
        </is>
      </c>
      <c r="M30" s="91" t="n"/>
      <c r="N30" s="91" t="inlineStr">
        <is>
          <t>DIEGO</t>
        </is>
      </c>
    </row>
    <row r="31">
      <c r="A31" s="91" t="inlineStr">
        <is>
          <t>7648049917688105735</t>
        </is>
      </c>
      <c r="B31" s="83" t="inlineStr">
        <is>
          <t>langavibars</t>
        </is>
      </c>
      <c r="C31" s="83" t="inlineStr">
        <is>
          <t>MX</t>
        </is>
      </c>
      <c r="D31" s="35" t="n">
        <v>4493.32</v>
      </c>
      <c r="E31" s="40">
        <f>D31/1.16</f>
        <v/>
      </c>
      <c r="F31" s="40">
        <f>D31/J31</f>
        <v/>
      </c>
      <c r="G31" s="40">
        <f>F31/1.16</f>
        <v/>
      </c>
      <c r="H31" s="87" t="n">
        <v>0</v>
      </c>
      <c r="I31" s="42" t="n">
        <v>3</v>
      </c>
      <c r="J31" s="74">
        <f>LET(dec, I31-INT(I31), IF(dec&lt;0.1, INT(I31), IF(dec&lt;=0.7, INT(I31)+0.5, INT(I31)+1)))</f>
        <v/>
      </c>
      <c r="K31" s="43" t="n">
        <v>46178</v>
      </c>
      <c r="L31" s="91" t="inlineStr">
        <is>
          <t>EMILIANO</t>
        </is>
      </c>
      <c r="M31" s="36" t="inlineStr">
        <is>
          <t>JORGE DURAN</t>
        </is>
      </c>
      <c r="N31" s="91" t="inlineStr">
        <is>
          <t>DIEGO</t>
        </is>
      </c>
    </row>
    <row r="32">
      <c r="A32" s="91" t="inlineStr">
        <is>
          <t>7648793437894527762</t>
        </is>
      </c>
      <c r="B32" s="83" t="inlineStr">
        <is>
          <t>langavibars</t>
        </is>
      </c>
      <c r="C32" s="83" t="inlineStr">
        <is>
          <t>MX</t>
        </is>
      </c>
      <c r="D32" s="35" t="n">
        <v>5013.09</v>
      </c>
      <c r="E32" s="40">
        <f>D32/1.16</f>
        <v/>
      </c>
      <c r="F32" s="40">
        <f>D32/J32</f>
        <v/>
      </c>
      <c r="G32" s="40">
        <f>F32/1.16</f>
        <v/>
      </c>
      <c r="H32" s="87" t="n">
        <v>158.3</v>
      </c>
      <c r="I32" s="42" t="n">
        <v>3</v>
      </c>
      <c r="J32" s="74">
        <f>LET(dec, I32-INT(I32), IF(dec&lt;0.1, INT(I32), IF(dec&lt;=0.7, INT(I32)+0.5, INT(I32)+1)))</f>
        <v/>
      </c>
      <c r="K32" s="43" t="n">
        <v>46180</v>
      </c>
      <c r="L32" s="91" t="inlineStr">
        <is>
          <t>EMILIANO</t>
        </is>
      </c>
      <c r="M32" s="91" t="n"/>
      <c r="N32" s="91" t="inlineStr">
        <is>
          <t>DIEGO</t>
        </is>
      </c>
    </row>
    <row r="33">
      <c r="A33" s="91" t="inlineStr">
        <is>
          <t>7649163067686701831</t>
        </is>
      </c>
      <c r="B33" s="83" t="inlineStr">
        <is>
          <t>langavibars</t>
        </is>
      </c>
      <c r="C33" s="83" t="inlineStr">
        <is>
          <t>MX</t>
        </is>
      </c>
      <c r="D33" s="35" t="n">
        <v>8950.780000000001</v>
      </c>
      <c r="E33" s="40">
        <f>D33/1.16</f>
        <v/>
      </c>
      <c r="F33" s="40">
        <f>D33/J33</f>
        <v/>
      </c>
      <c r="G33" s="40">
        <f>F33/1.16</f>
        <v/>
      </c>
      <c r="H33" s="87" t="n">
        <v>132.64</v>
      </c>
      <c r="I33" s="42" t="n">
        <v>3</v>
      </c>
      <c r="J33" s="74">
        <f>LET(dec, I33-INT(I33), IF(dec&lt;0.1, INT(I33), IF(dec&lt;=0.7, INT(I33)+0.5, INT(I33)+1)))</f>
        <v/>
      </c>
      <c r="K33" s="43" t="n">
        <v>46181</v>
      </c>
      <c r="L33" s="91" t="inlineStr">
        <is>
          <t>EMILIANO</t>
        </is>
      </c>
      <c r="M33" s="36" t="inlineStr">
        <is>
          <t>JORGE DURAN</t>
        </is>
      </c>
      <c r="N33" s="91" t="inlineStr">
        <is>
          <t>DIEGO</t>
        </is>
      </c>
    </row>
    <row r="34">
      <c r="A34" s="91" t="inlineStr">
        <is>
          <t>7649905249284639495</t>
        </is>
      </c>
      <c r="B34" s="83" t="inlineStr">
        <is>
          <t>langavibars</t>
        </is>
      </c>
      <c r="C34" s="83" t="inlineStr">
        <is>
          <t>MX</t>
        </is>
      </c>
      <c r="D34" s="35" t="n">
        <v>3210.1</v>
      </c>
      <c r="E34" s="40">
        <f>D34/1.16</f>
        <v/>
      </c>
      <c r="F34" s="40">
        <f>D34/J34</f>
        <v/>
      </c>
      <c r="G34" s="40">
        <f>F34/1.16</f>
        <v/>
      </c>
      <c r="H34" s="87" t="n">
        <v>0</v>
      </c>
      <c r="I34" s="42" t="n">
        <v>3</v>
      </c>
      <c r="J34" s="74">
        <f>LET(dec, I34-INT(I34), IF(dec&lt;0.1, INT(I34), IF(dec&lt;=0.7, INT(I34)+0.5, INT(I34)+1)))</f>
        <v/>
      </c>
      <c r="K34" s="43" t="n">
        <v>46183</v>
      </c>
      <c r="L34" s="91" t="inlineStr">
        <is>
          <t>EMILIANO</t>
        </is>
      </c>
      <c r="M34" s="91" t="n"/>
      <c r="N34" s="91" t="inlineStr">
        <is>
          <t>DIEGO</t>
        </is>
      </c>
    </row>
    <row r="35">
      <c r="A35" s="91" t="inlineStr">
        <is>
          <t>7651018649893571335</t>
        </is>
      </c>
      <c r="B35" s="83" t="inlineStr">
        <is>
          <t>langavibars</t>
        </is>
      </c>
      <c r="C35" s="83" t="inlineStr">
        <is>
          <t>MX</t>
        </is>
      </c>
      <c r="D35" s="35" t="n">
        <v>3592.66</v>
      </c>
      <c r="E35" s="40">
        <f>D35/1.16</f>
        <v/>
      </c>
      <c r="F35" s="40">
        <f>D35/J35</f>
        <v/>
      </c>
      <c r="G35" s="40">
        <f>F35/1.16</f>
        <v/>
      </c>
      <c r="H35" s="87" t="n">
        <v>343.95</v>
      </c>
      <c r="I35" s="42" t="n">
        <v>3</v>
      </c>
      <c r="J35" s="74">
        <f>LET(dec, I35-INT(I35), IF(dec&lt;0.1, INT(I35), IF(dec&lt;=0.7, INT(I35)+0.5, INT(I35)+1)))</f>
        <v/>
      </c>
      <c r="K35" s="43" t="n">
        <v>46186</v>
      </c>
      <c r="L35" s="36" t="inlineStr">
        <is>
          <t>JORGE DURAN</t>
        </is>
      </c>
      <c r="M35" s="91" t="n"/>
      <c r="N35" s="91" t="inlineStr">
        <is>
          <t>DIEGO</t>
        </is>
      </c>
    </row>
    <row r="36">
      <c r="A36" s="91" t="inlineStr">
        <is>
          <t>7651760687395474194</t>
        </is>
      </c>
      <c r="B36" s="83" t="inlineStr">
        <is>
          <t>langavibars</t>
        </is>
      </c>
      <c r="C36" s="83" t="inlineStr">
        <is>
          <t>MX</t>
        </is>
      </c>
      <c r="D36" s="35" t="n">
        <v>4388.1</v>
      </c>
      <c r="E36" s="40">
        <f>D36/1.16</f>
        <v/>
      </c>
      <c r="F36" s="40">
        <f>D36/J36</f>
        <v/>
      </c>
      <c r="G36" s="40">
        <f>F36/1.16</f>
        <v/>
      </c>
      <c r="H36" s="87" t="n">
        <v>855.67</v>
      </c>
      <c r="I36" s="42" t="n">
        <v>5</v>
      </c>
      <c r="J36" s="74">
        <f>LET(dec, I36-INT(I36), IF(dec&lt;0.1, INT(I36), IF(dec&lt;=0.7, INT(I36)+0.5, INT(I36)+1)))</f>
        <v/>
      </c>
      <c r="K36" s="43" t="n">
        <v>46188</v>
      </c>
      <c r="L36" s="36" t="inlineStr">
        <is>
          <t>JORGE DURAN</t>
        </is>
      </c>
      <c r="M36" s="91" t="n"/>
      <c r="N36" s="91" t="inlineStr">
        <is>
          <t>DIEGO</t>
        </is>
      </c>
    </row>
    <row r="37">
      <c r="A37" s="91" t="inlineStr">
        <is>
          <t>7653616129579698962</t>
        </is>
      </c>
      <c r="B37" s="83" t="inlineStr">
        <is>
          <t>langavibars</t>
        </is>
      </c>
      <c r="C37" s="83" t="inlineStr">
        <is>
          <t>MX</t>
        </is>
      </c>
      <c r="D37" s="35" t="n">
        <v>3733.52</v>
      </c>
      <c r="E37" s="40">
        <f>D37/1.16</f>
        <v/>
      </c>
      <c r="F37" s="40">
        <f>D37/J37</f>
        <v/>
      </c>
      <c r="G37" s="40">
        <f>F37/1.16</f>
        <v/>
      </c>
      <c r="H37" s="87" t="n">
        <v>420.79</v>
      </c>
      <c r="I37" s="42" t="n">
        <v>3</v>
      </c>
      <c r="J37" s="74">
        <f>LET(dec, I37-INT(I37), IF(dec&lt;0.1, INT(I37), IF(dec&lt;=0.7, INT(I37)+0.5, INT(I37)+1)))</f>
        <v/>
      </c>
      <c r="K37" s="43" t="n">
        <v>46193</v>
      </c>
      <c r="L37" s="36" t="inlineStr">
        <is>
          <t>JORGE DURAN</t>
        </is>
      </c>
      <c r="M37" s="63" t="n"/>
      <c r="N37" s="91" t="inlineStr">
        <is>
          <t>DIEGO</t>
        </is>
      </c>
    </row>
    <row r="38">
      <c r="A38" s="91" t="inlineStr">
        <is>
          <t>7654359302765546260</t>
        </is>
      </c>
      <c r="B38" s="83" t="inlineStr">
        <is>
          <t>langavibars</t>
        </is>
      </c>
      <c r="C38" s="83" t="inlineStr">
        <is>
          <t>MX</t>
        </is>
      </c>
      <c r="D38" s="35" t="n">
        <v>8200.690000000001</v>
      </c>
      <c r="E38" s="40">
        <f>D38/1.16</f>
        <v/>
      </c>
      <c r="F38" s="40">
        <f>D38/J38</f>
        <v/>
      </c>
      <c r="G38" s="40">
        <f>F38/1.16</f>
        <v/>
      </c>
      <c r="H38" s="87" t="n">
        <v>795.83</v>
      </c>
      <c r="I38" s="42" t="n">
        <v>3</v>
      </c>
      <c r="J38" s="74">
        <f>LET(dec, I38-INT(I38), IF(dec&lt;0.1, INT(I38), IF(dec&lt;=0.7, INT(I38)+0.5, INT(I38)+1)))</f>
        <v/>
      </c>
      <c r="K38" s="43" t="n">
        <v>46195</v>
      </c>
      <c r="L38" s="91" t="inlineStr">
        <is>
          <t>EMILIANO</t>
        </is>
      </c>
      <c r="M38" s="63" t="n"/>
      <c r="N38" s="91" t="inlineStr">
        <is>
          <t>DIEGO</t>
        </is>
      </c>
    </row>
    <row r="39">
      <c r="A39" s="91" t="inlineStr">
        <is>
          <t>7654729393245162260</t>
        </is>
      </c>
      <c r="B39" s="83" t="inlineStr">
        <is>
          <t>langavibars</t>
        </is>
      </c>
      <c r="C39" s="83" t="inlineStr">
        <is>
          <t>MX</t>
        </is>
      </c>
      <c r="D39" s="35" t="n">
        <v>5151.97</v>
      </c>
      <c r="E39" s="40">
        <f>D39/1.16</f>
        <v/>
      </c>
      <c r="F39" s="40">
        <f>D39/J39</f>
        <v/>
      </c>
      <c r="G39" s="40">
        <f>F39/1.16</f>
        <v/>
      </c>
      <c r="H39" s="87" t="n">
        <v>471.82</v>
      </c>
      <c r="I39" s="42" t="n">
        <v>4</v>
      </c>
      <c r="J39" s="74">
        <f>LET(dec, I39-INT(I39), IF(dec&lt;0.1, INT(I39), IF(dec&lt;=0.7, INT(I39)+0.5, INT(I39)+1)))</f>
        <v/>
      </c>
      <c r="K39" s="43" t="n">
        <v>46196</v>
      </c>
      <c r="L39" s="36" t="inlineStr">
        <is>
          <t>JORGE DURAN</t>
        </is>
      </c>
      <c r="M39" s="63" t="n"/>
      <c r="N39" s="91" t="inlineStr">
        <is>
          <t>DIEGO</t>
        </is>
      </c>
    </row>
    <row r="40">
      <c r="A40" s="91" t="inlineStr">
        <is>
          <t>7655471826390321941</t>
        </is>
      </c>
      <c r="B40" s="83" t="inlineStr">
        <is>
          <t>langavibars</t>
        </is>
      </c>
      <c r="C40" s="83" t="inlineStr">
        <is>
          <t>MX</t>
        </is>
      </c>
      <c r="D40" s="35" t="n">
        <v>9527.27</v>
      </c>
      <c r="E40" s="40">
        <f>D40/1.16</f>
        <v/>
      </c>
      <c r="F40" s="40">
        <f>D40/J40</f>
        <v/>
      </c>
      <c r="G40" s="40">
        <f>F40/1.16</f>
        <v/>
      </c>
      <c r="H40" s="87" t="n">
        <v>766.84</v>
      </c>
      <c r="I40" s="42" t="n">
        <v>3</v>
      </c>
      <c r="J40" s="74">
        <f>LET(dec, I40-INT(I40), IF(dec&lt;0.1, INT(I40), IF(dec&lt;=0.7, INT(I40)+0.5, INT(I40)+1)))</f>
        <v/>
      </c>
      <c r="K40" s="43" t="n">
        <v>46198</v>
      </c>
      <c r="L40" s="91" t="inlineStr">
        <is>
          <t>EMILIANO</t>
        </is>
      </c>
      <c r="M40" s="63" t="n"/>
      <c r="N40" s="91" t="inlineStr">
        <is>
          <t>DIEGO</t>
        </is>
      </c>
    </row>
    <row r="41">
      <c r="A41" s="91" t="inlineStr">
        <is>
          <t>7655842715945765652</t>
        </is>
      </c>
      <c r="B41" s="83" t="inlineStr">
        <is>
          <t>langavibars</t>
        </is>
      </c>
      <c r="C41" s="83" t="inlineStr">
        <is>
          <t>MX</t>
        </is>
      </c>
      <c r="D41" s="35" t="n">
        <v>3979.61</v>
      </c>
      <c r="E41" s="40">
        <f>D41/1.16</f>
        <v/>
      </c>
      <c r="F41" s="40">
        <f>D41/J41</f>
        <v/>
      </c>
      <c r="G41" s="40">
        <f>F41/1.16</f>
        <v/>
      </c>
      <c r="H41" s="87" t="n">
        <v>735.2</v>
      </c>
      <c r="I41" s="42" t="n">
        <v>3</v>
      </c>
      <c r="J41" s="74">
        <f>LET(dec, I41-INT(I41), IF(dec&lt;0.1, INT(I41), IF(dec&lt;=0.7, INT(I41)+0.5, INT(I41)+1)))</f>
        <v/>
      </c>
      <c r="K41" s="43" t="n">
        <v>46199</v>
      </c>
      <c r="L41" s="36" t="inlineStr">
        <is>
          <t>JORGE DURAN</t>
        </is>
      </c>
      <c r="M41" s="63" t="n"/>
      <c r="N41" s="91" t="inlineStr">
        <is>
          <t>DIEGO</t>
        </is>
      </c>
    </row>
    <row r="42">
      <c r="K42" s="84" t="n"/>
    </row>
    <row r="43">
      <c r="A43" s="7" t="inlineStr">
        <is>
          <t>Room ID</t>
        </is>
      </c>
      <c r="B43" s="7" t="inlineStr">
        <is>
          <t>TT Handle</t>
        </is>
      </c>
      <c r="C43" s="7" t="inlineStr">
        <is>
          <t>Country</t>
        </is>
      </c>
      <c r="D43" s="7" t="inlineStr">
        <is>
          <t>GMV</t>
        </is>
      </c>
      <c r="E43" s="7" t="inlineStr">
        <is>
          <t>GMV/sin EVA</t>
        </is>
      </c>
      <c r="F43" s="7" t="inlineStr">
        <is>
          <t>GMV PER HOUR</t>
        </is>
      </c>
      <c r="G43" s="7" t="inlineStr">
        <is>
          <t>GMV PER HOUR/sin EVA</t>
        </is>
      </c>
      <c r="H43" s="7" t="inlineStr">
        <is>
          <t>Ads Cost</t>
        </is>
      </c>
      <c r="I43" s="9" t="inlineStr">
        <is>
          <t>Duration (H)</t>
        </is>
      </c>
      <c r="J43" s="70" t="inlineStr">
        <is>
          <t>Duration （Formula）</t>
        </is>
      </c>
      <c r="K43" s="101" t="inlineStr">
        <is>
          <t>Start date</t>
        </is>
      </c>
      <c r="L43" s="71" t="inlineStr">
        <is>
          <t>HOST1</t>
        </is>
      </c>
      <c r="M43" s="71" t="inlineStr">
        <is>
          <t xml:space="preserve">HOST 2 </t>
        </is>
      </c>
      <c r="N43" s="71" t="inlineStr">
        <is>
          <t>Operator</t>
        </is>
      </c>
    </row>
    <row r="44">
      <c r="A44" s="91" t="inlineStr">
        <is>
          <t>7656956358747704085</t>
        </is>
      </c>
      <c r="B44" s="83" t="inlineStr">
        <is>
          <t>langavibars</t>
        </is>
      </c>
      <c r="C44" s="83" t="inlineStr">
        <is>
          <t>MX</t>
        </is>
      </c>
      <c r="D44" s="35" t="n">
        <v>15212.83</v>
      </c>
      <c r="E44" s="40">
        <f>D44/1.16</f>
        <v/>
      </c>
      <c r="F44" s="40">
        <f>E44/I44</f>
        <v/>
      </c>
      <c r="G44" s="40">
        <f>F44/1.16</f>
        <v/>
      </c>
      <c r="H44" s="87" t="n">
        <v>998.04</v>
      </c>
      <c r="I44" s="42" t="n">
        <v>3</v>
      </c>
      <c r="J44" s="74">
        <f>LET(dec, I44-INT(I44), IF(dec&lt;0.1, INT(I44), IF(dec&lt;=0.7, INT(I44)+0.5, INT(I44)+1)))</f>
        <v/>
      </c>
      <c r="K44" s="43" t="n">
        <v>46202</v>
      </c>
      <c r="L44" s="91" t="inlineStr">
        <is>
          <t>EMILIANO</t>
        </is>
      </c>
      <c r="M44" s="63" t="n"/>
      <c r="N44" s="91" t="inlineStr">
        <is>
          <t>YAEL</t>
        </is>
      </c>
    </row>
    <row r="45">
      <c r="A45" s="91" t="inlineStr">
        <is>
          <t>7657296090240879381</t>
        </is>
      </c>
      <c r="B45" s="83" t="inlineStr">
        <is>
          <t>langavibars</t>
        </is>
      </c>
      <c r="C45" s="83" t="inlineStr">
        <is>
          <t>MX</t>
        </is>
      </c>
      <c r="D45" s="35" t="n">
        <v>7494.51</v>
      </c>
      <c r="E45" s="40">
        <f>D45/1.16</f>
        <v/>
      </c>
      <c r="F45" s="40">
        <f>E45/I45</f>
        <v/>
      </c>
      <c r="G45" s="40">
        <f>F45/1.16</f>
        <v/>
      </c>
      <c r="H45" s="87" t="n">
        <v>996.76</v>
      </c>
      <c r="I45" s="42" t="n">
        <v>3</v>
      </c>
      <c r="J45" s="74">
        <f>LET(dec, I45-INT(I45), IF(dec&lt;0.1, INT(I45), IF(dec&lt;=0.7, INT(I45)+0.5, INT(I45)+1)))</f>
        <v/>
      </c>
      <c r="K45" s="43" t="n">
        <v>46203</v>
      </c>
      <c r="L45" s="91" t="inlineStr">
        <is>
          <t>EMILIANO</t>
        </is>
      </c>
      <c r="M45" s="63" t="n"/>
      <c r="N45" s="91" t="inlineStr">
        <is>
          <t>YAEL</t>
        </is>
      </c>
    </row>
    <row r="46">
      <c r="A46" s="91" t="inlineStr">
        <is>
          <t>7659564505571003157</t>
        </is>
      </c>
      <c r="B46" s="83" t="inlineStr">
        <is>
          <t>langavibars</t>
        </is>
      </c>
      <c r="C46" s="83" t="inlineStr">
        <is>
          <t>MX</t>
        </is>
      </c>
      <c r="D46" s="35" t="n">
        <v>18011.29</v>
      </c>
      <c r="E46" s="40">
        <f>D46/1.16</f>
        <v/>
      </c>
      <c r="F46" s="40">
        <f>E46/I46</f>
        <v/>
      </c>
      <c r="G46" s="40">
        <f>F46/1.16</f>
        <v/>
      </c>
      <c r="H46" s="87" t="n">
        <v>1000.17</v>
      </c>
      <c r="I46" s="42" t="n">
        <v>3</v>
      </c>
      <c r="J46" s="74">
        <f>LET(dec, I46-INT(I46), IF(dec&lt;0.1, INT(I46), IF(dec&lt;=0.7, INT(I46)+0.5, INT(I46)+1)))</f>
        <v/>
      </c>
      <c r="K46" s="43" t="n">
        <v>46209</v>
      </c>
      <c r="L46" s="91" t="inlineStr">
        <is>
          <t>EMILIANO</t>
        </is>
      </c>
      <c r="M46" s="63" t="n"/>
      <c r="N46" s="91" t="inlineStr">
        <is>
          <t>YAEL</t>
        </is>
      </c>
    </row>
    <row r="47">
      <c r="A47" s="91" t="inlineStr">
        <is>
          <t>7662908709143595794</t>
        </is>
      </c>
      <c r="B47" s="83" t="inlineStr">
        <is>
          <t>langavibars</t>
        </is>
      </c>
      <c r="C47" s="83" t="inlineStr">
        <is>
          <t>MX</t>
        </is>
      </c>
      <c r="D47" s="35" t="n">
        <v>19511.92</v>
      </c>
      <c r="E47" s="40">
        <f>D47/1.16</f>
        <v/>
      </c>
      <c r="F47" s="40">
        <f>E47/I47</f>
        <v/>
      </c>
      <c r="G47" s="40">
        <f>F47/1.16</f>
        <v/>
      </c>
      <c r="H47" s="87" t="n">
        <v>1003.71</v>
      </c>
      <c r="I47" s="42" t="n">
        <v>3</v>
      </c>
      <c r="J47" s="74">
        <f>LET(dec, I47-INT(I47), IF(dec&lt;0.1, INT(I47), IF(dec&lt;=0.7, INT(I47)+0.5, INT(I47)+1)))</f>
        <v/>
      </c>
      <c r="K47" s="43" t="n">
        <v>46218</v>
      </c>
      <c r="L47" s="91" t="inlineStr">
        <is>
          <t>EMILIANO</t>
        </is>
      </c>
      <c r="M47" s="63" t="n"/>
      <c r="N47" s="91" t="inlineStr">
        <is>
          <t>YAEL</t>
        </is>
      </c>
    </row>
    <row r="48">
      <c r="A48" s="91" t="inlineStr">
        <is>
          <t>7663279791923055368</t>
        </is>
      </c>
      <c r="B48" s="83" t="inlineStr">
        <is>
          <t>langavibars</t>
        </is>
      </c>
      <c r="C48" s="83" t="inlineStr">
        <is>
          <t>MX</t>
        </is>
      </c>
      <c r="D48" s="35" t="n">
        <v>14457.69</v>
      </c>
      <c r="E48" s="40">
        <f>D48/1.16</f>
        <v/>
      </c>
      <c r="F48" s="40">
        <f>E48/I48</f>
        <v/>
      </c>
      <c r="G48" s="40">
        <f>F48/1.16</f>
        <v/>
      </c>
      <c r="H48" s="87" t="n">
        <v>1004.76</v>
      </c>
      <c r="I48" s="42" t="n">
        <v>4</v>
      </c>
      <c r="J48" s="74">
        <f>LET(dec, I48-INT(I48), IF(dec&lt;0.1, INT(I48), IF(dec&lt;=0.7, INT(I48)+0.5, INT(I48)+1)))</f>
        <v/>
      </c>
      <c r="K48" s="43" t="n">
        <v>46219</v>
      </c>
      <c r="L48" s="91" t="inlineStr">
        <is>
          <t>EMILIANO</t>
        </is>
      </c>
      <c r="M48" s="63" t="n"/>
      <c r="N48" s="91" t="inlineStr">
        <is>
          <t>YAEL</t>
        </is>
      </c>
    </row>
    <row r="49">
      <c r="A49" s="91" t="inlineStr">
        <is>
          <t>7663650890288466695</t>
        </is>
      </c>
      <c r="B49" s="83" t="inlineStr">
        <is>
          <t>langavibars</t>
        </is>
      </c>
      <c r="C49" s="83" t="inlineStr">
        <is>
          <t>MX</t>
        </is>
      </c>
      <c r="D49" s="35" t="n">
        <v>15867.48</v>
      </c>
      <c r="E49" s="40">
        <f>D49/1.16</f>
        <v/>
      </c>
      <c r="F49" s="40">
        <f>E49/I49</f>
        <v/>
      </c>
      <c r="G49" s="40">
        <f>F49/1.16</f>
        <v/>
      </c>
      <c r="H49" s="87" t="n">
        <v>1006.37</v>
      </c>
      <c r="I49" s="42" t="n">
        <v>3</v>
      </c>
      <c r="J49" s="74">
        <f>LET(dec, I49-INT(I49), IF(dec&lt;0.1, INT(I49), IF(dec&lt;=0.7, INT(I49)+0.5, INT(I49)+1)))</f>
        <v/>
      </c>
      <c r="K49" s="43" t="n">
        <v>46220</v>
      </c>
      <c r="L49" s="91" t="inlineStr">
        <is>
          <t>EMILIANO</t>
        </is>
      </c>
      <c r="M49" s="63" t="n"/>
      <c r="N49" s="91" t="inlineStr">
        <is>
          <t>YAEL</t>
        </is>
      </c>
    </row>
    <row r="50">
      <c r="A50" s="91" t="inlineStr">
        <is>
          <t>7664764176455961365</t>
        </is>
      </c>
      <c r="B50" s="83" t="inlineStr">
        <is>
          <t>langavibars</t>
        </is>
      </c>
      <c r="C50" s="83" t="inlineStr">
        <is>
          <t>MX</t>
        </is>
      </c>
      <c r="D50" s="35" t="n">
        <v>17754.44</v>
      </c>
      <c r="E50" s="40">
        <f>D50/1.16</f>
        <v/>
      </c>
      <c r="F50" s="40">
        <f>E50/I50</f>
        <v/>
      </c>
      <c r="G50" s="40">
        <f>F50/1.16</f>
        <v/>
      </c>
      <c r="H50" s="87" t="n">
        <v>997.26</v>
      </c>
      <c r="I50" s="42" t="n">
        <v>4</v>
      </c>
      <c r="J50" s="74">
        <f>LET(dec, I50-INT(I50), IF(dec&lt;0.1, INT(I50), IF(dec&lt;=0.7, INT(I50)+0.5, INT(I50)+1)))</f>
        <v/>
      </c>
      <c r="K50" s="43" t="n">
        <v>46223</v>
      </c>
      <c r="L50" s="91" t="inlineStr">
        <is>
          <t>EMILIANO</t>
        </is>
      </c>
      <c r="M50" s="63" t="n"/>
      <c r="N50" s="91" t="inlineStr">
        <is>
          <t>YAEL</t>
        </is>
      </c>
    </row>
    <row r="51">
      <c r="A51" s="91" t="inlineStr">
        <is>
          <t>7665506381252086548</t>
        </is>
      </c>
      <c r="B51" s="83" t="inlineStr">
        <is>
          <t>langavibars</t>
        </is>
      </c>
      <c r="C51" s="83" t="inlineStr">
        <is>
          <t>MX</t>
        </is>
      </c>
      <c r="D51" s="35" t="n">
        <v>26593.57</v>
      </c>
      <c r="E51" s="40">
        <f>D51/1.16</f>
        <v/>
      </c>
      <c r="F51" s="40">
        <f>E51/I51</f>
        <v/>
      </c>
      <c r="G51" s="40">
        <f>F51/1.16</f>
        <v/>
      </c>
      <c r="H51" s="87" t="n">
        <v>1007.14</v>
      </c>
      <c r="I51" s="42" t="n">
        <v>4</v>
      </c>
      <c r="J51" s="74">
        <f>LET(dec, I51-INT(I51), IF(dec&lt;0.1, INT(I51), IF(dec&lt;=0.7, INT(I51)+0.5, INT(I51)+1)))</f>
        <v/>
      </c>
      <c r="K51" s="43" t="n">
        <v>46225</v>
      </c>
      <c r="L51" s="91" t="inlineStr">
        <is>
          <t>EMILIANO</t>
        </is>
      </c>
      <c r="M51" s="63" t="n"/>
      <c r="N51" s="91" t="inlineStr">
        <is>
          <t>YAEL</t>
        </is>
      </c>
    </row>
    <row r="52">
      <c r="A52" s="91" t="inlineStr">
        <is>
          <t>7665877454208846613</t>
        </is>
      </c>
      <c r="B52" s="83" t="inlineStr">
        <is>
          <t>langavibars</t>
        </is>
      </c>
      <c r="C52" s="83" t="inlineStr">
        <is>
          <t>MX</t>
        </is>
      </c>
      <c r="D52" s="35" t="n">
        <v>17923.74</v>
      </c>
      <c r="E52" s="40">
        <f>D52/1.16</f>
        <v/>
      </c>
      <c r="F52" s="40">
        <f>E52/I52</f>
        <v/>
      </c>
      <c r="G52" s="40">
        <f>F52/1.16</f>
        <v/>
      </c>
      <c r="H52" s="87" t="n">
        <v>1000.43</v>
      </c>
      <c r="I52" s="42" t="n">
        <v>4</v>
      </c>
      <c r="J52" s="74">
        <f>LET(dec, I52-INT(I52), IF(dec&lt;0.1, INT(I52), IF(dec&lt;=0.7, INT(I52)+0.5, INT(I52)+1)))</f>
        <v/>
      </c>
      <c r="K52" s="43" t="n">
        <v>46226</v>
      </c>
      <c r="L52" s="91" t="inlineStr">
        <is>
          <t>EMILIA</t>
        </is>
      </c>
      <c r="M52" s="63" t="n"/>
      <c r="N52" s="91" t="inlineStr">
        <is>
          <t>YAEL</t>
        </is>
      </c>
    </row>
    <row r="53">
      <c r="A53" s="91" t="inlineStr">
        <is>
          <t>7666248729221794567</t>
        </is>
      </c>
      <c r="B53" s="83" t="inlineStr">
        <is>
          <t>langavibars</t>
        </is>
      </c>
      <c r="C53" s="83" t="inlineStr">
        <is>
          <t>MX</t>
        </is>
      </c>
      <c r="D53" s="35" t="n">
        <v>3453.6</v>
      </c>
      <c r="E53" s="40">
        <f>D53/1.16</f>
        <v/>
      </c>
      <c r="F53" s="40">
        <f>E53/I53</f>
        <v/>
      </c>
      <c r="G53" s="40">
        <f>F53/1.16</f>
        <v/>
      </c>
      <c r="H53" s="87" t="n">
        <v>997.38</v>
      </c>
      <c r="I53" s="42" t="n">
        <v>1</v>
      </c>
      <c r="J53" s="74">
        <f>LET(dec, I53-INT(I53), IF(dec&lt;0.1, INT(I53), IF(dec&lt;=0.7, INT(I53)+0.5, INT(I53)+1)))</f>
        <v/>
      </c>
      <c r="K53" s="43" t="n">
        <v>46227</v>
      </c>
      <c r="L53" s="91" t="inlineStr">
        <is>
          <t>EMILIANO</t>
        </is>
      </c>
      <c r="M53" s="63" t="n"/>
      <c r="N53" s="91" t="inlineStr">
        <is>
          <t>YAEL</t>
        </is>
      </c>
    </row>
    <row r="54">
      <c r="A54" s="91" t="inlineStr">
        <is>
          <t>7667361527155198740</t>
        </is>
      </c>
      <c r="B54" s="83" t="inlineStr">
        <is>
          <t>langavibars</t>
        </is>
      </c>
      <c r="C54" s="83" t="inlineStr">
        <is>
          <t>MX</t>
        </is>
      </c>
      <c r="D54" s="35" t="n">
        <v>19572.87</v>
      </c>
      <c r="E54" s="40">
        <f>D54/1.16</f>
        <v/>
      </c>
      <c r="F54" s="40">
        <f>E54/I54</f>
        <v/>
      </c>
      <c r="G54" s="40">
        <f>F54/1.16</f>
        <v/>
      </c>
      <c r="H54" s="87" t="n">
        <v>0</v>
      </c>
      <c r="I54" s="42" t="n">
        <v>3</v>
      </c>
      <c r="J54" s="74">
        <f>LET(dec, I54-INT(I54), IF(dec&lt;0.1, INT(I54), IF(dec&lt;=0.7, INT(I54)+0.5, INT(I54)+1)))</f>
        <v/>
      </c>
      <c r="K54" s="43" t="n">
        <v>46230</v>
      </c>
      <c r="L54" s="91" t="inlineStr">
        <is>
          <t>CLAUDIA</t>
        </is>
      </c>
      <c r="M54" s="63" t="n"/>
      <c r="N54" s="91" t="inlineStr">
        <is>
          <t>YAEL</t>
        </is>
      </c>
    </row>
    <row r="55">
      <c r="K55" s="84" t="n"/>
    </row>
    <row r="56">
      <c r="A56" s="7" t="inlineStr">
        <is>
          <t>Room ID</t>
        </is>
      </c>
      <c r="B56" s="7" t="inlineStr">
        <is>
          <t>TT Handle</t>
        </is>
      </c>
      <c r="C56" s="7" t="inlineStr">
        <is>
          <t>Country</t>
        </is>
      </c>
      <c r="D56" s="7" t="inlineStr">
        <is>
          <t>GMV</t>
        </is>
      </c>
      <c r="E56" s="7" t="inlineStr">
        <is>
          <t>GMV/sin EVA</t>
        </is>
      </c>
      <c r="F56" s="7" t="inlineStr">
        <is>
          <t>GMV PER HOUR</t>
        </is>
      </c>
      <c r="G56" s="7" t="inlineStr">
        <is>
          <t>GMV PER HOUR/sin EVA</t>
        </is>
      </c>
      <c r="H56" s="7" t="inlineStr">
        <is>
          <t>Ads Cost</t>
        </is>
      </c>
      <c r="I56" s="9" t="inlineStr">
        <is>
          <t>Duration (H)</t>
        </is>
      </c>
      <c r="J56" s="70" t="inlineStr">
        <is>
          <t>Duration （Formula）</t>
        </is>
      </c>
      <c r="K56" s="101" t="inlineStr">
        <is>
          <t>Start date</t>
        </is>
      </c>
      <c r="L56" s="71" t="inlineStr">
        <is>
          <t>HOST1</t>
        </is>
      </c>
      <c r="M56" s="71" t="inlineStr">
        <is>
          <t xml:space="preserve">HOST 2 </t>
        </is>
      </c>
      <c r="N56" s="71" t="inlineStr">
        <is>
          <t>Operator</t>
        </is>
      </c>
    </row>
    <row r="57">
      <c r="A57" s="91" t="inlineStr">
        <is>
          <t>7667638447007419144</t>
        </is>
      </c>
      <c r="B57" s="83" t="inlineStr">
        <is>
          <t>langavibars</t>
        </is>
      </c>
      <c r="C57" s="83" t="inlineStr">
        <is>
          <t>MX</t>
        </is>
      </c>
      <c r="D57" s="35" t="n">
        <v>0</v>
      </c>
      <c r="E57" s="40">
        <f>D57/1.16</f>
        <v/>
      </c>
      <c r="F57" s="40" t="n">
        <v>0</v>
      </c>
      <c r="G57" s="40">
        <f>F57/1.16</f>
        <v/>
      </c>
      <c r="H57" s="87" t="n">
        <v>0</v>
      </c>
      <c r="I57" s="42" t="n">
        <v>0</v>
      </c>
      <c r="J57" s="74" t="n">
        <v>0</v>
      </c>
      <c r="K57" s="43" t="n">
        <v>46231</v>
      </c>
      <c r="L57" s="91" t="n"/>
      <c r="M57" s="63" t="n"/>
      <c r="N57" s="91" t="inlineStr">
        <is>
          <t>YAEL</t>
        </is>
      </c>
    </row>
    <row r="58">
      <c r="A58" s="91" t="inlineStr">
        <is>
          <t>7668103909709974280</t>
        </is>
      </c>
      <c r="B58" s="83" t="inlineStr">
        <is>
          <t>langavibars</t>
        </is>
      </c>
      <c r="C58" s="83" t="inlineStr">
        <is>
          <t>MX</t>
        </is>
      </c>
      <c r="D58" s="35" t="n">
        <v>29069.74</v>
      </c>
      <c r="E58" s="40">
        <f>D58/1.16</f>
        <v/>
      </c>
      <c r="F58" s="40" t="n">
        <v>7236.28</v>
      </c>
      <c r="G58" s="40">
        <f>F58/1.16</f>
        <v/>
      </c>
      <c r="H58" s="87" t="n">
        <v>975.2</v>
      </c>
      <c r="I58" s="42" t="n">
        <v>4</v>
      </c>
      <c r="J58" s="74" t="n">
        <v>4</v>
      </c>
      <c r="K58" s="43" t="n">
        <v>46232</v>
      </c>
      <c r="L58" s="91" t="inlineStr">
        <is>
          <t>MILI CONCHA</t>
        </is>
      </c>
      <c r="M58" s="63" t="n"/>
      <c r="N58" s="91" t="inlineStr">
        <is>
          <t>YAEL</t>
        </is>
      </c>
    </row>
    <row r="59">
      <c r="A59" s="91" t="inlineStr">
        <is>
          <t>7668846086825364231</t>
        </is>
      </c>
      <c r="B59" s="83" t="inlineStr">
        <is>
          <t>langavibars</t>
        </is>
      </c>
      <c r="C59" s="83" t="inlineStr">
        <is>
          <t>MX</t>
        </is>
      </c>
      <c r="D59" s="35" t="n">
        <v>0</v>
      </c>
      <c r="E59" s="40">
        <f>D59/1.16</f>
        <v/>
      </c>
      <c r="F59" s="40" t="n">
        <v>0</v>
      </c>
      <c r="G59" s="40">
        <f>F59/1.16</f>
        <v/>
      </c>
      <c r="H59" s="87" t="n">
        <v>0</v>
      </c>
      <c r="I59" s="42" t="n">
        <v>0</v>
      </c>
      <c r="J59" s="87" t="n">
        <v>0</v>
      </c>
      <c r="K59" s="43" t="n">
        <v>46234</v>
      </c>
      <c r="L59" s="91" t="n"/>
      <c r="M59" s="63" t="n"/>
      <c r="N59" s="91" t="inlineStr">
        <is>
          <t>YAEL</t>
        </is>
      </c>
    </row>
    <row r="60">
      <c r="A60" s="91" t="inlineStr">
        <is>
          <t>7670701572259302164</t>
        </is>
      </c>
      <c r="B60" s="83" t="inlineStr">
        <is>
          <t>langavibars</t>
        </is>
      </c>
      <c r="C60" s="83" t="inlineStr">
        <is>
          <t>MX</t>
        </is>
      </c>
      <c r="D60" s="35" t="n">
        <v>17679.38</v>
      </c>
      <c r="E60" s="40">
        <f>D60/1.16</f>
        <v/>
      </c>
      <c r="F60" s="40" t="n">
        <v>5827.83</v>
      </c>
      <c r="G60" s="40">
        <f>F60/1.16</f>
        <v/>
      </c>
      <c r="H60" s="87" t="n">
        <v>983.53</v>
      </c>
      <c r="I60" s="42" t="n">
        <v>3</v>
      </c>
      <c r="J60" s="74" t="n">
        <v>3</v>
      </c>
      <c r="K60" s="43" t="n">
        <v>46239</v>
      </c>
      <c r="L60" s="91" t="inlineStr">
        <is>
          <t>EMILIANO</t>
        </is>
      </c>
      <c r="M60" s="63" t="n"/>
      <c r="N60" s="91" t="inlineStr">
        <is>
          <t>YAEL</t>
        </is>
      </c>
    </row>
    <row r="61">
      <c r="A61" s="91" t="inlineStr">
        <is>
          <t>7671443730457119508</t>
        </is>
      </c>
      <c r="B61" s="83" t="inlineStr">
        <is>
          <t>langavibars</t>
        </is>
      </c>
      <c r="C61" s="83" t="inlineStr">
        <is>
          <t>MX</t>
        </is>
      </c>
      <c r="D61" s="35" t="n">
        <v>17041.3</v>
      </c>
      <c r="E61" s="40">
        <f>D61/1.16</f>
        <v/>
      </c>
      <c r="F61" s="40" t="n">
        <v>5625.74</v>
      </c>
      <c r="G61" s="40">
        <f>F61/1.16</f>
        <v/>
      </c>
      <c r="H61" s="87" t="n">
        <v>988.5599999999999</v>
      </c>
      <c r="I61" s="42" t="n">
        <v>3</v>
      </c>
      <c r="J61" s="74" t="n">
        <v>3</v>
      </c>
      <c r="K61" s="43" t="n">
        <v>46241</v>
      </c>
      <c r="L61" s="91" t="inlineStr">
        <is>
          <t>EMILIANO</t>
        </is>
      </c>
      <c r="M61" s="63" t="n"/>
      <c r="N61" s="91" t="inlineStr">
        <is>
          <t>YAEL</t>
        </is>
      </c>
    </row>
    <row r="62">
      <c r="A62" s="91" t="inlineStr">
        <is>
          <t>7672556939021454087</t>
        </is>
      </c>
      <c r="B62" s="83" t="inlineStr">
        <is>
          <t>langavibars</t>
        </is>
      </c>
      <c r="C62" s="83" t="inlineStr">
        <is>
          <t>MX</t>
        </is>
      </c>
      <c r="D62" s="35" t="n">
        <v>21367.67</v>
      </c>
      <c r="E62" s="40">
        <f>D62/1.16</f>
        <v/>
      </c>
      <c r="F62" s="40" t="n">
        <v>5309.84</v>
      </c>
      <c r="G62" s="40">
        <f>F62/1.16</f>
        <v/>
      </c>
      <c r="H62" s="87" t="n">
        <v>990.33</v>
      </c>
      <c r="I62" s="42" t="n">
        <v>4</v>
      </c>
      <c r="J62" s="74" t="n">
        <v>4</v>
      </c>
      <c r="K62" s="43" t="n">
        <v>46244</v>
      </c>
      <c r="L62" s="91" t="inlineStr">
        <is>
          <t>EMILIANO</t>
        </is>
      </c>
      <c r="M62" s="63" t="n"/>
      <c r="N62" s="91" t="inlineStr">
        <is>
          <t>YAEL</t>
        </is>
      </c>
    </row>
    <row r="63">
      <c r="A63" s="91" t="inlineStr">
        <is>
          <t>7673299093095009032</t>
        </is>
      </c>
      <c r="B63" s="83" t="inlineStr">
        <is>
          <t>langavibars</t>
        </is>
      </c>
      <c r="C63" s="83" t="inlineStr">
        <is>
          <t>MX</t>
        </is>
      </c>
      <c r="D63" s="35" t="n">
        <v>26720.33</v>
      </c>
      <c r="E63" s="40">
        <f>D63/1.16</f>
        <v/>
      </c>
      <c r="F63" s="40" t="n">
        <v>6638.13</v>
      </c>
      <c r="G63" s="40">
        <f>F63/1.16</f>
        <v/>
      </c>
      <c r="H63" s="87" t="n">
        <v>996.28</v>
      </c>
      <c r="I63" s="42" t="n">
        <v>4</v>
      </c>
      <c r="J63" s="74" t="n">
        <v>4</v>
      </c>
      <c r="K63" s="43" t="n">
        <v>46246</v>
      </c>
      <c r="L63" s="91" t="inlineStr">
        <is>
          <t>EMILIANO</t>
        </is>
      </c>
      <c r="M63" s="63" t="n"/>
      <c r="N63" s="91" t="inlineStr">
        <is>
          <t>YAEL</t>
        </is>
      </c>
    </row>
    <row r="64">
      <c r="A64" s="91" t="inlineStr">
        <is>
          <t>7674041304737008402</t>
        </is>
      </c>
      <c r="B64" s="83" t="inlineStr">
        <is>
          <t>langavibars</t>
        </is>
      </c>
      <c r="C64" s="83" t="inlineStr">
        <is>
          <t>MX</t>
        </is>
      </c>
      <c r="D64" s="35" t="n">
        <v>16250.08</v>
      </c>
      <c r="E64" s="40">
        <f>D64/1.16</f>
        <v/>
      </c>
      <c r="F64" s="40" t="n">
        <v>4052.95</v>
      </c>
      <c r="G64" s="40">
        <f>F64/1.16</f>
        <v/>
      </c>
      <c r="H64" s="87" t="n">
        <v>997.17</v>
      </c>
      <c r="I64" s="42" t="n">
        <v>4</v>
      </c>
      <c r="J64" s="74" t="n">
        <v>4</v>
      </c>
      <c r="K64" s="43" t="n">
        <v>46248</v>
      </c>
      <c r="L64" s="91" t="inlineStr">
        <is>
          <t>EMILIANO</t>
        </is>
      </c>
      <c r="M64" s="63" t="n"/>
      <c r="N64" s="91" t="inlineStr">
        <is>
          <t>YAEL</t>
        </is>
      </c>
    </row>
    <row r="65">
      <c r="A65" s="91" t="inlineStr">
        <is>
          <t>7674381377785170706</t>
        </is>
      </c>
      <c r="B65" s="83" t="inlineStr">
        <is>
          <t>langavibars</t>
        </is>
      </c>
      <c r="C65" s="83" t="inlineStr">
        <is>
          <t>MX</t>
        </is>
      </c>
      <c r="D65" s="35" t="n">
        <v>22677.44</v>
      </c>
      <c r="E65" s="40">
        <f>D65/1.16</f>
        <v/>
      </c>
      <c r="F65" s="40" t="n">
        <v>4494.54</v>
      </c>
      <c r="G65" s="40">
        <f>F65/1.16</f>
        <v/>
      </c>
      <c r="H65" s="87" t="n">
        <v>995.34</v>
      </c>
      <c r="I65" s="42" t="n">
        <v>5</v>
      </c>
      <c r="J65" s="74" t="n">
        <v>5</v>
      </c>
      <c r="K65" s="43" t="n">
        <v>46249</v>
      </c>
      <c r="L65" s="91" t="inlineStr">
        <is>
          <t>EMILIANO</t>
        </is>
      </c>
      <c r="M65" s="63" t="n"/>
      <c r="N65" s="91" t="inlineStr">
        <is>
          <t>YAEL</t>
        </is>
      </c>
    </row>
    <row r="66">
      <c r="A66" s="91" t="inlineStr">
        <is>
          <t>7675154550688992007</t>
        </is>
      </c>
      <c r="B66" s="83" t="inlineStr">
        <is>
          <t>langavibars</t>
        </is>
      </c>
      <c r="C66" s="83" t="inlineStr">
        <is>
          <t>MX</t>
        </is>
      </c>
      <c r="D66" s="35" t="n">
        <v>24149.02</v>
      </c>
      <c r="E66" s="40">
        <f>D66/1.16</f>
        <v/>
      </c>
      <c r="F66" s="40" t="n">
        <v>6020.95</v>
      </c>
      <c r="G66" s="40">
        <f>F66/1.16</f>
        <v/>
      </c>
      <c r="H66" s="87" t="n">
        <v>999.41</v>
      </c>
      <c r="I66" s="42" t="n">
        <v>4</v>
      </c>
      <c r="J66" s="74" t="n">
        <v>4</v>
      </c>
      <c r="K66" s="43" t="n">
        <v>46251</v>
      </c>
      <c r="L66" s="91" t="inlineStr">
        <is>
          <t>EMILIANO</t>
        </is>
      </c>
      <c r="M66" s="63" t="n"/>
      <c r="N66" s="91" t="inlineStr">
        <is>
          <t>YAEL</t>
        </is>
      </c>
    </row>
    <row r="67">
      <c r="A67" s="91" t="inlineStr">
        <is>
          <t>7675525677268896533</t>
        </is>
      </c>
      <c r="B67" s="83" t="inlineStr">
        <is>
          <t>langavibars</t>
        </is>
      </c>
      <c r="C67" s="83" t="inlineStr">
        <is>
          <t>MX</t>
        </is>
      </c>
      <c r="D67" s="35" t="n">
        <v>42155.49</v>
      </c>
      <c r="E67" s="40">
        <f>D67/1.16</f>
        <v/>
      </c>
      <c r="F67" s="40" t="n">
        <v>10446.74</v>
      </c>
      <c r="G67" s="40">
        <f>F67/1.16</f>
        <v/>
      </c>
      <c r="H67" s="87" t="n">
        <v>997.3099999999999</v>
      </c>
      <c r="I67" s="42" t="n">
        <v>4</v>
      </c>
      <c r="J67" s="74" t="n">
        <v>4</v>
      </c>
      <c r="K67" s="43" t="n">
        <v>46252</v>
      </c>
      <c r="L67" s="91" t="inlineStr">
        <is>
          <t>EMILIANO</t>
        </is>
      </c>
      <c r="M67" s="63" t="n"/>
      <c r="N67" s="91" t="inlineStr">
        <is>
          <t>YAEL</t>
        </is>
      </c>
    </row>
    <row r="68">
      <c r="A68" s="91" t="inlineStr">
        <is>
          <t>7676269243868646151</t>
        </is>
      </c>
      <c r="B68" s="83" t="inlineStr">
        <is>
          <t>langavibars</t>
        </is>
      </c>
      <c r="C68" s="83" t="inlineStr">
        <is>
          <t>MX</t>
        </is>
      </c>
      <c r="D68" s="35" t="n">
        <v>18129.43</v>
      </c>
      <c r="E68" s="40">
        <f>D68/1.16</f>
        <v/>
      </c>
      <c r="F68" s="40" t="n">
        <v>4522.62</v>
      </c>
      <c r="G68" s="40">
        <f>F68/1.16</f>
        <v/>
      </c>
      <c r="H68" s="87" t="n">
        <v>1002.97</v>
      </c>
      <c r="I68" s="42" t="n">
        <v>4</v>
      </c>
      <c r="J68" s="74" t="n">
        <v>4</v>
      </c>
      <c r="K68" s="43" t="n">
        <v>46254</v>
      </c>
      <c r="L68" s="91" t="inlineStr">
        <is>
          <t>EMILIANO</t>
        </is>
      </c>
      <c r="M68" s="63" t="n"/>
      <c r="N68" s="91" t="inlineStr">
        <is>
          <t>YAEL</t>
        </is>
      </c>
    </row>
    <row r="69">
      <c r="A69" s="91" t="inlineStr">
        <is>
          <t>7676638888357645064</t>
        </is>
      </c>
      <c r="B69" s="83" t="inlineStr">
        <is>
          <t>langavibars</t>
        </is>
      </c>
      <c r="C69" s="83" t="inlineStr">
        <is>
          <t>MX</t>
        </is>
      </c>
      <c r="D69" s="35" t="n">
        <v>12759.64</v>
      </c>
      <c r="E69" s="40">
        <f>D69/1.16</f>
        <v/>
      </c>
      <c r="F69" s="40" t="n">
        <v>3184.16</v>
      </c>
      <c r="G69" s="40">
        <f>F69/1.16</f>
        <v/>
      </c>
      <c r="H69" s="87" t="n">
        <v>1002.3</v>
      </c>
      <c r="I69" s="42" t="n">
        <v>4</v>
      </c>
      <c r="J69" s="74" t="n">
        <v>4</v>
      </c>
      <c r="K69" s="43" t="n">
        <v>46255</v>
      </c>
      <c r="L69" s="91" t="inlineStr">
        <is>
          <t>EMILIANO</t>
        </is>
      </c>
      <c r="M69" s="63" t="n"/>
      <c r="N69" s="91" t="inlineStr">
        <is>
          <t>YAEL</t>
        </is>
      </c>
    </row>
    <row r="70">
      <c r="A70" s="91" t="inlineStr">
        <is>
          <t>7677752168962706196</t>
        </is>
      </c>
      <c r="B70" s="83" t="inlineStr">
        <is>
          <t>langavibars</t>
        </is>
      </c>
      <c r="C70" s="83" t="inlineStr">
        <is>
          <t>MX</t>
        </is>
      </c>
      <c r="D70" s="35" t="n">
        <v>31367.36</v>
      </c>
      <c r="E70" s="40">
        <f>D70/1.16</f>
        <v/>
      </c>
      <c r="F70" s="40" t="n">
        <v>7829.33</v>
      </c>
      <c r="G70" s="40">
        <f>F70/1.16</f>
        <v/>
      </c>
      <c r="H70" s="87" t="n">
        <v>1005.27</v>
      </c>
      <c r="I70" s="42" t="n">
        <v>4</v>
      </c>
      <c r="J70" s="74" t="n">
        <v>4</v>
      </c>
      <c r="K70" s="43" t="n">
        <v>46258</v>
      </c>
      <c r="L70" s="91" t="inlineStr">
        <is>
          <t>EMILIANO</t>
        </is>
      </c>
      <c r="M70" s="63" t="n"/>
      <c r="N70" s="91" t="inlineStr">
        <is>
          <t>YAEL</t>
        </is>
      </c>
    </row>
    <row r="71">
      <c r="A71" s="91" t="inlineStr">
        <is>
          <t>7678494315311532807</t>
        </is>
      </c>
      <c r="B71" s="83" t="inlineStr">
        <is>
          <t>langavibars</t>
        </is>
      </c>
      <c r="C71" s="83" t="inlineStr">
        <is>
          <t>MX</t>
        </is>
      </c>
      <c r="D71" s="35" t="n">
        <v>24221.48</v>
      </c>
      <c r="E71" s="40">
        <f>D71/1.16</f>
        <v/>
      </c>
      <c r="F71" s="40" t="n">
        <v>6043.2</v>
      </c>
      <c r="G71" s="40">
        <f>F71/1.16</f>
        <v/>
      </c>
      <c r="H71" s="87" t="n">
        <v>1006.34</v>
      </c>
      <c r="I71" s="42" t="n">
        <v>4</v>
      </c>
      <c r="J71" s="74" t="n">
        <v>4</v>
      </c>
      <c r="K71" s="43" t="n">
        <v>46260</v>
      </c>
      <c r="L71" s="91" t="inlineStr">
        <is>
          <t>EMILIANO</t>
        </is>
      </c>
      <c r="M71" s="63" t="n"/>
      <c r="N71" s="91" t="inlineStr">
        <is>
          <t>YAEL</t>
        </is>
      </c>
    </row>
    <row r="72">
      <c r="K72" s="84" t="n"/>
    </row>
    <row r="73">
      <c r="A73" s="7" t="inlineStr">
        <is>
          <t>Room ID</t>
        </is>
      </c>
      <c r="B73" s="7" t="inlineStr">
        <is>
          <t>TT Handle</t>
        </is>
      </c>
      <c r="C73" s="7" t="inlineStr">
        <is>
          <t>Country</t>
        </is>
      </c>
      <c r="D73" s="7" t="inlineStr">
        <is>
          <t>GMV</t>
        </is>
      </c>
      <c r="E73" s="7" t="inlineStr">
        <is>
          <t>GMV/sin EVA</t>
        </is>
      </c>
      <c r="F73" s="7" t="inlineStr">
        <is>
          <t>GMV PER HOUR</t>
        </is>
      </c>
      <c r="G73" s="7" t="inlineStr">
        <is>
          <t>GMV PER HOUR/sin EVA</t>
        </is>
      </c>
      <c r="H73" s="7" t="inlineStr">
        <is>
          <t>Ads Cost</t>
        </is>
      </c>
      <c r="I73" s="9" t="inlineStr">
        <is>
          <t>Duration (H)</t>
        </is>
      </c>
      <c r="J73" s="70" t="inlineStr">
        <is>
          <t>Duration （Formula）</t>
        </is>
      </c>
      <c r="K73" s="101" t="inlineStr">
        <is>
          <t>Start date</t>
        </is>
      </c>
      <c r="L73" s="71" t="inlineStr">
        <is>
          <t>HOST1</t>
        </is>
      </c>
      <c r="M73" s="71" t="inlineStr">
        <is>
          <t xml:space="preserve">HOST 2 </t>
        </is>
      </c>
      <c r="N73" s="71" t="inlineStr">
        <is>
          <t>Operator</t>
        </is>
      </c>
    </row>
    <row r="74">
      <c r="A74" s="91" t="inlineStr">
        <is>
          <t>7679236473555602184</t>
        </is>
      </c>
      <c r="B74" s="83" t="inlineStr">
        <is>
          <t>langavibars</t>
        </is>
      </c>
      <c r="C74" s="83" t="inlineStr">
        <is>
          <t>MX</t>
        </is>
      </c>
      <c r="D74" s="35" t="n">
        <v>17610.64</v>
      </c>
      <c r="E74" s="40">
        <f>D74/1.16</f>
        <v/>
      </c>
      <c r="F74" s="40">
        <f>D74/J74</f>
        <v/>
      </c>
      <c r="G74" s="40">
        <f>F74/1.16</f>
        <v/>
      </c>
      <c r="H74" s="87" t="n">
        <v>1051.39</v>
      </c>
      <c r="I74" s="42" t="n">
        <v>4.01</v>
      </c>
      <c r="J74" s="74">
        <f>LET(dec, I74-INT(I74), IF(dec&lt;0.1, INT(I74), IF(dec&lt;=0.7, INT(I74)+0.5, INT(I74)+1)))</f>
        <v/>
      </c>
      <c r="K74" s="43" t="n">
        <v>46262</v>
      </c>
      <c r="L74" s="91" t="inlineStr">
        <is>
          <t>EMILIANO</t>
        </is>
      </c>
      <c r="M74" s="63" t="n"/>
      <c r="N74" s="91" t="inlineStr">
        <is>
          <t>YAEL</t>
        </is>
      </c>
    </row>
    <row r="75">
      <c r="A75" s="91" t="inlineStr">
        <is>
          <t>7679607571636521736</t>
        </is>
      </c>
      <c r="B75" s="83" t="inlineStr">
        <is>
          <t>langavibars</t>
        </is>
      </c>
      <c r="C75" s="83" t="inlineStr">
        <is>
          <t>MX</t>
        </is>
      </c>
      <c r="D75" s="35" t="n">
        <v>15101.56</v>
      </c>
      <c r="E75" s="40">
        <f>D75/1.16</f>
        <v/>
      </c>
      <c r="F75" s="40">
        <f>D75/J75</f>
        <v/>
      </c>
      <c r="G75" s="40">
        <f>F75/1.16</f>
        <v/>
      </c>
      <c r="H75" s="87" t="n">
        <v>1046.35</v>
      </c>
      <c r="I75" s="42" t="n">
        <v>4</v>
      </c>
      <c r="J75" s="74">
        <f>LET(dec, I75-INT(I75), IF(dec&lt;0.1, INT(I75), IF(dec&lt;=0.7, INT(I75)+0.5, INT(I75)+1)))</f>
        <v/>
      </c>
      <c r="K75" s="43" t="n">
        <v>46263</v>
      </c>
      <c r="L75" s="91" t="inlineStr">
        <is>
          <t>EMILIANO</t>
        </is>
      </c>
      <c r="M75" s="63" t="n"/>
      <c r="N75" s="91" t="inlineStr">
        <is>
          <t>YAEL</t>
        </is>
      </c>
    </row>
    <row r="76">
      <c r="A76" s="91" t="inlineStr">
        <is>
          <t>7680334271021599495</t>
        </is>
      </c>
      <c r="B76" s="83" t="inlineStr">
        <is>
          <t>langavibars</t>
        </is>
      </c>
      <c r="C76" s="83" t="inlineStr">
        <is>
          <t>MX</t>
        </is>
      </c>
      <c r="D76" s="35" t="n">
        <v>25400.79</v>
      </c>
      <c r="E76" s="40">
        <f>D76/1.16</f>
        <v/>
      </c>
      <c r="F76" s="40">
        <f>D76/J76</f>
        <v/>
      </c>
      <c r="G76" s="40">
        <f>F76/1.16</f>
        <v/>
      </c>
      <c r="H76" s="87" t="n">
        <v>1048.48</v>
      </c>
      <c r="I76" s="42" t="n">
        <v>5.01</v>
      </c>
      <c r="J76" s="74">
        <f>LET(dec, I76-INT(I76), IF(dec&lt;0.1, INT(I76), IF(dec&lt;=0.7, INT(I76)+0.5, INT(I76)+1)))</f>
        <v/>
      </c>
      <c r="K76" s="43" t="n">
        <v>46265</v>
      </c>
      <c r="L76" s="91" t="inlineStr">
        <is>
          <t>EMILIANO</t>
        </is>
      </c>
      <c r="M76" s="63" t="n"/>
      <c r="N76" s="91" t="inlineStr">
        <is>
          <t>YAEL</t>
        </is>
      </c>
    </row>
    <row r="77">
      <c r="A77" s="91" t="inlineStr">
        <is>
          <t>7680720805412686612</t>
        </is>
      </c>
      <c r="B77" s="83" t="inlineStr">
        <is>
          <t>langavibars</t>
        </is>
      </c>
      <c r="C77" s="83" t="inlineStr">
        <is>
          <t>MX</t>
        </is>
      </c>
      <c r="D77" s="35" t="n">
        <v>15917.79</v>
      </c>
      <c r="E77" s="40">
        <f>D77/1.16</f>
        <v/>
      </c>
      <c r="F77" s="40">
        <f>D77/J77</f>
        <v/>
      </c>
      <c r="G77" s="40">
        <f>F77/1.16</f>
        <v/>
      </c>
      <c r="H77" s="87" t="n">
        <v>993</v>
      </c>
      <c r="I77" s="42" t="n">
        <v>4</v>
      </c>
      <c r="J77" s="74">
        <f>LET(dec, I77-INT(I77), IF(dec&lt;0.1, INT(I77), IF(dec&lt;=0.7, INT(I77)+0.5, INT(I77)+1)))</f>
        <v/>
      </c>
      <c r="K77" s="43" t="n">
        <v>46266</v>
      </c>
      <c r="L77" s="91" t="inlineStr">
        <is>
          <t>MATEO</t>
        </is>
      </c>
      <c r="M77" s="63" t="n"/>
      <c r="N77" s="91" t="inlineStr">
        <is>
          <t>YAEL</t>
        </is>
      </c>
    </row>
    <row r="78">
      <c r="A78" s="91" t="inlineStr">
        <is>
          <t>7681091874576206610</t>
        </is>
      </c>
      <c r="B78" s="83" t="inlineStr">
        <is>
          <t>langavibars</t>
        </is>
      </c>
      <c r="C78" s="83" t="inlineStr">
        <is>
          <t>MX</t>
        </is>
      </c>
      <c r="D78" s="35" t="n">
        <v>21218.31</v>
      </c>
      <c r="E78" s="40">
        <f>D78/1.16</f>
        <v/>
      </c>
      <c r="F78" s="40">
        <f>D78/J78</f>
        <v/>
      </c>
      <c r="G78" s="40">
        <f>F78/1.16</f>
        <v/>
      </c>
      <c r="H78" s="87" t="n">
        <v>993</v>
      </c>
      <c r="I78" s="42" t="n">
        <v>4.01</v>
      </c>
      <c r="J78" s="74">
        <f>LET(dec, I78-INT(I78), IF(dec&lt;0.1, INT(I78), IF(dec&lt;=0.7, INT(I78)+0.5, INT(I78)+1)))</f>
        <v/>
      </c>
      <c r="K78" s="43" t="n">
        <v>46267</v>
      </c>
      <c r="L78" s="91" t="inlineStr">
        <is>
          <t>EMILIANO</t>
        </is>
      </c>
      <c r="M78" s="63" t="n"/>
      <c r="N78" s="91" t="inlineStr">
        <is>
          <t>YAEL</t>
        </is>
      </c>
    </row>
    <row r="79">
      <c r="A79" s="91" t="inlineStr">
        <is>
          <t>7681466520677550866</t>
        </is>
      </c>
      <c r="B79" s="83" t="inlineStr">
        <is>
          <t>langavibars</t>
        </is>
      </c>
      <c r="C79" s="83" t="inlineStr">
        <is>
          <t>MX</t>
        </is>
      </c>
      <c r="D79" s="35" t="n">
        <v>24398.55</v>
      </c>
      <c r="E79" s="40">
        <f>D79/1.16</f>
        <v/>
      </c>
      <c r="F79" s="40">
        <f>D79/J79</f>
        <v/>
      </c>
      <c r="G79" s="40">
        <f>F79/1.16</f>
        <v/>
      </c>
      <c r="H79" s="87" t="n">
        <v>995</v>
      </c>
      <c r="I79" s="42" t="n">
        <v>4</v>
      </c>
      <c r="J79" s="74">
        <f>LET(dec, I79-INT(I79), IF(dec&lt;0.1, INT(I79), IF(dec&lt;=0.7, INT(I79)+0.5, INT(I79)+1)))</f>
        <v/>
      </c>
      <c r="K79" s="43" t="n">
        <v>46268</v>
      </c>
      <c r="L79" s="91" t="inlineStr">
        <is>
          <t>MATEO</t>
        </is>
      </c>
      <c r="M79" s="63" t="n"/>
      <c r="N79" s="91" t="inlineStr">
        <is>
          <t>YAEL</t>
        </is>
      </c>
    </row>
    <row r="80">
      <c r="A80" s="91" t="inlineStr">
        <is>
          <t>7682192338046798610</t>
        </is>
      </c>
      <c r="B80" s="83" t="inlineStr">
        <is>
          <t>langavibars</t>
        </is>
      </c>
      <c r="C80" s="83" t="inlineStr">
        <is>
          <t>MX</t>
        </is>
      </c>
      <c r="D80" s="35" t="n">
        <v>12675.33</v>
      </c>
      <c r="E80" s="40">
        <f>D80/1.16</f>
        <v/>
      </c>
      <c r="F80" s="40">
        <f>D80/J80</f>
        <v/>
      </c>
      <c r="G80" s="40">
        <f>F80/1.16</f>
        <v/>
      </c>
      <c r="H80" s="87" t="n">
        <v>1000</v>
      </c>
      <c r="I80" s="42" t="n">
        <v>3.01</v>
      </c>
      <c r="J80" s="74">
        <f>LET(dec, I80-INT(I80), IF(dec&lt;0.1, INT(I80), IF(dec&lt;=0.7, INT(I80)+0.5, INT(I80)+1)))</f>
        <v/>
      </c>
      <c r="K80" s="43" t="n">
        <v>46270</v>
      </c>
      <c r="L80" s="91" t="inlineStr">
        <is>
          <t>EMILIANO</t>
        </is>
      </c>
      <c r="M80" s="63" t="n"/>
      <c r="N80" s="91" t="inlineStr">
        <is>
          <t>YAEL</t>
        </is>
      </c>
    </row>
    <row r="81">
      <c r="A81" s="91" t="inlineStr">
        <is>
          <t>7682947382452292373</t>
        </is>
      </c>
      <c r="B81" s="83" t="inlineStr">
        <is>
          <t>langavibars</t>
        </is>
      </c>
      <c r="C81" s="83" t="inlineStr">
        <is>
          <t>MX</t>
        </is>
      </c>
      <c r="D81" s="35" t="n">
        <v>14671.51</v>
      </c>
      <c r="E81" s="40">
        <f>D81/1.16</f>
        <v/>
      </c>
      <c r="F81" s="40">
        <f>D81/J81</f>
        <v/>
      </c>
      <c r="G81" s="40">
        <f>F81/1.16</f>
        <v/>
      </c>
      <c r="H81" s="87" t="n">
        <v>1010</v>
      </c>
      <c r="I81" s="42" t="n">
        <v>4</v>
      </c>
      <c r="J81" s="74">
        <f>LET(dec, I81-INT(I81), IF(dec&lt;0.1, INT(I81), IF(dec&lt;=0.7, INT(I81)+0.5, INT(I81)+1)))</f>
        <v/>
      </c>
      <c r="K81" s="43" t="n">
        <v>46272</v>
      </c>
      <c r="L81" s="91" t="inlineStr">
        <is>
          <t>EMILIANO</t>
        </is>
      </c>
      <c r="M81" s="63" t="n"/>
      <c r="N81" s="91" t="inlineStr">
        <is>
          <t>YAEL</t>
        </is>
      </c>
    </row>
    <row r="82">
      <c r="A82" s="91" t="inlineStr">
        <is>
          <t>7683318414210796308</t>
        </is>
      </c>
      <c r="B82" s="83" t="inlineStr">
        <is>
          <t>langavibars</t>
        </is>
      </c>
      <c r="C82" s="83" t="inlineStr">
        <is>
          <t>MX</t>
        </is>
      </c>
      <c r="D82" s="35" t="n">
        <v>19826.93</v>
      </c>
      <c r="E82" s="40">
        <f>D82/1.16</f>
        <v/>
      </c>
      <c r="F82" s="40">
        <f>D82/J82</f>
        <v/>
      </c>
      <c r="G82" s="40">
        <f>F82/1.16</f>
        <v/>
      </c>
      <c r="H82" s="87" t="n">
        <v>998</v>
      </c>
      <c r="I82" s="42" t="n">
        <v>4</v>
      </c>
      <c r="J82" s="74">
        <f>LET(dec, I82-INT(I82), IF(dec&lt;0.1, INT(I82), IF(dec&lt;=0.7, INT(I82)+0.5, INT(I82)+1)))</f>
        <v/>
      </c>
      <c r="K82" s="43" t="n">
        <v>46273</v>
      </c>
      <c r="L82" s="91" t="inlineStr">
        <is>
          <t>MATEO</t>
        </is>
      </c>
      <c r="M82" s="63" t="n"/>
      <c r="N82" s="91" t="inlineStr">
        <is>
          <t>YAEL</t>
        </is>
      </c>
    </row>
    <row r="83">
      <c r="A83" s="91" t="inlineStr">
        <is>
          <t>7683689512640498439</t>
        </is>
      </c>
      <c r="B83" s="83" t="inlineStr">
        <is>
          <t>langavibars</t>
        </is>
      </c>
      <c r="C83" s="83" t="inlineStr">
        <is>
          <t>MX</t>
        </is>
      </c>
      <c r="D83" s="35" t="n">
        <v>8239.709999999999</v>
      </c>
      <c r="E83" s="40">
        <f>D83/1.16</f>
        <v/>
      </c>
      <c r="F83" s="40">
        <f>D83/J83</f>
        <v/>
      </c>
      <c r="G83" s="40">
        <f>F83/1.16</f>
        <v/>
      </c>
      <c r="H83" s="87" t="n">
        <v>1020</v>
      </c>
      <c r="I83" s="42" t="n">
        <v>4.01</v>
      </c>
      <c r="J83" s="74">
        <f>LET(dec, I83-INT(I83), IF(dec&lt;0.1, INT(I83), IF(dec&lt;=0.7, INT(I83)+0.5, INT(I83)+1)))</f>
        <v/>
      </c>
      <c r="K83" s="43" t="n">
        <v>46274</v>
      </c>
      <c r="L83" s="91" t="inlineStr">
        <is>
          <t>EMILIANO</t>
        </is>
      </c>
      <c r="M83" s="63" t="n"/>
      <c r="N83" s="91" t="inlineStr">
        <is>
          <t>YAEL</t>
        </is>
      </c>
    </row>
    <row r="84">
      <c r="A84" s="91" t="inlineStr">
        <is>
          <t>7684060734640179986</t>
        </is>
      </c>
      <c r="B84" s="83" t="inlineStr">
        <is>
          <t>langavibars</t>
        </is>
      </c>
      <c r="C84" s="83" t="inlineStr">
        <is>
          <t>MX</t>
        </is>
      </c>
      <c r="D84" s="35" t="n">
        <v>16232.42</v>
      </c>
      <c r="E84" s="40">
        <f>D84/1.16</f>
        <v/>
      </c>
      <c r="F84" s="40">
        <f>D84/J84</f>
        <v/>
      </c>
      <c r="G84" s="40">
        <f>F84/1.16</f>
        <v/>
      </c>
      <c r="H84" s="87" t="n">
        <v>1020</v>
      </c>
      <c r="I84" s="42" t="n">
        <v>4</v>
      </c>
      <c r="J84" s="74">
        <f>LET(dec, I84-INT(I84), IF(dec&lt;0.1, INT(I84), IF(dec&lt;=0.7, INT(I84)+0.5, INT(I84)+1)))</f>
        <v/>
      </c>
      <c r="K84" s="43" t="n">
        <v>46275</v>
      </c>
      <c r="L84" s="91" t="inlineStr">
        <is>
          <t>MATEO</t>
        </is>
      </c>
      <c r="M84" s="63" t="n"/>
      <c r="N84" s="91" t="inlineStr">
        <is>
          <t>YAEL</t>
        </is>
      </c>
    </row>
    <row r="85">
      <c r="A85" s="91" t="inlineStr">
        <is>
          <t>7685544955634289429</t>
        </is>
      </c>
      <c r="B85" s="83" t="inlineStr">
        <is>
          <t>langavibars</t>
        </is>
      </c>
      <c r="C85" s="83" t="inlineStr">
        <is>
          <t>MX</t>
        </is>
      </c>
      <c r="D85" s="35" t="n">
        <v>19750.1</v>
      </c>
      <c r="E85" s="40">
        <f>D85/1.16</f>
        <v/>
      </c>
      <c r="F85" s="40">
        <f>D85/J85</f>
        <v/>
      </c>
      <c r="G85" s="40">
        <f>F85/1.16</f>
        <v/>
      </c>
      <c r="H85" s="87" t="n">
        <v>1010</v>
      </c>
      <c r="I85" s="42" t="n">
        <v>4.01</v>
      </c>
      <c r="J85" s="74">
        <f>LET(dec, I85-INT(I85), IF(dec&lt;0.1, INT(I85), IF(dec&lt;=0.7, INT(I85)+0.5, INT(I85)+1)))</f>
        <v/>
      </c>
      <c r="K85" s="43" t="n">
        <v>46279</v>
      </c>
      <c r="L85" s="91" t="inlineStr">
        <is>
          <t>MATEO</t>
        </is>
      </c>
      <c r="M85" s="63" t="n"/>
      <c r="N85" s="91" t="inlineStr">
        <is>
          <t>YAEL</t>
        </is>
      </c>
    </row>
    <row r="86">
      <c r="A86" s="91" t="inlineStr">
        <is>
          <t>7685825254945622802</t>
        </is>
      </c>
      <c r="B86" s="83" t="inlineStr">
        <is>
          <t>langavibars</t>
        </is>
      </c>
      <c r="C86" s="83" t="inlineStr">
        <is>
          <t>MX</t>
        </is>
      </c>
      <c r="D86" s="35" t="n">
        <v>14785.56</v>
      </c>
      <c r="E86" s="40">
        <f>D86/1.16</f>
        <v/>
      </c>
      <c r="F86" s="40">
        <f>D86/J86</f>
        <v/>
      </c>
      <c r="G86" s="40">
        <f>F86/1.16</f>
        <v/>
      </c>
      <c r="H86" s="87" t="n">
        <v>1010</v>
      </c>
      <c r="I86" s="42" t="n">
        <v>6.01</v>
      </c>
      <c r="J86" s="74">
        <f>LET(dec, I86-INT(I86), IF(dec&lt;0.1, INT(I86), IF(dec&lt;=0.7, INT(I86)+0.5, INT(I86)+1)))</f>
        <v/>
      </c>
      <c r="K86" s="43" t="n">
        <v>46280</v>
      </c>
      <c r="L86" s="91" t="inlineStr">
        <is>
          <t>EMILIANO</t>
        </is>
      </c>
      <c r="M86" s="91" t="inlineStr">
        <is>
          <t>MATEO</t>
        </is>
      </c>
      <c r="N86" s="91" t="inlineStr">
        <is>
          <t>YAEL</t>
        </is>
      </c>
    </row>
    <row r="87">
      <c r="A87" s="91" t="inlineStr">
        <is>
          <t>7686657818293734164</t>
        </is>
      </c>
      <c r="B87" s="83" t="inlineStr">
        <is>
          <t>langavibars</t>
        </is>
      </c>
      <c r="C87" s="83" t="inlineStr">
        <is>
          <t>MX</t>
        </is>
      </c>
      <c r="D87" s="35" t="n">
        <v>13046.92</v>
      </c>
      <c r="E87" s="40">
        <f>D87/1.16</f>
        <v/>
      </c>
      <c r="F87" s="40">
        <f>D87/J87</f>
        <v/>
      </c>
      <c r="G87" s="40">
        <f>F87/1.16</f>
        <v/>
      </c>
      <c r="H87" s="87" t="n">
        <v>953</v>
      </c>
      <c r="I87" s="42" t="n">
        <v>4</v>
      </c>
      <c r="J87" s="74">
        <f>LET(dec, I87-INT(I87), IF(dec&lt;0.1, INT(I87), IF(dec&lt;=0.7, INT(I87)+0.5, INT(I87)+1)))</f>
        <v/>
      </c>
      <c r="K87" s="43" t="n">
        <v>46282</v>
      </c>
      <c r="L87" s="91" t="inlineStr">
        <is>
          <t>MATEO</t>
        </is>
      </c>
      <c r="M87" s="63" t="n"/>
      <c r="N87" s="91" t="inlineStr">
        <is>
          <t>YAEL</t>
        </is>
      </c>
    </row>
    <row r="88">
      <c r="A88" s="91" t="inlineStr">
        <is>
          <t>7687029172006718226</t>
        </is>
      </c>
      <c r="B88" s="83" t="inlineStr">
        <is>
          <t>langavibars</t>
        </is>
      </c>
      <c r="C88" s="83" t="inlineStr">
        <is>
          <t>MX</t>
        </is>
      </c>
      <c r="D88" s="35" t="n">
        <v>5587.65</v>
      </c>
      <c r="E88" s="40">
        <f>D88/1.16</f>
        <v/>
      </c>
      <c r="F88" s="40">
        <f>D88/J88</f>
        <v/>
      </c>
      <c r="G88" s="40">
        <f>F88/1.16</f>
        <v/>
      </c>
      <c r="H88" s="87" t="n">
        <v>728</v>
      </c>
      <c r="I88" s="42" t="n">
        <v>4.02</v>
      </c>
      <c r="J88" s="74">
        <f>LET(dec, I88-INT(I88), IF(dec&lt;0.1, INT(I88), IF(dec&lt;=0.7, INT(I88)+0.5, INT(I88)+1)))</f>
        <v/>
      </c>
      <c r="K88" s="43" t="n">
        <v>46283</v>
      </c>
      <c r="L88" s="91" t="inlineStr">
        <is>
          <t>EMILIANO</t>
        </is>
      </c>
      <c r="M88" s="63" t="n"/>
      <c r="N88" s="91" t="inlineStr">
        <is>
          <t>YAEL</t>
        </is>
      </c>
    </row>
    <row r="89">
      <c r="A89" s="91" t="inlineStr">
        <is>
          <t>7688142374014323477</t>
        </is>
      </c>
      <c r="B89" s="83" t="inlineStr">
        <is>
          <t>langavibars</t>
        </is>
      </c>
      <c r="C89" s="83" t="inlineStr">
        <is>
          <t>MX</t>
        </is>
      </c>
      <c r="D89" s="35" t="n">
        <v>19997.06</v>
      </c>
      <c r="E89" s="40">
        <f>D89/1.16</f>
        <v/>
      </c>
      <c r="F89" s="40">
        <f>D89/J89</f>
        <v/>
      </c>
      <c r="G89" s="40">
        <f>F89/1.16</f>
        <v/>
      </c>
      <c r="H89" s="87" t="n">
        <v>996</v>
      </c>
      <c r="I89" s="42" t="n">
        <v>4.02</v>
      </c>
      <c r="J89" s="74">
        <f>LET(dec, I89-INT(I89), IF(dec&lt;0.1, INT(I89), IF(dec&lt;=0.7, INT(I89)+0.5, INT(I89)+1)))</f>
        <v/>
      </c>
      <c r="K89" s="43" t="n">
        <v>46286</v>
      </c>
      <c r="L89" s="91" t="inlineStr">
        <is>
          <t>EMILIANO</t>
        </is>
      </c>
      <c r="M89" s="63" t="n"/>
      <c r="N89" s="91" t="inlineStr">
        <is>
          <t>YAEL</t>
        </is>
      </c>
    </row>
    <row r="90">
      <c r="A90" s="91" t="inlineStr">
        <is>
          <t>7688513485403097863</t>
        </is>
      </c>
      <c r="B90" s="83" t="inlineStr">
        <is>
          <t>langavibars</t>
        </is>
      </c>
      <c r="C90" s="83" t="inlineStr">
        <is>
          <t>MX</t>
        </is>
      </c>
      <c r="D90" s="35" t="n">
        <v>13497.28</v>
      </c>
      <c r="E90" s="40">
        <f>D90/1.16</f>
        <v/>
      </c>
      <c r="F90" s="40">
        <f>D90/J90</f>
        <v/>
      </c>
      <c r="G90" s="40">
        <f>F90/1.16</f>
        <v/>
      </c>
      <c r="H90" s="87" t="n">
        <v>1010</v>
      </c>
      <c r="I90" s="42" t="n">
        <v>4.01</v>
      </c>
      <c r="J90" s="74">
        <f>LET(dec, I90-INT(I90), IF(dec&lt;0.1, INT(I90), IF(dec&lt;=0.7, INT(I90)+0.5, INT(I90)+1)))</f>
        <v/>
      </c>
      <c r="K90" s="43" t="n">
        <v>46287</v>
      </c>
      <c r="L90" s="91" t="inlineStr">
        <is>
          <t>EMILIANO</t>
        </is>
      </c>
      <c r="M90" s="63" t="n"/>
      <c r="N90" s="91" t="inlineStr">
        <is>
          <t>YAEL</t>
        </is>
      </c>
    </row>
    <row r="91">
      <c r="A91" s="91" t="inlineStr">
        <is>
          <t>7688884565747829524</t>
        </is>
      </c>
      <c r="B91" s="83" t="inlineStr">
        <is>
          <t>langavibars</t>
        </is>
      </c>
      <c r="C91" s="83" t="inlineStr">
        <is>
          <t>MX</t>
        </is>
      </c>
      <c r="D91" s="35" t="n">
        <v>17916.18</v>
      </c>
      <c r="E91" s="40">
        <f>D91/1.16</f>
        <v/>
      </c>
      <c r="F91" s="40">
        <f>D91/J91</f>
        <v/>
      </c>
      <c r="G91" s="40">
        <f>F91/1.16</f>
        <v/>
      </c>
      <c r="H91" s="87" t="n">
        <v>1020</v>
      </c>
      <c r="I91" s="42" t="n">
        <v>4</v>
      </c>
      <c r="J91" s="74">
        <f>LET(dec, I91-INT(I91), IF(dec&lt;0.1, INT(I91), IF(dec&lt;=0.7, INT(I91)+0.5, INT(I91)+1)))</f>
        <v/>
      </c>
      <c r="K91" s="43" t="n">
        <v>46288</v>
      </c>
      <c r="L91" s="91" t="inlineStr">
        <is>
          <t>MATEO</t>
        </is>
      </c>
      <c r="M91" s="63" t="n"/>
      <c r="N91" s="91" t="inlineStr">
        <is>
          <t>YAEL</t>
        </is>
      </c>
    </row>
    <row r="92">
      <c r="A92" s="91" t="inlineStr">
        <is>
          <t>7689224692743326485</t>
        </is>
      </c>
      <c r="B92" s="83" t="inlineStr">
        <is>
          <t>langavibars</t>
        </is>
      </c>
      <c r="C92" s="83" t="inlineStr">
        <is>
          <t>MX</t>
        </is>
      </c>
      <c r="D92" s="35" t="n">
        <v>18029.7</v>
      </c>
      <c r="E92" s="40">
        <f>D92/1.16</f>
        <v/>
      </c>
      <c r="F92" s="40">
        <f>D92/J92</f>
        <v/>
      </c>
      <c r="G92" s="40">
        <f>F92/1.16</f>
        <v/>
      </c>
      <c r="H92" s="87" t="n">
        <v>1028.3</v>
      </c>
      <c r="I92" s="42" t="n">
        <v>6</v>
      </c>
      <c r="J92" s="74">
        <f>LET(dec, I92-INT(I92), IF(dec&lt;0.1, INT(I92), IF(dec&lt;=0.7, INT(I92)+0.5, INT(I92)+1)))</f>
        <v/>
      </c>
      <c r="K92" s="43" t="n">
        <v>46289</v>
      </c>
      <c r="L92" s="91" t="inlineStr">
        <is>
          <t>MATEO</t>
        </is>
      </c>
      <c r="M92" s="63" t="n"/>
      <c r="N92" s="91" t="inlineStr">
        <is>
          <t>YAEL</t>
        </is>
      </c>
    </row>
    <row r="93">
      <c r="A93" s="91" t="inlineStr">
        <is>
          <t>7689580343003958022</t>
        </is>
      </c>
      <c r="B93" s="83" t="inlineStr">
        <is>
          <t>langavibars</t>
        </is>
      </c>
      <c r="C93" s="83" t="inlineStr">
        <is>
          <t>MX</t>
        </is>
      </c>
      <c r="D93" s="35" t="n">
        <v>9126.77</v>
      </c>
      <c r="E93" s="40">
        <f>D93/1.16</f>
        <v/>
      </c>
      <c r="F93" s="40">
        <f>D93/J93</f>
        <v/>
      </c>
      <c r="G93" s="40">
        <f>F93/1.16</f>
        <v/>
      </c>
      <c r="H93" s="87" t="n">
        <v>1009.56</v>
      </c>
      <c r="I93" s="42" t="n">
        <v>6.01</v>
      </c>
      <c r="J93" s="74">
        <f>LET(dec, I93-INT(I93), IF(dec&lt;0.1, INT(I93), IF(dec&lt;=0.7, INT(I93)+0.5, INT(I93)+1)))</f>
        <v/>
      </c>
      <c r="K93" s="43" t="n">
        <v>46290</v>
      </c>
      <c r="L93" s="91" t="inlineStr">
        <is>
          <t>MILI CONCHA</t>
        </is>
      </c>
      <c r="M93" s="91" t="n"/>
      <c r="N93" s="91" t="inlineStr">
        <is>
          <t>YAEL</t>
        </is>
      </c>
    </row>
    <row r="94">
      <c r="K94" s="84" t="n"/>
    </row>
    <row r="95">
      <c r="A95" s="7" t="inlineStr">
        <is>
          <t>Room ID</t>
        </is>
      </c>
      <c r="B95" s="7" t="inlineStr">
        <is>
          <t>TT Handle</t>
        </is>
      </c>
      <c r="C95" s="7" t="inlineStr">
        <is>
          <t>Country</t>
        </is>
      </c>
      <c r="D95" s="7" t="inlineStr">
        <is>
          <t>GMV</t>
        </is>
      </c>
      <c r="E95" s="7" t="inlineStr">
        <is>
          <t>GMV/sin EVA</t>
        </is>
      </c>
      <c r="F95" s="7" t="inlineStr">
        <is>
          <t>GMV PER HOUR</t>
        </is>
      </c>
      <c r="G95" s="7" t="inlineStr">
        <is>
          <t>GMV PER HOUR/sin EVA</t>
        </is>
      </c>
      <c r="H95" s="7" t="inlineStr">
        <is>
          <t>Ads Cost</t>
        </is>
      </c>
      <c r="I95" s="9" t="inlineStr">
        <is>
          <t>Duration (H)</t>
        </is>
      </c>
      <c r="J95" s="70" t="inlineStr">
        <is>
          <t>Duration （Formula）</t>
        </is>
      </c>
      <c r="K95" s="101" t="inlineStr">
        <is>
          <t>Start date</t>
        </is>
      </c>
      <c r="L95" s="71" t="inlineStr">
        <is>
          <t>HOST1</t>
        </is>
      </c>
      <c r="M95" s="71" t="inlineStr">
        <is>
          <t xml:space="preserve">HOST 2 </t>
        </is>
      </c>
      <c r="N95" s="71" t="inlineStr">
        <is>
          <t>Operator</t>
        </is>
      </c>
    </row>
    <row r="96">
      <c r="A96" s="91" t="inlineStr">
        <is>
          <t>7690693527453453057</t>
        </is>
      </c>
      <c r="B96" s="83" t="inlineStr">
        <is>
          <t>langavibars</t>
        </is>
      </c>
      <c r="C96" s="83" t="inlineStr">
        <is>
          <t>MX</t>
        </is>
      </c>
      <c r="D96" s="35" t="n">
        <v>33003.72</v>
      </c>
      <c r="E96" s="40">
        <f>D96/1.16</f>
        <v/>
      </c>
      <c r="F96" s="40">
        <f>IFERROR(D96/J96,0)</f>
        <v/>
      </c>
      <c r="G96" s="40">
        <f>F96/1.16</f>
        <v/>
      </c>
      <c r="H96" s="87" t="n"/>
      <c r="I96" s="42" t="n">
        <v>7</v>
      </c>
      <c r="J96" s="74">
        <f>IF(I96-INT(I96)&lt;0.1,INT(I96),IF(I96-INT(I96)&lt;=0.7,INT(I96)+0.5,INT(I96)+1))</f>
        <v/>
      </c>
      <c r="K96" s="43" t="n">
        <v>46293</v>
      </c>
      <c r="L96" s="91" t="inlineStr">
        <is>
          <t>MATEO</t>
        </is>
      </c>
      <c r="M96" s="91" t="inlineStr">
        <is>
          <t>EMILIANO</t>
        </is>
      </c>
      <c r="N96" s="91" t="inlineStr">
        <is>
          <t>YAEL</t>
        </is>
      </c>
    </row>
    <row r="97">
      <c r="A97" s="91" t="inlineStr">
        <is>
          <t>7691080197122132743</t>
        </is>
      </c>
      <c r="B97" s="83" t="inlineStr">
        <is>
          <t>langavibars</t>
        </is>
      </c>
      <c r="C97" s="83" t="inlineStr">
        <is>
          <t>MX</t>
        </is>
      </c>
      <c r="D97" s="35" t="n">
        <v>23391.39</v>
      </c>
      <c r="E97" s="40">
        <f>D97/1.16</f>
        <v/>
      </c>
      <c r="F97" s="40">
        <f>IFERROR(D97/J97,0)</f>
        <v/>
      </c>
      <c r="G97" s="40">
        <f>F97/1.16</f>
        <v/>
      </c>
      <c r="H97" s="87" t="n"/>
      <c r="I97" s="42" t="n">
        <v>6</v>
      </c>
      <c r="J97" s="74">
        <f>IF(I97-INT(I97)&lt;0.1,INT(I97),IF(I97-INT(I97)&lt;=0.7,INT(I97)+0.5,INT(I97)+1))</f>
        <v/>
      </c>
      <c r="K97" s="43" t="n">
        <v>46294</v>
      </c>
      <c r="L97" s="91" t="inlineStr">
        <is>
          <t>EMILIANO</t>
        </is>
      </c>
      <c r="M97" s="91" t="inlineStr">
        <is>
          <t>MATEO</t>
        </is>
      </c>
      <c r="N97" s="91" t="inlineStr">
        <is>
          <t>YAEL</t>
        </is>
      </c>
    </row>
    <row r="98">
      <c r="A98" s="91" t="inlineStr">
        <is>
          <t>7691421671182043912</t>
        </is>
      </c>
      <c r="B98" s="83" t="inlineStr">
        <is>
          <t>langavibars</t>
        </is>
      </c>
      <c r="C98" s="83" t="inlineStr">
        <is>
          <t>MX</t>
        </is>
      </c>
      <c r="D98" s="35" t="n">
        <v>27700.77</v>
      </c>
      <c r="E98" s="40">
        <f>D98/1.16</f>
        <v/>
      </c>
      <c r="F98" s="40">
        <f>IFERROR(D98/J98,0)</f>
        <v/>
      </c>
      <c r="G98" s="40">
        <f>F98/1.16</f>
        <v/>
      </c>
      <c r="H98" s="87" t="n"/>
      <c r="I98" s="42" t="n">
        <v>8.01</v>
      </c>
      <c r="J98" s="74">
        <f>IF(I98-INT(I98)&lt;0.1,INT(I98),IF(I98-INT(I98)&lt;=0.7,INT(I98)+0.5,INT(I98)+1))</f>
        <v/>
      </c>
      <c r="K98" s="43" t="n">
        <v>46295</v>
      </c>
      <c r="L98" s="91" t="inlineStr">
        <is>
          <t>MATEO</t>
        </is>
      </c>
      <c r="M98" s="91" t="n"/>
      <c r="N98" s="91" t="inlineStr">
        <is>
          <t>YAEL</t>
        </is>
      </c>
    </row>
    <row r="99">
      <c r="A99" s="91" t="inlineStr">
        <is>
          <t>7691822337541688085</t>
        </is>
      </c>
      <c r="B99" s="83" t="inlineStr">
        <is>
          <t>langavibars</t>
        </is>
      </c>
      <c r="C99" s="83" t="inlineStr">
        <is>
          <t>MX</t>
        </is>
      </c>
      <c r="D99" s="35" t="n">
        <v>17689.1</v>
      </c>
      <c r="E99" s="40">
        <f>D99/1.16</f>
        <v/>
      </c>
      <c r="F99" s="40">
        <f>IFERROR(D99/J99,0)</f>
        <v/>
      </c>
      <c r="G99" s="40">
        <f>F99/1.16</f>
        <v/>
      </c>
      <c r="H99" s="87" t="n"/>
      <c r="I99" s="42" t="n">
        <v>6.02</v>
      </c>
      <c r="J99" s="74">
        <f>IF(I99-INT(I99)&lt;0.1,INT(I99),IF(I99-INT(I99)&lt;=0.7,INT(I99)+0.5,INT(I99)+1))</f>
        <v/>
      </c>
      <c r="K99" s="43" t="n">
        <v>46296</v>
      </c>
      <c r="L99" s="91" t="inlineStr">
        <is>
          <t>MATEO</t>
        </is>
      </c>
      <c r="M99" s="91" t="inlineStr">
        <is>
          <t>EMILIANO</t>
        </is>
      </c>
      <c r="N99" s="91" t="inlineStr">
        <is>
          <t>YAEL</t>
        </is>
      </c>
    </row>
    <row r="100">
      <c r="A100" s="91" t="inlineStr">
        <is>
          <t>7693306736761015048</t>
        </is>
      </c>
      <c r="B100" s="83" t="inlineStr">
        <is>
          <t>langavibars</t>
        </is>
      </c>
      <c r="C100" s="83" t="inlineStr">
        <is>
          <t>MX</t>
        </is>
      </c>
      <c r="D100" s="35" t="n">
        <v>20913.8</v>
      </c>
      <c r="E100" s="40">
        <f>D100/1.16</f>
        <v/>
      </c>
      <c r="F100" s="40">
        <f>IFERROR(D100/J100,0)</f>
        <v/>
      </c>
      <c r="G100" s="40">
        <f>F100/1.16</f>
        <v/>
      </c>
      <c r="H100" s="87" t="n"/>
      <c r="I100" s="42" t="n">
        <v>6.01</v>
      </c>
      <c r="J100" s="74">
        <f>IF(I100-INT(I100)&lt;0.1,INT(I100),IF(I100-INT(I100)&lt;=0.7,INT(I100)+0.5,INT(I100)+1))</f>
        <v/>
      </c>
      <c r="K100" s="43" t="n">
        <v>46300</v>
      </c>
      <c r="L100" s="91" t="inlineStr">
        <is>
          <t>MATEO</t>
        </is>
      </c>
      <c r="M100" s="91" t="inlineStr">
        <is>
          <t>EMILIANO</t>
        </is>
      </c>
      <c r="N100" s="91" t="inlineStr">
        <is>
          <t>YAEL</t>
        </is>
      </c>
    </row>
    <row r="101">
      <c r="A101" s="91" t="inlineStr">
        <is>
          <t>7693677566241278741</t>
        </is>
      </c>
      <c r="B101" s="83" t="inlineStr">
        <is>
          <t>langavibars</t>
        </is>
      </c>
      <c r="C101" s="83" t="inlineStr">
        <is>
          <t>MX</t>
        </is>
      </c>
      <c r="D101" s="35" t="n">
        <v>30040.21</v>
      </c>
      <c r="E101" s="40">
        <f>D101/1.16</f>
        <v/>
      </c>
      <c r="F101" s="40">
        <f>IFERROR(D101/J101,0)</f>
        <v/>
      </c>
      <c r="G101" s="40">
        <f>F101/1.16</f>
        <v/>
      </c>
      <c r="H101" s="87" t="n"/>
      <c r="I101" s="42" t="n">
        <v>6.01</v>
      </c>
      <c r="J101" s="74">
        <f>IF(I101-INT(I101)&lt;0.1,INT(I101),IF(I101-INT(I101)&lt;=0.7,INT(I101)+0.5,INT(I101)+1))</f>
        <v/>
      </c>
      <c r="K101" s="43" t="n">
        <v>46301</v>
      </c>
      <c r="L101" s="91" t="inlineStr">
        <is>
          <t>MATEO</t>
        </is>
      </c>
      <c r="M101" s="91" t="n"/>
      <c r="N101" s="91" t="inlineStr">
        <is>
          <t>YAEL</t>
        </is>
      </c>
    </row>
    <row r="102">
      <c r="A102" s="91" t="inlineStr">
        <is>
          <t>7694048815717075733</t>
        </is>
      </c>
      <c r="B102" s="83" t="inlineStr">
        <is>
          <t>langavibars</t>
        </is>
      </c>
      <c r="C102" s="83" t="inlineStr">
        <is>
          <t>MX</t>
        </is>
      </c>
      <c r="D102" s="35" t="n">
        <v>21052.07</v>
      </c>
      <c r="E102" s="40">
        <f>D102/1.16</f>
        <v/>
      </c>
      <c r="F102" s="40">
        <f>IFERROR(D102/J102,0)</f>
        <v/>
      </c>
      <c r="G102" s="40">
        <f>F102/1.16</f>
        <v/>
      </c>
      <c r="H102" s="87" t="n"/>
      <c r="I102" s="42" t="n">
        <v>6.02</v>
      </c>
      <c r="J102" s="74">
        <f>IF(I102-INT(I102)&lt;0.1,INT(I102),IF(I102-INT(I102)&lt;=0.7,INT(I102)+0.5,INT(I102)+1))</f>
        <v/>
      </c>
      <c r="K102" s="43" t="n">
        <v>46302</v>
      </c>
      <c r="L102" s="91" t="inlineStr">
        <is>
          <t>MATEO</t>
        </is>
      </c>
      <c r="M102" s="91" t="inlineStr">
        <is>
          <t>EMILIANO</t>
        </is>
      </c>
      <c r="N102" s="91" t="inlineStr">
        <is>
          <t>YAEL</t>
        </is>
      </c>
    </row>
    <row r="103">
      <c r="A103" s="91" t="inlineStr">
        <is>
          <t>7694419842471889670</t>
        </is>
      </c>
      <c r="B103" s="83" t="inlineStr">
        <is>
          <t>langavibars</t>
        </is>
      </c>
      <c r="C103" s="83" t="inlineStr">
        <is>
          <t>MX</t>
        </is>
      </c>
      <c r="D103" s="35" t="n">
        <v>15133.67</v>
      </c>
      <c r="E103" s="40">
        <f>D103/1.16</f>
        <v/>
      </c>
      <c r="F103" s="40">
        <f>IFERROR(D103/J103,0)</f>
        <v/>
      </c>
      <c r="G103" s="40">
        <f>F103/1.16</f>
        <v/>
      </c>
      <c r="H103" s="87" t="n"/>
      <c r="I103" s="42" t="n">
        <v>6.01</v>
      </c>
      <c r="J103" s="74">
        <f>IF(I103-INT(I103)&lt;0.1,INT(I103),IF(I103-INT(I103)&lt;=0.7,INT(I103)+0.5,INT(I103)+1))</f>
        <v/>
      </c>
      <c r="K103" s="43" t="n">
        <v>46303</v>
      </c>
      <c r="L103" s="91" t="inlineStr">
        <is>
          <t>MATEO</t>
        </is>
      </c>
      <c r="M103" s="91" t="inlineStr">
        <is>
          <t>EMILIANO</t>
        </is>
      </c>
      <c r="N103" s="91" t="inlineStr">
        <is>
          <t>YAEL</t>
        </is>
      </c>
    </row>
    <row r="104">
      <c r="A104" s="91" t="inlineStr">
        <is>
          <t>7694793614513244946</t>
        </is>
      </c>
      <c r="B104" s="83" t="inlineStr">
        <is>
          <t>langavibars</t>
        </is>
      </c>
      <c r="C104" s="83" t="inlineStr">
        <is>
          <t>MX</t>
        </is>
      </c>
      <c r="D104" s="35" t="n">
        <v>17670.39</v>
      </c>
      <c r="E104" s="40">
        <f>D104/1.16</f>
        <v/>
      </c>
      <c r="F104" s="40">
        <f>IFERROR(D104/J104,0)</f>
        <v/>
      </c>
      <c r="G104" s="40">
        <f>F104/1.16</f>
        <v/>
      </c>
      <c r="H104" s="87" t="n"/>
      <c r="I104" s="42" t="n">
        <v>6.02</v>
      </c>
      <c r="J104" s="74">
        <f>IF(I104-INT(I104)&lt;0.1,INT(I104),IF(I104-INT(I104)&lt;=0.7,INT(I104)+0.5,INT(I104)+1))</f>
        <v/>
      </c>
      <c r="K104" s="43" t="n">
        <v>46304</v>
      </c>
      <c r="L104" s="91" t="inlineStr">
        <is>
          <t>MATEO</t>
        </is>
      </c>
      <c r="M104" s="91" t="n"/>
      <c r="N104" s="91" t="inlineStr">
        <is>
          <t>YAEL</t>
        </is>
      </c>
    </row>
    <row r="105">
      <c r="A105" s="91" t="inlineStr">
        <is>
          <t>7695904324421602068</t>
        </is>
      </c>
      <c r="B105" s="83" t="inlineStr">
        <is>
          <t>langavibars</t>
        </is>
      </c>
      <c r="C105" s="83" t="inlineStr">
        <is>
          <t>MX</t>
        </is>
      </c>
      <c r="D105" s="35" t="n">
        <v>22168.36</v>
      </c>
      <c r="E105" s="40">
        <f>D105/1.16</f>
        <v/>
      </c>
      <c r="F105" s="40">
        <f>IFERROR(D105/J105,0)</f>
        <v/>
      </c>
      <c r="G105" s="40">
        <f>F105/1.16</f>
        <v/>
      </c>
      <c r="H105" s="87" t="n"/>
      <c r="I105" s="42" t="n">
        <v>6.01</v>
      </c>
      <c r="J105" s="74">
        <f>IF(I105-INT(I105)&lt;0.1,INT(I105),IF(I105-INT(I105)&lt;=0.7,INT(I105)+0.5,INT(I105)+1))</f>
        <v/>
      </c>
      <c r="K105" s="43" t="n">
        <v>46307</v>
      </c>
      <c r="L105" s="91" t="inlineStr">
        <is>
          <t>EMILIANO</t>
        </is>
      </c>
      <c r="M105" s="91" t="inlineStr">
        <is>
          <t>MATEO</t>
        </is>
      </c>
      <c r="N105" s="91" t="inlineStr">
        <is>
          <t>YAEL</t>
        </is>
      </c>
    </row>
    <row r="106">
      <c r="A106" s="91" t="inlineStr">
        <is>
          <t>7696275818959375124</t>
        </is>
      </c>
      <c r="B106" s="83" t="inlineStr">
        <is>
          <t>langavibars</t>
        </is>
      </c>
      <c r="C106" s="83" t="inlineStr">
        <is>
          <t>MX</t>
        </is>
      </c>
      <c r="D106" s="35" t="n">
        <v>20930.25</v>
      </c>
      <c r="E106" s="40">
        <f>D106/1.16</f>
        <v/>
      </c>
      <c r="F106" s="40">
        <f>IFERROR(D106/J106,0)</f>
        <v/>
      </c>
      <c r="G106" s="40">
        <f>F106/1.16</f>
        <v/>
      </c>
      <c r="H106" s="87" t="n"/>
      <c r="I106" s="42" t="n">
        <v>6.01</v>
      </c>
      <c r="J106" s="74">
        <f>IF(I106-INT(I106)&lt;0.1,INT(I106),IF(I106-INT(I106)&lt;=0.7,INT(I106)+0.5,INT(I106)+1))</f>
        <v/>
      </c>
      <c r="K106" s="43" t="n">
        <v>46308</v>
      </c>
      <c r="L106" s="91" t="inlineStr">
        <is>
          <t>EMILIANO</t>
        </is>
      </c>
      <c r="M106" s="91" t="inlineStr">
        <is>
          <t>MATEO</t>
        </is>
      </c>
      <c r="N106" s="91" t="inlineStr">
        <is>
          <t>YAEL</t>
        </is>
      </c>
    </row>
    <row r="107">
      <c r="A107" s="91" t="inlineStr">
        <is>
          <t>7696646444670765831</t>
        </is>
      </c>
      <c r="B107" s="83" t="inlineStr">
        <is>
          <t>langavibars</t>
        </is>
      </c>
      <c r="C107" s="83" t="inlineStr">
        <is>
          <t>MX</t>
        </is>
      </c>
      <c r="D107" s="35" t="n">
        <v>13299.16</v>
      </c>
      <c r="E107" s="40">
        <f>D107/1.16</f>
        <v/>
      </c>
      <c r="F107" s="40">
        <f>IFERROR(D107/J107,0)</f>
        <v/>
      </c>
      <c r="G107" s="40">
        <f>F107/1.16</f>
        <v/>
      </c>
      <c r="H107" s="87" t="n"/>
      <c r="I107" s="42" t="n">
        <v>6.01</v>
      </c>
      <c r="J107" s="74">
        <f>IF(I107-INT(I107)&lt;0.1,INT(I107),IF(I107-INT(I107)&lt;=0.7,INT(I107)+0.5,INT(I107)+1))</f>
        <v/>
      </c>
      <c r="K107" s="43" t="n">
        <v>46309</v>
      </c>
      <c r="L107" s="91" t="inlineStr">
        <is>
          <t>MATEO</t>
        </is>
      </c>
      <c r="M107" s="91" t="n"/>
      <c r="N107" s="91" t="inlineStr">
        <is>
          <t>YAEL</t>
        </is>
      </c>
    </row>
    <row r="108">
      <c r="A108" s="91" t="inlineStr">
        <is>
          <t>7696986997046430484</t>
        </is>
      </c>
      <c r="B108" s="83" t="inlineStr">
        <is>
          <t>langavibars</t>
        </is>
      </c>
      <c r="C108" s="83" t="inlineStr">
        <is>
          <t>MX</t>
        </is>
      </c>
      <c r="D108" s="35" t="n">
        <v>18249.91</v>
      </c>
      <c r="E108" s="40">
        <f>D108/1.16</f>
        <v/>
      </c>
      <c r="F108" s="40">
        <f>IFERROR(D108/J108,0)</f>
        <v/>
      </c>
      <c r="G108" s="40">
        <f>F108/1.16</f>
        <v/>
      </c>
      <c r="H108" s="87" t="n"/>
      <c r="I108" s="42" t="n">
        <v>8.029999999999999</v>
      </c>
      <c r="J108" s="74">
        <f>IF(I108-INT(I108)&lt;0.1,INT(I108),IF(I108-INT(I108)&lt;=0.7,INT(I108)+0.5,INT(I108)+1))</f>
        <v/>
      </c>
      <c r="K108" s="43" t="n">
        <v>46310</v>
      </c>
      <c r="L108" s="91" t="inlineStr">
        <is>
          <t>EMILIANO</t>
        </is>
      </c>
      <c r="M108" s="91" t="inlineStr">
        <is>
          <t>MATEO</t>
        </is>
      </c>
      <c r="N108" s="91" t="inlineStr">
        <is>
          <t>YAEL</t>
        </is>
      </c>
    </row>
    <row r="109">
      <c r="A109" s="91" t="inlineStr">
        <is>
          <t>7697388575110777620</t>
        </is>
      </c>
      <c r="B109" s="83" t="inlineStr">
        <is>
          <t>langavibars</t>
        </is>
      </c>
      <c r="C109" s="83" t="inlineStr">
        <is>
          <t>MX</t>
        </is>
      </c>
      <c r="D109" s="35" t="n">
        <v>11228.65</v>
      </c>
      <c r="E109" s="40">
        <f>D109/1.16</f>
        <v/>
      </c>
      <c r="F109" s="40">
        <f>IFERROR(D109/J109,0)</f>
        <v/>
      </c>
      <c r="G109" s="40">
        <f>F109/1.16</f>
        <v/>
      </c>
      <c r="H109" s="87" t="n"/>
      <c r="I109" s="42" t="n">
        <v>6.01</v>
      </c>
      <c r="J109" s="74">
        <f>IF(I109-INT(I109)&lt;0.1,INT(I109),IF(I109-INT(I109)&lt;=0.7,INT(I109)+0.5,INT(I109)+1))</f>
        <v/>
      </c>
      <c r="K109" s="43" t="n">
        <v>46311</v>
      </c>
      <c r="L109" s="91" t="inlineStr">
        <is>
          <t>MATEO</t>
        </is>
      </c>
      <c r="M109" s="91" t="n"/>
      <c r="N109" s="91" t="inlineStr">
        <is>
          <t>YAEL</t>
        </is>
      </c>
    </row>
    <row r="110">
      <c r="A110" s="91" t="inlineStr">
        <is>
          <t>7698502122804218644</t>
        </is>
      </c>
      <c r="B110" s="83" t="inlineStr">
        <is>
          <t>langavibars</t>
        </is>
      </c>
      <c r="C110" s="83" t="inlineStr">
        <is>
          <t>MX</t>
        </is>
      </c>
      <c r="D110" s="35" t="n">
        <v>19897.48</v>
      </c>
      <c r="E110" s="40">
        <f>D110/1.16</f>
        <v/>
      </c>
      <c r="F110" s="40">
        <f>IFERROR(D110/J110,0)</f>
        <v/>
      </c>
      <c r="G110" s="40">
        <f>F110/1.16</f>
        <v/>
      </c>
      <c r="H110" s="87" t="n"/>
      <c r="I110" s="42" t="n">
        <v>6.01</v>
      </c>
      <c r="J110" s="74">
        <f>IF(I110-INT(I110)&lt;0.1,INT(I110),IF(I110-INT(I110)&lt;=0.7,INT(I110)+0.5,INT(I110)+1))</f>
        <v/>
      </c>
      <c r="K110" s="43" t="n">
        <v>46314</v>
      </c>
      <c r="L110" s="91" t="inlineStr">
        <is>
          <t>MATEO</t>
        </is>
      </c>
      <c r="M110" s="91" t="inlineStr">
        <is>
          <t>EMILIANO</t>
        </is>
      </c>
      <c r="N110" s="91" t="inlineStr">
        <is>
          <t>YAEL</t>
        </is>
      </c>
    </row>
    <row r="111">
      <c r="A111" s="91" t="inlineStr">
        <is>
          <t>7698873782769175304</t>
        </is>
      </c>
      <c r="B111" s="83" t="inlineStr">
        <is>
          <t>langavibars</t>
        </is>
      </c>
      <c r="C111" s="83" t="inlineStr">
        <is>
          <t>MX</t>
        </is>
      </c>
      <c r="D111" s="35" t="n">
        <v>3628.95</v>
      </c>
      <c r="E111" s="40">
        <f>D111/1.16</f>
        <v/>
      </c>
      <c r="F111" s="40">
        <f>IFERROR(D111/J111,0)</f>
        <v/>
      </c>
      <c r="G111" s="40">
        <f>F111/1.16</f>
        <v/>
      </c>
      <c r="H111" s="87" t="n"/>
      <c r="I111" s="42" t="n">
        <v>2</v>
      </c>
      <c r="J111" s="74">
        <f>IF(I111-INT(I111)&lt;0.1,INT(I111),IF(I111-INT(I111)&lt;=0.7,INT(I111)+0.5,INT(I111)+1))</f>
        <v/>
      </c>
      <c r="K111" s="43" t="n">
        <v>46315</v>
      </c>
      <c r="L111" s="91" t="inlineStr">
        <is>
          <t>EMILIANO</t>
        </is>
      </c>
      <c r="M111" s="91" t="n"/>
      <c r="N111" s="91" t="inlineStr">
        <is>
          <t>YAEL</t>
        </is>
      </c>
    </row>
    <row r="112">
      <c r="A112" s="91" t="inlineStr">
        <is>
          <t>7699245752052615944</t>
        </is>
      </c>
      <c r="B112" s="83" t="inlineStr">
        <is>
          <t>langavibars</t>
        </is>
      </c>
      <c r="C112" s="83" t="inlineStr">
        <is>
          <t>MX</t>
        </is>
      </c>
      <c r="D112" s="35" t="n">
        <v>15523.18</v>
      </c>
      <c r="E112" s="40">
        <f>D112/1.16</f>
        <v/>
      </c>
      <c r="F112" s="40">
        <f>IFERROR(D112/J112,0)</f>
        <v/>
      </c>
      <c r="G112" s="40">
        <f>F112/1.16</f>
        <v/>
      </c>
      <c r="H112" s="87" t="n"/>
      <c r="I112" s="42" t="n">
        <v>6.01</v>
      </c>
      <c r="J112" s="74">
        <f>IF(I112-INT(I112)&lt;0.1,INT(I112),IF(I112-INT(I112)&lt;=0.7,INT(I112)+0.5,INT(I112)+1))</f>
        <v/>
      </c>
      <c r="K112" s="43" t="n">
        <v>46316</v>
      </c>
      <c r="L112" s="91" t="inlineStr">
        <is>
          <t>MATEO</t>
        </is>
      </c>
      <c r="M112" s="91" t="inlineStr">
        <is>
          <t>MILI CONCHA</t>
        </is>
      </c>
      <c r="N112" s="91" t="inlineStr">
        <is>
          <t>YAEL</t>
        </is>
      </c>
    </row>
    <row r="113">
      <c r="A113" s="91" t="inlineStr">
        <is>
          <t>7699615151351253778</t>
        </is>
      </c>
      <c r="B113" s="83" t="inlineStr">
        <is>
          <t>langavibars</t>
        </is>
      </c>
      <c r="C113" s="83" t="inlineStr">
        <is>
          <t>MX</t>
        </is>
      </c>
      <c r="D113" s="35" t="n">
        <v>13377.29</v>
      </c>
      <c r="E113" s="40">
        <f>D113/1.16</f>
        <v/>
      </c>
      <c r="F113" s="40">
        <f>IFERROR(D113/J113,0)</f>
        <v/>
      </c>
      <c r="G113" s="40">
        <f>F113/1.16</f>
        <v/>
      </c>
      <c r="H113" s="87" t="n"/>
      <c r="I113" s="42" t="n">
        <v>6.01</v>
      </c>
      <c r="J113" s="74">
        <f>IF(I113-INT(I113)&lt;0.1,INT(I113),IF(I113-INT(I113)&lt;=0.7,INT(I113)+0.5,INT(I113)+1))</f>
        <v/>
      </c>
      <c r="K113" s="43" t="n">
        <v>46317</v>
      </c>
      <c r="L113" s="91" t="inlineStr">
        <is>
          <t>MATEO</t>
        </is>
      </c>
      <c r="M113" s="91" t="inlineStr">
        <is>
          <t>MILI CONCHA</t>
        </is>
      </c>
      <c r="N113" s="91" t="inlineStr">
        <is>
          <t>YAEL</t>
        </is>
      </c>
    </row>
    <row r="114">
      <c r="A114" s="91" t="inlineStr">
        <is>
          <t>7699986283998022408</t>
        </is>
      </c>
      <c r="B114" s="83" t="inlineStr">
        <is>
          <t>langavibars</t>
        </is>
      </c>
      <c r="C114" s="83" t="inlineStr">
        <is>
          <t>MX</t>
        </is>
      </c>
      <c r="D114" s="35" t="n">
        <v>12241.57</v>
      </c>
      <c r="E114" s="40">
        <f>D114/1.16</f>
        <v/>
      </c>
      <c r="F114" s="40">
        <f>IFERROR(D114/J114,0)</f>
        <v/>
      </c>
      <c r="G114" s="40">
        <f>F114/1.16</f>
        <v/>
      </c>
      <c r="H114" s="87" t="n"/>
      <c r="I114" s="42" t="n">
        <v>4.01</v>
      </c>
      <c r="J114" s="74">
        <f>IF(I114-INT(I114)&lt;0.1,INT(I114),IF(I114-INT(I114)&lt;=0.7,INT(I114)+0.5,INT(I114)+1))</f>
        <v/>
      </c>
      <c r="K114" s="43" t="n">
        <v>46318</v>
      </c>
      <c r="L114" s="91" t="inlineStr">
        <is>
          <t>MATEO</t>
        </is>
      </c>
      <c r="M114" s="91" t="n"/>
      <c r="N114" s="91" t="inlineStr">
        <is>
          <t>YAEL</t>
        </is>
      </c>
    </row>
    <row r="115">
      <c r="A115" s="91" t="inlineStr">
        <is>
          <t>7701099514220546823</t>
        </is>
      </c>
      <c r="B115" s="83" t="inlineStr">
        <is>
          <t>langavibars</t>
        </is>
      </c>
      <c r="C115" s="83" t="inlineStr">
        <is>
          <t>MX</t>
        </is>
      </c>
      <c r="D115" s="35" t="n">
        <v>17249.72</v>
      </c>
      <c r="E115" s="40">
        <f>D115/1.16</f>
        <v/>
      </c>
      <c r="F115" s="40">
        <f>IFERROR(D115/J115,0)</f>
        <v/>
      </c>
      <c r="G115" s="40">
        <f>F115/1.16</f>
        <v/>
      </c>
      <c r="H115" s="87" t="n"/>
      <c r="I115" s="42" t="n">
        <v>6.01</v>
      </c>
      <c r="J115" s="74">
        <f>IF(I115-INT(I115)&lt;0.1,INT(I115),IF(I115-INT(I115)&lt;=0.7,INT(I115)+0.5,INT(I115)+1))</f>
        <v/>
      </c>
      <c r="K115" s="43" t="n">
        <v>46321</v>
      </c>
      <c r="L115" s="91" t="inlineStr">
        <is>
          <t>MATEO</t>
        </is>
      </c>
      <c r="M115" s="91" t="inlineStr">
        <is>
          <t>MILI CONCHA</t>
        </is>
      </c>
      <c r="N115" s="91" t="inlineStr">
        <is>
          <t>YAEL</t>
        </is>
      </c>
    </row>
    <row r="116">
      <c r="K116" s="84" t="n"/>
    </row>
    <row r="117">
      <c r="K117" s="84" t="n"/>
    </row>
    <row r="118">
      <c r="K118" s="84" t="n"/>
    </row>
    <row r="119">
      <c r="K119" s="84" t="n"/>
    </row>
    <row r="120">
      <c r="K120" s="84" t="n"/>
    </row>
    <row r="121">
      <c r="K121" s="84" t="n"/>
    </row>
    <row r="122">
      <c r="K122" s="84" t="n"/>
    </row>
    <row r="123">
      <c r="K123" s="84" t="n"/>
    </row>
    <row r="124">
      <c r="K124" s="84" t="n"/>
    </row>
    <row r="125">
      <c r="K125" s="84" t="n"/>
    </row>
    <row r="126">
      <c r="K126" s="84" t="n"/>
    </row>
    <row r="127">
      <c r="K127" s="84" t="n"/>
    </row>
    <row r="128">
      <c r="K128" s="84" t="n"/>
    </row>
    <row r="129">
      <c r="K129" s="84" t="n"/>
    </row>
    <row r="130">
      <c r="K130" s="84" t="n"/>
    </row>
    <row r="131">
      <c r="K131" s="84" t="n"/>
    </row>
    <row r="132">
      <c r="K132" s="84" t="n"/>
    </row>
    <row r="133">
      <c r="K133" s="84" t="n"/>
    </row>
    <row r="134">
      <c r="K134" s="84" t="n"/>
    </row>
    <row r="135">
      <c r="K135" s="84" t="n"/>
    </row>
    <row r="136">
      <c r="K136" s="84" t="n"/>
    </row>
    <row r="137">
      <c r="K137" s="84" t="n"/>
    </row>
    <row r="138">
      <c r="K138" s="84" t="n"/>
    </row>
    <row r="139">
      <c r="K139" s="84" t="n"/>
    </row>
    <row r="140">
      <c r="K140" s="84" t="n"/>
    </row>
    <row r="141">
      <c r="K141" s="84" t="n"/>
    </row>
    <row r="142">
      <c r="K142" s="84" t="n"/>
    </row>
    <row r="143">
      <c r="K143" s="84" t="n"/>
    </row>
    <row r="144">
      <c r="K144" s="84" t="n"/>
    </row>
    <row r="145">
      <c r="K145" s="84" t="n"/>
    </row>
    <row r="146">
      <c r="K146" s="84" t="n"/>
    </row>
    <row r="147">
      <c r="K147" s="84" t="n"/>
    </row>
    <row r="148">
      <c r="K148" s="84" t="n"/>
    </row>
    <row r="149">
      <c r="K149" s="84" t="n"/>
    </row>
    <row r="150">
      <c r="K150" s="84" t="n"/>
    </row>
    <row r="151">
      <c r="K151" s="84" t="n"/>
    </row>
    <row r="152">
      <c r="K152" s="84" t="n"/>
    </row>
    <row r="153">
      <c r="K153" s="84" t="n"/>
    </row>
    <row r="154">
      <c r="K154" s="84" t="n"/>
    </row>
    <row r="155">
      <c r="K155" s="84" t="n"/>
    </row>
    <row r="156">
      <c r="K156" s="84" t="n"/>
    </row>
    <row r="157">
      <c r="K157" s="84" t="n"/>
    </row>
    <row r="158">
      <c r="K158" s="84" t="n"/>
    </row>
    <row r="159">
      <c r="K159" s="84" t="n"/>
    </row>
    <row r="160">
      <c r="K160" s="84" t="n"/>
    </row>
    <row r="161">
      <c r="K161" s="84" t="n"/>
    </row>
    <row r="162">
      <c r="K162" s="84" t="n"/>
    </row>
    <row r="163">
      <c r="K163" s="84" t="n"/>
    </row>
    <row r="164">
      <c r="K164" s="84" t="n"/>
    </row>
    <row r="165">
      <c r="K165" s="84" t="n"/>
    </row>
    <row r="166">
      <c r="K166" s="84" t="n"/>
    </row>
    <row r="167">
      <c r="K167" s="84" t="n"/>
    </row>
    <row r="168">
      <c r="K168" s="84" t="n"/>
    </row>
    <row r="169">
      <c r="K169" s="84" t="n"/>
    </row>
    <row r="170">
      <c r="K170" s="84" t="n"/>
    </row>
    <row r="171">
      <c r="K171" s="84" t="n"/>
    </row>
    <row r="172">
      <c r="K172" s="84" t="n"/>
    </row>
    <row r="173">
      <c r="K173" s="84" t="n"/>
    </row>
    <row r="174">
      <c r="K174" s="84" t="n"/>
    </row>
    <row r="175">
      <c r="K175" s="84" t="n"/>
    </row>
    <row r="176">
      <c r="K176" s="84" t="n"/>
    </row>
    <row r="177">
      <c r="K177" s="84" t="n"/>
    </row>
    <row r="178">
      <c r="K178" s="84" t="n"/>
    </row>
    <row r="179">
      <c r="K179" s="84" t="n"/>
    </row>
    <row r="180">
      <c r="K180" s="84" t="n"/>
    </row>
    <row r="181">
      <c r="K181" s="84" t="n"/>
    </row>
    <row r="182">
      <c r="K182" s="84" t="n"/>
    </row>
    <row r="183">
      <c r="K183" s="84" t="n"/>
    </row>
    <row r="184">
      <c r="K184" s="84" t="n"/>
    </row>
    <row r="185">
      <c r="K185" s="84" t="n"/>
    </row>
    <row r="186">
      <c r="K186" s="84" t="n"/>
    </row>
    <row r="187">
      <c r="K187" s="84" t="n"/>
    </row>
    <row r="188">
      <c r="K188" s="84" t="n"/>
    </row>
    <row r="189">
      <c r="K189" s="84" t="n"/>
    </row>
    <row r="190">
      <c r="K190" s="84" t="n"/>
    </row>
    <row r="191">
      <c r="K191" s="84" t="n"/>
    </row>
    <row r="192">
      <c r="K192" s="84" t="n"/>
    </row>
    <row r="193">
      <c r="K193" s="84" t="n"/>
    </row>
    <row r="194">
      <c r="K194" s="84" t="n"/>
    </row>
    <row r="195">
      <c r="K195" s="84" t="n"/>
    </row>
    <row r="196">
      <c r="K196" s="84" t="n"/>
    </row>
    <row r="197">
      <c r="K197" s="84" t="n"/>
    </row>
    <row r="198">
      <c r="K198" s="84" t="n"/>
    </row>
    <row r="199">
      <c r="K199" s="84" t="n"/>
    </row>
    <row r="200">
      <c r="K200" s="84" t="n"/>
    </row>
    <row r="201">
      <c r="K201" s="84" t="n"/>
    </row>
    <row r="202">
      <c r="K202" s="84" t="n"/>
    </row>
    <row r="203">
      <c r="K203" s="84" t="n"/>
    </row>
    <row r="204">
      <c r="K204" s="84" t="n"/>
    </row>
    <row r="205">
      <c r="K205" s="84" t="n"/>
    </row>
    <row r="206">
      <c r="K206" s="84" t="n"/>
    </row>
    <row r="207">
      <c r="K207" s="84" t="n"/>
    </row>
    <row r="208">
      <c r="K208" s="84" t="n"/>
    </row>
    <row r="209">
      <c r="K209" s="84" t="n"/>
    </row>
    <row r="210">
      <c r="K210" s="84" t="n"/>
    </row>
    <row r="211">
      <c r="K211" s="84" t="n"/>
    </row>
    <row r="212">
      <c r="K212" s="84" t="n"/>
    </row>
    <row r="213">
      <c r="K213" s="84" t="n"/>
    </row>
    <row r="214">
      <c r="K214" s="84" t="n"/>
    </row>
    <row r="215">
      <c r="K215" s="84" t="n"/>
    </row>
    <row r="216">
      <c r="K216" s="84" t="n"/>
    </row>
    <row r="217">
      <c r="K217" s="84" t="n"/>
    </row>
    <row r="218">
      <c r="K218" s="84" t="n"/>
    </row>
    <row r="219">
      <c r="K219" s="84" t="n"/>
    </row>
    <row r="220">
      <c r="K220" s="84" t="n"/>
    </row>
    <row r="221">
      <c r="K221" s="84" t="n"/>
    </row>
    <row r="222">
      <c r="K222" s="84" t="n"/>
    </row>
    <row r="223">
      <c r="K223" s="84" t="n"/>
    </row>
    <row r="224">
      <c r="K224" s="84" t="n"/>
    </row>
    <row r="225">
      <c r="K225" s="84" t="n"/>
    </row>
    <row r="226">
      <c r="K226" s="84" t="n"/>
    </row>
    <row r="227">
      <c r="K227" s="84" t="n"/>
    </row>
    <row r="228">
      <c r="K228" s="84" t="n"/>
    </row>
    <row r="229">
      <c r="K229" s="84" t="n"/>
    </row>
    <row r="230">
      <c r="K230" s="84" t="n"/>
    </row>
    <row r="231">
      <c r="K231" s="84" t="n"/>
    </row>
    <row r="232">
      <c r="K232" s="84" t="n"/>
    </row>
    <row r="233">
      <c r="K233" s="84" t="n"/>
    </row>
    <row r="234">
      <c r="K234" s="84" t="n"/>
    </row>
    <row r="235">
      <c r="K235" s="84" t="n"/>
    </row>
    <row r="236">
      <c r="K236" s="84" t="n"/>
    </row>
    <row r="237">
      <c r="K237" s="84" t="n"/>
    </row>
    <row r="238">
      <c r="K238" s="84" t="n"/>
    </row>
    <row r="239">
      <c r="K239" s="84" t="n"/>
    </row>
    <row r="240">
      <c r="K240" s="84" t="n"/>
    </row>
    <row r="241">
      <c r="K241" s="84" t="n"/>
    </row>
    <row r="242">
      <c r="K242" s="84" t="n"/>
    </row>
    <row r="243">
      <c r="K243" s="84" t="n"/>
    </row>
    <row r="244">
      <c r="K244" s="84" t="n"/>
    </row>
    <row r="245">
      <c r="K245" s="84" t="n"/>
    </row>
    <row r="246">
      <c r="K246" s="84" t="n"/>
    </row>
    <row r="247">
      <c r="K247" s="84" t="n"/>
    </row>
    <row r="248">
      <c r="K248" s="84" t="n"/>
    </row>
    <row r="249">
      <c r="K249" s="84" t="n"/>
    </row>
    <row r="250">
      <c r="K250" s="84" t="n"/>
    </row>
    <row r="251">
      <c r="K251" s="84" t="n"/>
    </row>
    <row r="252">
      <c r="K252" s="84" t="n"/>
    </row>
    <row r="253">
      <c r="K253" s="84" t="n"/>
    </row>
    <row r="254">
      <c r="K254" s="84" t="n"/>
    </row>
    <row r="255">
      <c r="K255" s="84" t="n"/>
    </row>
    <row r="256">
      <c r="K256" s="84" t="n"/>
    </row>
    <row r="257">
      <c r="K257" s="84" t="n"/>
    </row>
    <row r="258">
      <c r="K258" s="84" t="n"/>
    </row>
    <row r="259">
      <c r="K259" s="84" t="n"/>
    </row>
    <row r="260">
      <c r="K260" s="84" t="n"/>
    </row>
    <row r="261">
      <c r="K261" s="84" t="n"/>
    </row>
    <row r="262">
      <c r="K262" s="84" t="n"/>
    </row>
    <row r="263">
      <c r="K263" s="84" t="n"/>
    </row>
    <row r="264">
      <c r="K264" s="84" t="n"/>
    </row>
    <row r="265">
      <c r="K265" s="84" t="n"/>
    </row>
    <row r="266">
      <c r="K266" s="84" t="n"/>
    </row>
    <row r="267">
      <c r="K267" s="84" t="n"/>
    </row>
    <row r="268">
      <c r="K268" s="84" t="n"/>
    </row>
    <row r="269">
      <c r="K269" s="84" t="n"/>
    </row>
    <row r="270">
      <c r="K270" s="84" t="n"/>
    </row>
    <row r="271">
      <c r="K271" s="84" t="n"/>
    </row>
    <row r="272">
      <c r="K272" s="84" t="n"/>
    </row>
    <row r="273">
      <c r="K273" s="84" t="n"/>
    </row>
    <row r="274">
      <c r="K274" s="84" t="n"/>
    </row>
    <row r="275">
      <c r="K275" s="84" t="n"/>
    </row>
    <row r="276">
      <c r="K276" s="84" t="n"/>
    </row>
    <row r="277">
      <c r="K277" s="84" t="n"/>
    </row>
    <row r="278">
      <c r="K278" s="84" t="n"/>
    </row>
    <row r="279">
      <c r="K279" s="84" t="n"/>
    </row>
    <row r="280">
      <c r="K280" s="84" t="n"/>
    </row>
    <row r="281">
      <c r="K281" s="84" t="n"/>
    </row>
    <row r="282">
      <c r="K282" s="84" t="n"/>
    </row>
    <row r="283">
      <c r="K283" s="84" t="n"/>
    </row>
    <row r="284">
      <c r="K284" s="84" t="n"/>
    </row>
    <row r="285">
      <c r="K285" s="84" t="n"/>
    </row>
    <row r="286">
      <c r="K286" s="84" t="n"/>
    </row>
    <row r="287">
      <c r="K287" s="84" t="n"/>
    </row>
    <row r="288">
      <c r="K288" s="84" t="n"/>
    </row>
    <row r="289">
      <c r="K289" s="84" t="n"/>
    </row>
    <row r="290">
      <c r="K290" s="84" t="n"/>
    </row>
    <row r="291">
      <c r="K291" s="84" t="n"/>
    </row>
    <row r="292">
      <c r="K292" s="84" t="n"/>
    </row>
    <row r="293">
      <c r="K293" s="84" t="n"/>
    </row>
    <row r="294">
      <c r="K294" s="84" t="n"/>
    </row>
    <row r="295">
      <c r="K295" s="84" t="n"/>
    </row>
    <row r="296">
      <c r="K296" s="84" t="n"/>
    </row>
    <row r="297">
      <c r="K297" s="84" t="n"/>
    </row>
    <row r="298">
      <c r="K298" s="84" t="n"/>
    </row>
    <row r="299">
      <c r="K299" s="84" t="n"/>
    </row>
    <row r="300">
      <c r="K300" s="84" t="n"/>
    </row>
    <row r="301">
      <c r="K301" s="84" t="n"/>
    </row>
    <row r="302">
      <c r="K302" s="84" t="n"/>
    </row>
    <row r="303">
      <c r="K303" s="84" t="n"/>
    </row>
    <row r="304">
      <c r="K304" s="84" t="n"/>
    </row>
    <row r="305">
      <c r="K305" s="84" t="n"/>
    </row>
    <row r="306">
      <c r="K306" s="84" t="n"/>
    </row>
    <row r="307">
      <c r="K307" s="84" t="n"/>
    </row>
    <row r="308">
      <c r="K308" s="84" t="n"/>
    </row>
    <row r="309">
      <c r="K309" s="84" t="n"/>
    </row>
    <row r="310">
      <c r="K310" s="84" t="n"/>
    </row>
    <row r="311">
      <c r="K311" s="84" t="n"/>
    </row>
    <row r="312">
      <c r="K312" s="84" t="n"/>
    </row>
    <row r="313">
      <c r="K313" s="84" t="n"/>
    </row>
    <row r="314">
      <c r="K314" s="84" t="n"/>
    </row>
    <row r="315">
      <c r="K315" s="84" t="n"/>
    </row>
    <row r="316">
      <c r="K316" s="84" t="n"/>
    </row>
    <row r="317">
      <c r="K317" s="84" t="n"/>
    </row>
    <row r="318">
      <c r="K318" s="84" t="n"/>
    </row>
    <row r="319">
      <c r="K319" s="84" t="n"/>
    </row>
    <row r="320">
      <c r="K320" s="84" t="n"/>
    </row>
    <row r="321">
      <c r="K321" s="84" t="n"/>
    </row>
    <row r="322">
      <c r="K322" s="84" t="n"/>
    </row>
    <row r="323">
      <c r="K323" s="84" t="n"/>
    </row>
    <row r="324">
      <c r="K324" s="84" t="n"/>
    </row>
    <row r="325">
      <c r="K325" s="84" t="n"/>
    </row>
    <row r="326">
      <c r="K326" s="84" t="n"/>
    </row>
    <row r="327">
      <c r="K327" s="84" t="n"/>
    </row>
    <row r="328">
      <c r="K328" s="84" t="n"/>
    </row>
    <row r="329">
      <c r="K329" s="84" t="n"/>
    </row>
    <row r="330">
      <c r="K330" s="84" t="n"/>
    </row>
    <row r="331">
      <c r="K331" s="84" t="n"/>
    </row>
    <row r="332">
      <c r="K332" s="84" t="n"/>
    </row>
    <row r="333">
      <c r="K333" s="84" t="n"/>
    </row>
    <row r="334">
      <c r="K334" s="84" t="n"/>
    </row>
    <row r="335">
      <c r="K335" s="84" t="n"/>
    </row>
    <row r="336">
      <c r="K336" s="84" t="n"/>
    </row>
    <row r="337">
      <c r="K337" s="84" t="n"/>
    </row>
    <row r="338">
      <c r="K338" s="84" t="n"/>
    </row>
    <row r="339">
      <c r="K339" s="84" t="n"/>
    </row>
    <row r="340">
      <c r="K340" s="84" t="n"/>
    </row>
    <row r="341">
      <c r="K341" s="84" t="n"/>
    </row>
    <row r="342">
      <c r="K342" s="84" t="n"/>
    </row>
    <row r="343">
      <c r="K343" s="84" t="n"/>
    </row>
    <row r="344">
      <c r="K344" s="84" t="n"/>
    </row>
    <row r="345">
      <c r="K345" s="84" t="n"/>
    </row>
    <row r="346">
      <c r="K346" s="84" t="n"/>
    </row>
    <row r="347">
      <c r="K347" s="84" t="n"/>
    </row>
    <row r="348">
      <c r="K348" s="84" t="n"/>
    </row>
    <row r="349">
      <c r="K349" s="84" t="n"/>
    </row>
    <row r="350">
      <c r="K350" s="84" t="n"/>
    </row>
    <row r="351">
      <c r="K351" s="84" t="n"/>
    </row>
    <row r="352">
      <c r="K352" s="84" t="n"/>
    </row>
    <row r="353">
      <c r="K353" s="84" t="n"/>
    </row>
    <row r="354">
      <c r="K354" s="84" t="n"/>
    </row>
    <row r="355">
      <c r="K355" s="84" t="n"/>
    </row>
    <row r="356">
      <c r="K356" s="84" t="n"/>
    </row>
    <row r="357">
      <c r="K357" s="84" t="n"/>
    </row>
    <row r="358">
      <c r="K358" s="84" t="n"/>
    </row>
    <row r="359">
      <c r="K359" s="84" t="n"/>
    </row>
    <row r="360">
      <c r="K360" s="84" t="n"/>
    </row>
    <row r="361">
      <c r="K361" s="84" t="n"/>
    </row>
    <row r="362">
      <c r="K362" s="84" t="n"/>
    </row>
    <row r="363">
      <c r="K363" s="84" t="n"/>
    </row>
    <row r="364">
      <c r="K364" s="84" t="n"/>
    </row>
    <row r="365">
      <c r="K365" s="84" t="n"/>
    </row>
    <row r="366">
      <c r="K366" s="84" t="n"/>
    </row>
    <row r="367">
      <c r="K367" s="84" t="n"/>
    </row>
    <row r="368">
      <c r="K368" s="84" t="n"/>
    </row>
    <row r="369">
      <c r="K369" s="84" t="n"/>
    </row>
    <row r="370">
      <c r="K370" s="84" t="n"/>
    </row>
    <row r="371">
      <c r="K371" s="84" t="n"/>
    </row>
    <row r="372">
      <c r="K372" s="84" t="n"/>
    </row>
    <row r="373">
      <c r="K373" s="84" t="n"/>
    </row>
    <row r="374">
      <c r="K374" s="84" t="n"/>
    </row>
    <row r="375">
      <c r="K375" s="84" t="n"/>
    </row>
    <row r="376">
      <c r="K376" s="84" t="n"/>
    </row>
    <row r="377">
      <c r="K377" s="84" t="n"/>
    </row>
    <row r="378">
      <c r="K378" s="84" t="n"/>
    </row>
    <row r="379">
      <c r="K379" s="84" t="n"/>
    </row>
    <row r="380">
      <c r="K380" s="84" t="n"/>
    </row>
    <row r="381">
      <c r="K381" s="84" t="n"/>
    </row>
    <row r="382">
      <c r="K382" s="84" t="n"/>
    </row>
    <row r="383">
      <c r="K383" s="84" t="n"/>
    </row>
    <row r="384">
      <c r="K384" s="84" t="n"/>
    </row>
    <row r="385">
      <c r="K385" s="84" t="n"/>
    </row>
    <row r="386">
      <c r="K386" s="84" t="n"/>
    </row>
    <row r="387">
      <c r="K387" s="84" t="n"/>
    </row>
    <row r="388">
      <c r="K388" s="84" t="n"/>
    </row>
    <row r="389">
      <c r="K389" s="84" t="n"/>
    </row>
    <row r="390">
      <c r="K390" s="84" t="n"/>
    </row>
    <row r="391">
      <c r="K391" s="84" t="n"/>
    </row>
    <row r="392">
      <c r="K392" s="84" t="n"/>
    </row>
    <row r="393">
      <c r="K393" s="84" t="n"/>
    </row>
    <row r="394">
      <c r="K394" s="84" t="n"/>
    </row>
    <row r="395">
      <c r="K395" s="84" t="n"/>
    </row>
    <row r="396">
      <c r="K396" s="84" t="n"/>
    </row>
    <row r="397">
      <c r="K397" s="84" t="n"/>
    </row>
    <row r="398">
      <c r="K398" s="84" t="n"/>
    </row>
    <row r="399">
      <c r="K399" s="84" t="n"/>
    </row>
    <row r="400">
      <c r="K400" s="84" t="n"/>
    </row>
    <row r="401">
      <c r="K401" s="84" t="n"/>
    </row>
    <row r="402">
      <c r="K402" s="84" t="n"/>
    </row>
    <row r="403">
      <c r="K403" s="84" t="n"/>
    </row>
    <row r="404">
      <c r="K404" s="84" t="n"/>
    </row>
    <row r="405">
      <c r="K405" s="84" t="n"/>
    </row>
    <row r="406">
      <c r="K406" s="84" t="n"/>
    </row>
    <row r="407">
      <c r="K407" s="84" t="n"/>
    </row>
    <row r="408">
      <c r="K408" s="84" t="n"/>
    </row>
    <row r="409">
      <c r="K409" s="84" t="n"/>
    </row>
    <row r="410">
      <c r="K410" s="84" t="n"/>
    </row>
    <row r="411">
      <c r="K411" s="84" t="n"/>
    </row>
    <row r="412">
      <c r="K412" s="84" t="n"/>
    </row>
    <row r="413">
      <c r="K413" s="84" t="n"/>
    </row>
    <row r="414">
      <c r="K414" s="84" t="n"/>
    </row>
    <row r="415">
      <c r="K415" s="84" t="n"/>
    </row>
    <row r="416">
      <c r="K416" s="84" t="n"/>
    </row>
    <row r="417">
      <c r="K417" s="84" t="n"/>
    </row>
    <row r="418">
      <c r="K418" s="84" t="n"/>
    </row>
    <row r="419">
      <c r="K419" s="84" t="n"/>
    </row>
    <row r="420">
      <c r="K420" s="84" t="n"/>
    </row>
    <row r="421">
      <c r="K421" s="84" t="n"/>
    </row>
    <row r="422">
      <c r="K422" s="84" t="n"/>
    </row>
    <row r="423">
      <c r="K423" s="84" t="n"/>
    </row>
    <row r="424">
      <c r="K424" s="84" t="n"/>
    </row>
    <row r="425">
      <c r="K425" s="84" t="n"/>
    </row>
    <row r="426">
      <c r="K426" s="84" t="n"/>
    </row>
    <row r="427">
      <c r="K427" s="84" t="n"/>
    </row>
    <row r="428">
      <c r="K428" s="84" t="n"/>
    </row>
    <row r="429">
      <c r="K429" s="84" t="n"/>
    </row>
    <row r="430">
      <c r="K430" s="84" t="n"/>
    </row>
    <row r="431">
      <c r="K431" s="84" t="n"/>
    </row>
    <row r="432">
      <c r="K432" s="84" t="n"/>
    </row>
    <row r="433">
      <c r="K433" s="84" t="n"/>
    </row>
    <row r="434">
      <c r="K434" s="84" t="n"/>
    </row>
    <row r="435">
      <c r="K435" s="84" t="n"/>
    </row>
    <row r="436">
      <c r="K436" s="84" t="n"/>
    </row>
    <row r="437">
      <c r="K437" s="84" t="n"/>
    </row>
    <row r="438">
      <c r="K438" s="84" t="n"/>
    </row>
    <row r="439">
      <c r="K439" s="84" t="n"/>
    </row>
    <row r="440">
      <c r="K440" s="84" t="n"/>
    </row>
    <row r="441">
      <c r="K441" s="84" t="n"/>
    </row>
    <row r="442">
      <c r="K442" s="84" t="n"/>
    </row>
    <row r="443">
      <c r="K443" s="84" t="n"/>
    </row>
    <row r="444">
      <c r="K444" s="84" t="n"/>
    </row>
    <row r="445">
      <c r="K445" s="84" t="n"/>
    </row>
    <row r="446">
      <c r="K446" s="84" t="n"/>
    </row>
    <row r="447">
      <c r="K447" s="84" t="n"/>
    </row>
    <row r="448">
      <c r="K448" s="84" t="n"/>
    </row>
    <row r="449">
      <c r="K449" s="84" t="n"/>
    </row>
    <row r="450">
      <c r="K450" s="84" t="n"/>
    </row>
    <row r="451">
      <c r="K451" s="84" t="n"/>
    </row>
    <row r="452">
      <c r="K452" s="84" t="n"/>
    </row>
    <row r="453">
      <c r="K453" s="84" t="n"/>
    </row>
    <row r="454">
      <c r="K454" s="84" t="n"/>
    </row>
    <row r="455">
      <c r="K455" s="84" t="n"/>
    </row>
    <row r="456">
      <c r="K456" s="84" t="n"/>
    </row>
    <row r="457">
      <c r="K457" s="84" t="n"/>
    </row>
    <row r="458">
      <c r="K458" s="84" t="n"/>
    </row>
    <row r="459">
      <c r="K459" s="84" t="n"/>
    </row>
    <row r="460">
      <c r="K460" s="84" t="n"/>
    </row>
    <row r="461">
      <c r="K461" s="84" t="n"/>
    </row>
    <row r="462">
      <c r="K462" s="84" t="n"/>
    </row>
    <row r="463">
      <c r="K463" s="84" t="n"/>
    </row>
    <row r="464">
      <c r="K464" s="84" t="n"/>
    </row>
    <row r="465">
      <c r="K465" s="84" t="n"/>
    </row>
    <row r="466">
      <c r="K466" s="84" t="n"/>
    </row>
    <row r="467">
      <c r="K467" s="84" t="n"/>
    </row>
    <row r="468">
      <c r="K468" s="84" t="n"/>
    </row>
    <row r="469">
      <c r="K469" s="84" t="n"/>
    </row>
    <row r="470">
      <c r="K470" s="84" t="n"/>
    </row>
    <row r="471">
      <c r="K471" s="84" t="n"/>
    </row>
    <row r="472">
      <c r="K472" s="84" t="n"/>
    </row>
    <row r="473">
      <c r="K473" s="84" t="n"/>
    </row>
    <row r="474">
      <c r="K474" s="84" t="n"/>
    </row>
    <row r="475">
      <c r="K475" s="84" t="n"/>
    </row>
    <row r="476">
      <c r="K476" s="84" t="n"/>
    </row>
    <row r="477">
      <c r="K477" s="84" t="n"/>
    </row>
    <row r="478">
      <c r="K478" s="84" t="n"/>
    </row>
    <row r="479">
      <c r="K479" s="84" t="n"/>
    </row>
    <row r="480">
      <c r="K480" s="84" t="n"/>
    </row>
    <row r="481">
      <c r="K481" s="84" t="n"/>
    </row>
    <row r="482">
      <c r="K482" s="84" t="n"/>
    </row>
    <row r="483">
      <c r="K483" s="84" t="n"/>
    </row>
    <row r="484">
      <c r="K484" s="84" t="n"/>
    </row>
    <row r="485">
      <c r="K485" s="84" t="n"/>
    </row>
    <row r="486">
      <c r="K486" s="84" t="n"/>
    </row>
    <row r="487">
      <c r="K487" s="84" t="n"/>
    </row>
    <row r="488">
      <c r="K488" s="84" t="n"/>
    </row>
    <row r="489">
      <c r="K489" s="84" t="n"/>
    </row>
    <row r="490">
      <c r="K490" s="84" t="n"/>
    </row>
    <row r="491">
      <c r="K491" s="84" t="n"/>
    </row>
    <row r="492">
      <c r="K492" s="84" t="n"/>
    </row>
    <row r="493">
      <c r="K493" s="84" t="n"/>
    </row>
    <row r="494">
      <c r="K494" s="84" t="n"/>
    </row>
    <row r="495">
      <c r="K495" s="84" t="n"/>
    </row>
    <row r="496">
      <c r="K496" s="84" t="n"/>
    </row>
    <row r="497">
      <c r="K497" s="84" t="n"/>
    </row>
    <row r="498">
      <c r="K498" s="84" t="n"/>
    </row>
    <row r="499">
      <c r="K499" s="84" t="n"/>
    </row>
    <row r="500">
      <c r="K500" s="84" t="n"/>
    </row>
    <row r="501">
      <c r="K501" s="84" t="n"/>
    </row>
    <row r="502">
      <c r="K502" s="84" t="n"/>
    </row>
    <row r="503">
      <c r="K503" s="84" t="n"/>
    </row>
    <row r="504">
      <c r="K504" s="84" t="n"/>
    </row>
    <row r="505">
      <c r="K505" s="84" t="n"/>
    </row>
    <row r="506">
      <c r="K506" s="84" t="n"/>
    </row>
    <row r="507">
      <c r="K507" s="84" t="n"/>
    </row>
    <row r="508">
      <c r="K508" s="84" t="n"/>
    </row>
    <row r="509">
      <c r="K509" s="84" t="n"/>
    </row>
    <row r="510">
      <c r="K510" s="84" t="n"/>
    </row>
    <row r="511">
      <c r="K511" s="84" t="n"/>
    </row>
    <row r="512">
      <c r="K512" s="84" t="n"/>
    </row>
    <row r="513">
      <c r="K513" s="84" t="n"/>
    </row>
    <row r="514">
      <c r="K514" s="84" t="n"/>
    </row>
    <row r="515">
      <c r="K515" s="84" t="n"/>
    </row>
    <row r="516">
      <c r="K516" s="84" t="n"/>
    </row>
    <row r="517">
      <c r="K517" s="84" t="n"/>
    </row>
    <row r="518">
      <c r="K518" s="84" t="n"/>
    </row>
    <row r="519">
      <c r="K519" s="84" t="n"/>
    </row>
    <row r="520">
      <c r="K520" s="84" t="n"/>
    </row>
    <row r="521">
      <c r="K521" s="84" t="n"/>
    </row>
    <row r="522">
      <c r="K522" s="84" t="n"/>
    </row>
    <row r="523">
      <c r="K523" s="84" t="n"/>
    </row>
    <row r="524">
      <c r="K524" s="84" t="n"/>
    </row>
    <row r="525">
      <c r="K525" s="84" t="n"/>
    </row>
    <row r="526">
      <c r="K526" s="84" t="n"/>
    </row>
    <row r="527">
      <c r="K527" s="84" t="n"/>
    </row>
    <row r="528">
      <c r="K528" s="84" t="n"/>
    </row>
    <row r="529">
      <c r="K529" s="84" t="n"/>
    </row>
    <row r="530">
      <c r="K530" s="84" t="n"/>
    </row>
    <row r="531">
      <c r="K531" s="84" t="n"/>
    </row>
    <row r="532">
      <c r="K532" s="84" t="n"/>
    </row>
    <row r="533">
      <c r="K533" s="84" t="n"/>
    </row>
    <row r="534">
      <c r="K534" s="84" t="n"/>
    </row>
    <row r="535">
      <c r="K535" s="84" t="n"/>
    </row>
    <row r="536">
      <c r="K536" s="84" t="n"/>
    </row>
    <row r="537">
      <c r="K537" s="84" t="n"/>
    </row>
    <row r="538">
      <c r="K538" s="84" t="n"/>
    </row>
    <row r="539">
      <c r="K539" s="84" t="n"/>
    </row>
    <row r="540">
      <c r="K540" s="84" t="n"/>
    </row>
    <row r="541">
      <c r="K541" s="84" t="n"/>
    </row>
    <row r="542">
      <c r="K542" s="84" t="n"/>
    </row>
    <row r="543">
      <c r="K543" s="84" t="n"/>
    </row>
    <row r="544">
      <c r="K544" s="84" t="n"/>
    </row>
    <row r="545">
      <c r="K545" s="84" t="n"/>
    </row>
    <row r="546">
      <c r="K546" s="84" t="n"/>
    </row>
    <row r="547">
      <c r="K547" s="84" t="n"/>
    </row>
    <row r="548">
      <c r="K548" s="84" t="n"/>
    </row>
    <row r="549">
      <c r="K549" s="84" t="n"/>
    </row>
    <row r="550">
      <c r="K550" s="84" t="n"/>
    </row>
    <row r="551">
      <c r="K551" s="84" t="n"/>
    </row>
    <row r="552">
      <c r="K552" s="84" t="n"/>
    </row>
    <row r="553">
      <c r="K553" s="84" t="n"/>
    </row>
    <row r="554">
      <c r="K554" s="84" t="n"/>
    </row>
    <row r="555">
      <c r="K555" s="84" t="n"/>
    </row>
    <row r="556">
      <c r="K556" s="84" t="n"/>
    </row>
    <row r="557">
      <c r="K557" s="84" t="n"/>
    </row>
    <row r="558">
      <c r="K558" s="84" t="n"/>
    </row>
    <row r="559">
      <c r="K559" s="84" t="n"/>
    </row>
    <row r="560">
      <c r="K560" s="84" t="n"/>
    </row>
    <row r="561">
      <c r="K561" s="84" t="n"/>
    </row>
    <row r="562">
      <c r="K562" s="84" t="n"/>
    </row>
    <row r="563">
      <c r="K563" s="84" t="n"/>
    </row>
    <row r="564">
      <c r="K564" s="84" t="n"/>
    </row>
    <row r="565">
      <c r="K565" s="84" t="n"/>
    </row>
    <row r="566">
      <c r="K566" s="84" t="n"/>
    </row>
    <row r="567">
      <c r="K567" s="84" t="n"/>
    </row>
    <row r="568">
      <c r="K568" s="84" t="n"/>
    </row>
    <row r="569">
      <c r="K569" s="84" t="n"/>
    </row>
    <row r="570">
      <c r="K570" s="84" t="n"/>
    </row>
    <row r="571">
      <c r="K571" s="84" t="n"/>
    </row>
    <row r="572">
      <c r="K572" s="84" t="n"/>
    </row>
    <row r="573">
      <c r="K573" s="84" t="n"/>
    </row>
    <row r="574">
      <c r="K574" s="84" t="n"/>
    </row>
    <row r="575">
      <c r="K575" s="84" t="n"/>
    </row>
    <row r="576">
      <c r="K576" s="84" t="n"/>
    </row>
    <row r="577">
      <c r="K577" s="84" t="n"/>
    </row>
    <row r="578">
      <c r="K578" s="84" t="n"/>
    </row>
    <row r="579">
      <c r="K579" s="84" t="n"/>
    </row>
    <row r="580">
      <c r="K580" s="84" t="n"/>
    </row>
    <row r="581">
      <c r="K581" s="84" t="n"/>
    </row>
    <row r="582">
      <c r="K582" s="84" t="n"/>
    </row>
    <row r="583">
      <c r="K583" s="84" t="n"/>
    </row>
    <row r="584">
      <c r="K584" s="84" t="n"/>
    </row>
    <row r="585">
      <c r="K585" s="84" t="n"/>
    </row>
    <row r="586">
      <c r="K586" s="84" t="n"/>
    </row>
    <row r="587">
      <c r="K587" s="84" t="n"/>
    </row>
    <row r="588">
      <c r="K588" s="84" t="n"/>
    </row>
    <row r="589">
      <c r="K589" s="84" t="n"/>
    </row>
    <row r="590">
      <c r="K590" s="84" t="n"/>
    </row>
    <row r="591">
      <c r="K591" s="84" t="n"/>
    </row>
    <row r="592">
      <c r="K592" s="84" t="n"/>
    </row>
    <row r="593">
      <c r="K593" s="84" t="n"/>
    </row>
    <row r="594">
      <c r="K594" s="84" t="n"/>
    </row>
    <row r="595">
      <c r="K595" s="84" t="n"/>
    </row>
    <row r="596">
      <c r="K596" s="84" t="n"/>
    </row>
    <row r="597">
      <c r="K597" s="84" t="n"/>
    </row>
    <row r="598">
      <c r="K598" s="84" t="n"/>
    </row>
    <row r="599">
      <c r="K599" s="84" t="n"/>
    </row>
    <row r="600">
      <c r="K600" s="84" t="n"/>
    </row>
    <row r="601">
      <c r="K601" s="84" t="n"/>
    </row>
    <row r="602">
      <c r="K602" s="84" t="n"/>
    </row>
    <row r="603">
      <c r="K603" s="84" t="n"/>
    </row>
    <row r="604">
      <c r="K604" s="84" t="n"/>
    </row>
    <row r="605">
      <c r="K605" s="84" t="n"/>
    </row>
    <row r="606">
      <c r="K606" s="84" t="n"/>
    </row>
    <row r="607">
      <c r="K607" s="84" t="n"/>
    </row>
    <row r="608">
      <c r="K608" s="84" t="n"/>
    </row>
    <row r="609">
      <c r="K609" s="84" t="n"/>
    </row>
    <row r="610">
      <c r="K610" s="84" t="n"/>
    </row>
    <row r="611">
      <c r="K611" s="84" t="n"/>
    </row>
    <row r="612">
      <c r="K612" s="84" t="n"/>
    </row>
    <row r="613">
      <c r="K613" s="84" t="n"/>
    </row>
    <row r="614">
      <c r="K614" s="84" t="n"/>
    </row>
    <row r="615">
      <c r="K615" s="84" t="n"/>
    </row>
    <row r="616">
      <c r="K616" s="84" t="n"/>
    </row>
    <row r="617">
      <c r="K617" s="84" t="n"/>
    </row>
    <row r="618">
      <c r="K618" s="84" t="n"/>
    </row>
    <row r="619">
      <c r="K619" s="84" t="n"/>
    </row>
    <row r="620">
      <c r="K620" s="84" t="n"/>
    </row>
    <row r="621">
      <c r="K621" s="84" t="n"/>
    </row>
    <row r="622">
      <c r="K622" s="84" t="n"/>
    </row>
    <row r="623">
      <c r="K623" s="84" t="n"/>
    </row>
    <row r="624">
      <c r="K624" s="84" t="n"/>
    </row>
    <row r="625">
      <c r="K625" s="84" t="n"/>
    </row>
    <row r="626">
      <c r="K626" s="84" t="n"/>
    </row>
    <row r="627">
      <c r="K627" s="84" t="n"/>
    </row>
    <row r="628">
      <c r="K628" s="84" t="n"/>
    </row>
    <row r="629">
      <c r="K629" s="84" t="n"/>
    </row>
    <row r="630">
      <c r="K630" s="84" t="n"/>
    </row>
    <row r="631">
      <c r="K631" s="84" t="n"/>
    </row>
    <row r="632">
      <c r="K632" s="84" t="n"/>
    </row>
    <row r="633">
      <c r="K633" s="84" t="n"/>
    </row>
    <row r="634">
      <c r="K634" s="84" t="n"/>
    </row>
    <row r="635">
      <c r="K635" s="84" t="n"/>
    </row>
    <row r="636">
      <c r="K636" s="84" t="n"/>
    </row>
    <row r="637">
      <c r="K637" s="84" t="n"/>
    </row>
    <row r="638">
      <c r="K638" s="84" t="n"/>
    </row>
    <row r="639">
      <c r="K639" s="84" t="n"/>
    </row>
    <row r="640">
      <c r="K640" s="84" t="n"/>
    </row>
    <row r="641">
      <c r="K641" s="84" t="n"/>
    </row>
    <row r="642">
      <c r="K642" s="84" t="n"/>
    </row>
    <row r="643">
      <c r="K643" s="84" t="n"/>
    </row>
    <row r="644">
      <c r="K644" s="84" t="n"/>
    </row>
    <row r="645">
      <c r="K645" s="84" t="n"/>
    </row>
    <row r="646">
      <c r="K646" s="84" t="n"/>
    </row>
    <row r="647">
      <c r="K647" s="84" t="n"/>
    </row>
    <row r="648">
      <c r="K648" s="84" t="n"/>
    </row>
    <row r="649">
      <c r="K649" s="84" t="n"/>
    </row>
    <row r="650">
      <c r="K650" s="84" t="n"/>
    </row>
    <row r="651">
      <c r="K651" s="84" t="n"/>
    </row>
    <row r="652">
      <c r="K652" s="84" t="n"/>
    </row>
    <row r="653">
      <c r="K653" s="84" t="n"/>
    </row>
    <row r="654">
      <c r="K654" s="84" t="n"/>
    </row>
    <row r="655">
      <c r="K655" s="84" t="n"/>
    </row>
    <row r="656">
      <c r="K656" s="84" t="n"/>
    </row>
    <row r="657">
      <c r="K657" s="84" t="n"/>
    </row>
    <row r="658">
      <c r="K658" s="84" t="n"/>
    </row>
    <row r="659">
      <c r="K659" s="84" t="n"/>
    </row>
    <row r="660">
      <c r="K660" s="84" t="n"/>
    </row>
    <row r="661">
      <c r="K661" s="84" t="n"/>
    </row>
    <row r="662">
      <c r="K662" s="84" t="n"/>
    </row>
    <row r="663">
      <c r="K663" s="84" t="n"/>
    </row>
    <row r="664">
      <c r="K664" s="84" t="n"/>
    </row>
    <row r="665">
      <c r="K665" s="84" t="n"/>
    </row>
    <row r="666">
      <c r="K666" s="84" t="n"/>
    </row>
    <row r="667">
      <c r="K667" s="84" t="n"/>
    </row>
    <row r="668">
      <c r="K668" s="84" t="n"/>
    </row>
    <row r="669">
      <c r="K669" s="84" t="n"/>
    </row>
    <row r="670">
      <c r="K670" s="84" t="n"/>
    </row>
    <row r="671">
      <c r="K671" s="84" t="n"/>
    </row>
    <row r="672">
      <c r="K672" s="84" t="n"/>
    </row>
    <row r="673">
      <c r="K673" s="84" t="n"/>
    </row>
    <row r="674">
      <c r="K674" s="84" t="n"/>
    </row>
    <row r="675">
      <c r="K675" s="84" t="n"/>
    </row>
    <row r="676">
      <c r="K676" s="84" t="n"/>
    </row>
    <row r="677">
      <c r="K677" s="84" t="n"/>
    </row>
    <row r="678">
      <c r="K678" s="84" t="n"/>
    </row>
    <row r="679">
      <c r="K679" s="84" t="n"/>
    </row>
    <row r="680">
      <c r="K680" s="84" t="n"/>
    </row>
    <row r="681">
      <c r="K681" s="84" t="n"/>
    </row>
    <row r="682">
      <c r="K682" s="84" t="n"/>
    </row>
    <row r="683">
      <c r="K683" s="84" t="n"/>
    </row>
    <row r="684">
      <c r="K684" s="84" t="n"/>
    </row>
    <row r="685">
      <c r="K685" s="84" t="n"/>
    </row>
    <row r="686">
      <c r="K686" s="84" t="n"/>
    </row>
    <row r="687">
      <c r="K687" s="84" t="n"/>
    </row>
    <row r="688">
      <c r="K688" s="84" t="n"/>
    </row>
    <row r="689">
      <c r="K689" s="84" t="n"/>
    </row>
    <row r="690">
      <c r="K690" s="84" t="n"/>
    </row>
    <row r="691">
      <c r="K691" s="84" t="n"/>
    </row>
    <row r="692">
      <c r="K692" s="84" t="n"/>
    </row>
    <row r="693">
      <c r="K693" s="84" t="n"/>
    </row>
    <row r="694">
      <c r="K694" s="84" t="n"/>
    </row>
    <row r="695">
      <c r="K695" s="84" t="n"/>
    </row>
    <row r="696">
      <c r="K696" s="84" t="n"/>
    </row>
    <row r="697">
      <c r="K697" s="84" t="n"/>
    </row>
    <row r="698">
      <c r="K698" s="84" t="n"/>
    </row>
    <row r="699">
      <c r="K699" s="84" t="n"/>
    </row>
    <row r="700">
      <c r="K700" s="84" t="n"/>
    </row>
    <row r="701">
      <c r="K701" s="84" t="n"/>
    </row>
    <row r="702">
      <c r="K702" s="84" t="n"/>
    </row>
    <row r="703">
      <c r="K703" s="84" t="n"/>
    </row>
    <row r="704">
      <c r="K704" s="84" t="n"/>
    </row>
    <row r="705">
      <c r="K705" s="84" t="n"/>
    </row>
    <row r="706">
      <c r="K706" s="84" t="n"/>
    </row>
    <row r="707">
      <c r="K707" s="84" t="n"/>
    </row>
    <row r="708">
      <c r="K708" s="84" t="n"/>
    </row>
    <row r="709">
      <c r="K709" s="84" t="n"/>
    </row>
    <row r="710">
      <c r="K710" s="84" t="n"/>
    </row>
    <row r="711">
      <c r="K711" s="84" t="n"/>
    </row>
    <row r="712">
      <c r="K712" s="84" t="n"/>
    </row>
    <row r="713">
      <c r="K713" s="84" t="n"/>
    </row>
    <row r="714">
      <c r="K714" s="84" t="n"/>
    </row>
    <row r="715">
      <c r="K715" s="84" t="n"/>
    </row>
    <row r="716">
      <c r="K716" s="84" t="n"/>
    </row>
    <row r="717">
      <c r="K717" s="84" t="n"/>
    </row>
    <row r="718">
      <c r="K718" s="84" t="n"/>
    </row>
    <row r="719">
      <c r="K719" s="84" t="n"/>
    </row>
    <row r="720">
      <c r="K720" s="84" t="n"/>
    </row>
    <row r="721">
      <c r="K721" s="84" t="n"/>
    </row>
    <row r="722">
      <c r="K722" s="84" t="n"/>
    </row>
    <row r="723">
      <c r="K723" s="84" t="n"/>
    </row>
    <row r="724">
      <c r="K724" s="84" t="n"/>
    </row>
    <row r="725">
      <c r="K725" s="84" t="n"/>
    </row>
    <row r="726">
      <c r="K726" s="84" t="n"/>
    </row>
    <row r="727">
      <c r="K727" s="84" t="n"/>
    </row>
    <row r="728">
      <c r="K728" s="84" t="n"/>
    </row>
    <row r="729">
      <c r="K729" s="84" t="n"/>
    </row>
    <row r="730">
      <c r="K730" s="84" t="n"/>
    </row>
    <row r="731">
      <c r="K731" s="84" t="n"/>
    </row>
    <row r="732">
      <c r="K732" s="84" t="n"/>
    </row>
    <row r="733">
      <c r="K733" s="84" t="n"/>
    </row>
    <row r="734">
      <c r="K734" s="84" t="n"/>
    </row>
    <row r="735">
      <c r="K735" s="84" t="n"/>
    </row>
    <row r="736">
      <c r="K736" s="84" t="n"/>
    </row>
    <row r="737">
      <c r="K737" s="84" t="n"/>
    </row>
    <row r="738">
      <c r="K738" s="84" t="n"/>
    </row>
    <row r="739">
      <c r="K739" s="84" t="n"/>
    </row>
    <row r="740">
      <c r="K740" s="84" t="n"/>
    </row>
    <row r="741">
      <c r="K741" s="84" t="n"/>
    </row>
    <row r="742">
      <c r="K742" s="84" t="n"/>
    </row>
    <row r="743">
      <c r="K743" s="84" t="n"/>
    </row>
    <row r="744">
      <c r="K744" s="84" t="n"/>
    </row>
    <row r="745">
      <c r="K745" s="84" t="n"/>
    </row>
    <row r="746">
      <c r="K746" s="84" t="n"/>
    </row>
    <row r="747">
      <c r="K747" s="84" t="n"/>
    </row>
    <row r="748">
      <c r="K748" s="84" t="n"/>
    </row>
    <row r="749">
      <c r="K749" s="84" t="n"/>
    </row>
    <row r="750">
      <c r="K750" s="84" t="n"/>
    </row>
    <row r="751">
      <c r="K751" s="84" t="n"/>
    </row>
    <row r="752">
      <c r="K752" s="84" t="n"/>
    </row>
    <row r="753">
      <c r="K753" s="84" t="n"/>
    </row>
    <row r="754">
      <c r="K754" s="84" t="n"/>
    </row>
    <row r="755">
      <c r="K755" s="84" t="n"/>
    </row>
    <row r="756">
      <c r="K756" s="84" t="n"/>
    </row>
    <row r="757">
      <c r="K757" s="84" t="n"/>
    </row>
    <row r="758">
      <c r="K758" s="84" t="n"/>
    </row>
    <row r="759">
      <c r="K759" s="84" t="n"/>
    </row>
    <row r="760">
      <c r="K760" s="84" t="n"/>
    </row>
    <row r="761">
      <c r="K761" s="84" t="n"/>
    </row>
    <row r="762">
      <c r="K762" s="84" t="n"/>
    </row>
    <row r="763">
      <c r="K763" s="84" t="n"/>
    </row>
    <row r="764">
      <c r="K764" s="84" t="n"/>
    </row>
    <row r="765">
      <c r="K765" s="84" t="n"/>
    </row>
    <row r="766">
      <c r="K766" s="84" t="n"/>
    </row>
    <row r="767">
      <c r="K767" s="84" t="n"/>
    </row>
    <row r="768">
      <c r="K768" s="84" t="n"/>
    </row>
    <row r="769">
      <c r="K769" s="84" t="n"/>
    </row>
    <row r="770">
      <c r="K770" s="84" t="n"/>
    </row>
    <row r="771">
      <c r="K771" s="84" t="n"/>
    </row>
    <row r="772">
      <c r="K772" s="84" t="n"/>
    </row>
    <row r="773">
      <c r="K773" s="84" t="n"/>
    </row>
    <row r="774">
      <c r="K774" s="84" t="n"/>
    </row>
    <row r="775">
      <c r="K775" s="84" t="n"/>
    </row>
    <row r="776">
      <c r="K776" s="84" t="n"/>
    </row>
    <row r="777">
      <c r="K777" s="84" t="n"/>
    </row>
    <row r="778">
      <c r="K778" s="84" t="n"/>
    </row>
    <row r="779">
      <c r="K779" s="84" t="n"/>
    </row>
    <row r="780">
      <c r="K780" s="84" t="n"/>
    </row>
    <row r="781">
      <c r="K781" s="84" t="n"/>
    </row>
    <row r="782">
      <c r="K782" s="84" t="n"/>
    </row>
    <row r="783">
      <c r="K783" s="84" t="n"/>
    </row>
    <row r="784">
      <c r="K784" s="84" t="n"/>
    </row>
    <row r="785">
      <c r="K785" s="84" t="n"/>
    </row>
    <row r="786">
      <c r="K786" s="84" t="n"/>
    </row>
    <row r="787">
      <c r="K787" s="84" t="n"/>
    </row>
    <row r="788">
      <c r="K788" s="84" t="n"/>
    </row>
    <row r="789">
      <c r="K789" s="84" t="n"/>
    </row>
    <row r="790">
      <c r="K790" s="84" t="n"/>
    </row>
    <row r="791">
      <c r="K791" s="84" t="n"/>
    </row>
    <row r="792">
      <c r="K792" s="84" t="n"/>
    </row>
    <row r="793">
      <c r="K793" s="84" t="n"/>
    </row>
    <row r="794">
      <c r="K794" s="84" t="n"/>
    </row>
    <row r="795">
      <c r="K795" s="84" t="n"/>
    </row>
    <row r="796">
      <c r="K796" s="84" t="n"/>
    </row>
    <row r="797">
      <c r="K797" s="84" t="n"/>
    </row>
    <row r="798">
      <c r="K798" s="84" t="n"/>
    </row>
    <row r="799">
      <c r="K799" s="84" t="n"/>
    </row>
    <row r="800">
      <c r="K800" s="84" t="n"/>
    </row>
    <row r="801">
      <c r="K801" s="84" t="n"/>
    </row>
    <row r="802">
      <c r="K802" s="84" t="n"/>
    </row>
    <row r="803">
      <c r="K803" s="84" t="n"/>
    </row>
    <row r="804">
      <c r="K804" s="84" t="n"/>
    </row>
    <row r="805">
      <c r="K805" s="84" t="n"/>
    </row>
    <row r="806">
      <c r="K806" s="84" t="n"/>
    </row>
    <row r="807">
      <c r="K807" s="84" t="n"/>
    </row>
    <row r="808">
      <c r="K808" s="84" t="n"/>
    </row>
    <row r="809">
      <c r="K809" s="84" t="n"/>
    </row>
    <row r="810">
      <c r="K810" s="84" t="n"/>
    </row>
    <row r="811">
      <c r="K811" s="84" t="n"/>
    </row>
    <row r="812">
      <c r="K812" s="84" t="n"/>
    </row>
    <row r="813">
      <c r="K813" s="84" t="n"/>
    </row>
    <row r="814">
      <c r="K814" s="84" t="n"/>
    </row>
    <row r="815">
      <c r="K815" s="84" t="n"/>
    </row>
    <row r="816">
      <c r="K816" s="84" t="n"/>
    </row>
    <row r="817">
      <c r="K817" s="84" t="n"/>
    </row>
    <row r="818">
      <c r="K818" s="84" t="n"/>
    </row>
    <row r="819">
      <c r="K819" s="84" t="n"/>
    </row>
    <row r="820">
      <c r="K820" s="84" t="n"/>
    </row>
    <row r="821">
      <c r="K821" s="84" t="n"/>
    </row>
    <row r="822">
      <c r="K822" s="84" t="n"/>
    </row>
    <row r="823">
      <c r="K823" s="84" t="n"/>
    </row>
    <row r="824">
      <c r="K824" s="84" t="n"/>
    </row>
    <row r="825">
      <c r="K825" s="84" t="n"/>
    </row>
    <row r="826">
      <c r="K826" s="84" t="n"/>
    </row>
    <row r="827">
      <c r="K827" s="84" t="n"/>
    </row>
    <row r="828">
      <c r="K828" s="84" t="n"/>
    </row>
    <row r="829">
      <c r="K829" s="84" t="n"/>
    </row>
    <row r="830">
      <c r="K830" s="84" t="n"/>
    </row>
    <row r="831">
      <c r="K831" s="84" t="n"/>
    </row>
    <row r="832">
      <c r="K832" s="84" t="n"/>
    </row>
    <row r="833">
      <c r="K833" s="84" t="n"/>
    </row>
    <row r="834">
      <c r="K834" s="84" t="n"/>
    </row>
    <row r="835">
      <c r="K835" s="84" t="n"/>
    </row>
    <row r="836">
      <c r="K836" s="84" t="n"/>
    </row>
    <row r="837">
      <c r="K837" s="84" t="n"/>
    </row>
    <row r="838">
      <c r="K838" s="84" t="n"/>
    </row>
    <row r="839">
      <c r="K839" s="84" t="n"/>
    </row>
    <row r="840">
      <c r="K840" s="84" t="n"/>
    </row>
    <row r="841">
      <c r="K841" s="84" t="n"/>
    </row>
    <row r="842">
      <c r="K842" s="84" t="n"/>
    </row>
    <row r="843">
      <c r="K843" s="84" t="n"/>
    </row>
    <row r="844">
      <c r="K844" s="84" t="n"/>
    </row>
    <row r="845">
      <c r="K845" s="84" t="n"/>
    </row>
    <row r="846">
      <c r="K846" s="84" t="n"/>
    </row>
    <row r="847">
      <c r="K847" s="84" t="n"/>
    </row>
    <row r="848">
      <c r="K848" s="84" t="n"/>
    </row>
    <row r="849">
      <c r="K849" s="84" t="n"/>
    </row>
    <row r="850">
      <c r="K850" s="84" t="n"/>
    </row>
    <row r="851">
      <c r="K851" s="84" t="n"/>
    </row>
    <row r="852">
      <c r="K852" s="84" t="n"/>
    </row>
    <row r="853">
      <c r="K853" s="84" t="n"/>
    </row>
    <row r="854">
      <c r="K854" s="84" t="n"/>
    </row>
    <row r="855">
      <c r="K855" s="84" t="n"/>
    </row>
    <row r="856">
      <c r="K856" s="84" t="n"/>
    </row>
    <row r="857">
      <c r="K857" s="84" t="n"/>
    </row>
    <row r="858">
      <c r="K858" s="84" t="n"/>
    </row>
    <row r="859">
      <c r="K859" s="84" t="n"/>
    </row>
    <row r="860">
      <c r="K860" s="84" t="n"/>
    </row>
    <row r="861">
      <c r="K861" s="84" t="n"/>
    </row>
    <row r="862">
      <c r="K862" s="84" t="n"/>
    </row>
    <row r="863">
      <c r="K863" s="84" t="n"/>
    </row>
    <row r="864">
      <c r="K864" s="84" t="n"/>
    </row>
    <row r="865">
      <c r="K865" s="84" t="n"/>
    </row>
    <row r="866">
      <c r="K866" s="84" t="n"/>
    </row>
    <row r="867">
      <c r="K867" s="84" t="n"/>
    </row>
    <row r="868">
      <c r="K868" s="84" t="n"/>
    </row>
    <row r="869">
      <c r="K869" s="84" t="n"/>
    </row>
    <row r="870">
      <c r="K870" s="84" t="n"/>
    </row>
    <row r="871">
      <c r="K871" s="84" t="n"/>
    </row>
    <row r="872">
      <c r="K872" s="84" t="n"/>
    </row>
    <row r="873">
      <c r="K873" s="84" t="n"/>
    </row>
    <row r="874">
      <c r="K874" s="84" t="n"/>
    </row>
    <row r="875">
      <c r="K875" s="84" t="n"/>
    </row>
    <row r="876">
      <c r="K876" s="84" t="n"/>
    </row>
    <row r="877">
      <c r="K877" s="84" t="n"/>
    </row>
    <row r="878">
      <c r="K878" s="84" t="n"/>
    </row>
    <row r="879">
      <c r="K879" s="84" t="n"/>
    </row>
    <row r="880">
      <c r="K880" s="84" t="n"/>
    </row>
    <row r="881">
      <c r="K881" s="84" t="n"/>
    </row>
    <row r="882">
      <c r="K882" s="84" t="n"/>
    </row>
    <row r="883">
      <c r="K883" s="84" t="n"/>
    </row>
    <row r="884">
      <c r="K884" s="84" t="n"/>
    </row>
    <row r="885">
      <c r="K885" s="84" t="n"/>
    </row>
    <row r="886">
      <c r="K886" s="84" t="n"/>
    </row>
    <row r="887">
      <c r="K887" s="84" t="n"/>
    </row>
    <row r="888">
      <c r="K888" s="84" t="n"/>
    </row>
    <row r="889">
      <c r="K889" s="84" t="n"/>
    </row>
    <row r="890">
      <c r="K890" s="84" t="n"/>
    </row>
    <row r="891">
      <c r="K891" s="84" t="n"/>
    </row>
    <row r="892">
      <c r="K892" s="84" t="n"/>
    </row>
    <row r="893">
      <c r="K893" s="84" t="n"/>
    </row>
    <row r="894">
      <c r="K894" s="84" t="n"/>
    </row>
    <row r="895">
      <c r="K895" s="84" t="n"/>
    </row>
    <row r="896">
      <c r="K896" s="84" t="n"/>
    </row>
    <row r="897">
      <c r="K897" s="84" t="n"/>
    </row>
    <row r="898">
      <c r="K898" s="84" t="n"/>
    </row>
    <row r="899">
      <c r="K899" s="84" t="n"/>
    </row>
    <row r="900">
      <c r="K900" s="84" t="n"/>
    </row>
    <row r="901">
      <c r="K901" s="84" t="n"/>
    </row>
    <row r="902">
      <c r="K902" s="84" t="n"/>
    </row>
    <row r="903">
      <c r="K903" s="84" t="n"/>
    </row>
    <row r="904">
      <c r="K904" s="84" t="n"/>
    </row>
    <row r="905">
      <c r="K905" s="84" t="n"/>
    </row>
    <row r="906">
      <c r="K906" s="84" t="n"/>
    </row>
    <row r="907">
      <c r="K907" s="84" t="n"/>
    </row>
    <row r="908">
      <c r="K908" s="84" t="n"/>
    </row>
    <row r="909">
      <c r="K909" s="84" t="n"/>
    </row>
    <row r="910">
      <c r="K910" s="84" t="n"/>
    </row>
    <row r="911">
      <c r="K911" s="84" t="n"/>
    </row>
    <row r="912">
      <c r="K912" s="84" t="n"/>
    </row>
    <row r="913">
      <c r="K913" s="84" t="n"/>
    </row>
    <row r="914">
      <c r="K914" s="84" t="n"/>
    </row>
    <row r="915">
      <c r="K915" s="84" t="n"/>
    </row>
    <row r="916">
      <c r="K916" s="84" t="n"/>
    </row>
    <row r="917">
      <c r="K917" s="84" t="n"/>
    </row>
    <row r="918">
      <c r="K918" s="84" t="n"/>
    </row>
    <row r="919">
      <c r="K919" s="84" t="n"/>
    </row>
    <row r="920">
      <c r="K920" s="84" t="n"/>
    </row>
    <row r="921">
      <c r="K921" s="84" t="n"/>
    </row>
    <row r="922">
      <c r="K922" s="84" t="n"/>
    </row>
    <row r="923">
      <c r="K923" s="84" t="n"/>
    </row>
    <row r="924">
      <c r="K924" s="84" t="n"/>
    </row>
    <row r="925">
      <c r="K925" s="84" t="n"/>
    </row>
    <row r="926">
      <c r="K926" s="84" t="n"/>
    </row>
    <row r="927">
      <c r="K927" s="84" t="n"/>
    </row>
    <row r="928">
      <c r="K928" s="84" t="n"/>
    </row>
    <row r="929">
      <c r="K929" s="84" t="n"/>
    </row>
    <row r="930">
      <c r="K930" s="84" t="n"/>
    </row>
    <row r="931">
      <c r="K931" s="84" t="n"/>
    </row>
    <row r="932">
      <c r="K932" s="84" t="n"/>
    </row>
    <row r="933">
      <c r="K933" s="84" t="n"/>
    </row>
    <row r="934">
      <c r="K934" s="84" t="n"/>
    </row>
    <row r="935">
      <c r="K935" s="84" t="n"/>
    </row>
    <row r="936">
      <c r="K936" s="84" t="n"/>
    </row>
    <row r="937">
      <c r="K937" s="84" t="n"/>
    </row>
    <row r="938">
      <c r="K938" s="84" t="n"/>
    </row>
    <row r="939">
      <c r="K939" s="84" t="n"/>
    </row>
    <row r="940">
      <c r="K940" s="84" t="n"/>
    </row>
    <row r="941">
      <c r="K941" s="84" t="n"/>
    </row>
    <row r="942">
      <c r="K942" s="84" t="n"/>
    </row>
    <row r="943">
      <c r="K943" s="84" t="n"/>
    </row>
    <row r="944">
      <c r="K944" s="84" t="n"/>
    </row>
    <row r="945">
      <c r="K945" s="84" t="n"/>
    </row>
    <row r="946">
      <c r="K946" s="84" t="n"/>
    </row>
    <row r="947">
      <c r="K947" s="84" t="n"/>
    </row>
    <row r="948">
      <c r="K948" s="84" t="n"/>
    </row>
    <row r="949">
      <c r="K949" s="84" t="n"/>
    </row>
    <row r="950">
      <c r="K950" s="84" t="n"/>
    </row>
    <row r="951">
      <c r="K951" s="84" t="n"/>
    </row>
    <row r="952">
      <c r="K952" s="84" t="n"/>
    </row>
    <row r="953">
      <c r="K953" s="84" t="n"/>
    </row>
    <row r="954">
      <c r="K954" s="84" t="n"/>
    </row>
    <row r="955">
      <c r="K955" s="84" t="n"/>
    </row>
    <row r="956">
      <c r="K956" s="84" t="n"/>
    </row>
    <row r="957">
      <c r="K957" s="84" t="n"/>
    </row>
    <row r="958">
      <c r="K958" s="84" t="n"/>
    </row>
    <row r="959">
      <c r="K959" s="84" t="n"/>
    </row>
    <row r="960">
      <c r="K960" s="84" t="n"/>
    </row>
    <row r="961">
      <c r="K961" s="84" t="n"/>
    </row>
    <row r="962">
      <c r="K962" s="84" t="n"/>
    </row>
    <row r="963">
      <c r="K963" s="84" t="n"/>
    </row>
    <row r="964">
      <c r="K964" s="84" t="n"/>
    </row>
    <row r="965">
      <c r="K965" s="84" t="n"/>
    </row>
    <row r="966">
      <c r="K966" s="84" t="n"/>
    </row>
    <row r="967">
      <c r="K967" s="84" t="n"/>
    </row>
    <row r="968">
      <c r="K968" s="84" t="n"/>
    </row>
    <row r="969">
      <c r="K969" s="84" t="n"/>
    </row>
    <row r="970">
      <c r="K970" s="84" t="n"/>
    </row>
    <row r="971">
      <c r="K971" s="84" t="n"/>
    </row>
    <row r="972">
      <c r="K972" s="84" t="n"/>
    </row>
    <row r="973">
      <c r="K973" s="84" t="n"/>
    </row>
    <row r="974">
      <c r="K974" s="84" t="n"/>
    </row>
    <row r="975">
      <c r="K975" s="84" t="n"/>
    </row>
    <row r="976">
      <c r="K976" s="84" t="n"/>
    </row>
    <row r="977">
      <c r="K977" s="84" t="n"/>
    </row>
    <row r="978">
      <c r="K978" s="84" t="n"/>
    </row>
    <row r="979">
      <c r="K979" s="84" t="n"/>
    </row>
    <row r="980">
      <c r="K980" s="84" t="n"/>
    </row>
    <row r="981">
      <c r="K981" s="84" t="n"/>
    </row>
    <row r="982">
      <c r="K982" s="84" t="n"/>
    </row>
    <row r="983">
      <c r="K983" s="84" t="n"/>
    </row>
    <row r="984">
      <c r="K984" s="84" t="n"/>
    </row>
    <row r="985">
      <c r="K985" s="84" t="n"/>
    </row>
    <row r="986">
      <c r="K986" s="84" t="n"/>
    </row>
    <row r="987">
      <c r="K987" s="84" t="n"/>
    </row>
    <row r="988">
      <c r="K988" s="84" t="n"/>
    </row>
    <row r="989">
      <c r="K989" s="84" t="n"/>
    </row>
    <row r="990">
      <c r="K990" s="84" t="n"/>
    </row>
    <row r="991">
      <c r="K991" s="84" t="n"/>
    </row>
    <row r="992">
      <c r="G992" s="40" t="n"/>
      <c r="K992" s="84" t="n"/>
    </row>
  </sheetData>
  <dataValidations count="2">
    <dataValidation sqref="L17:L18 L20:L22 L29:L34 L38 L40 L44:L54 L57:L71 L74:L85 L86:M86 L87:L92 L93:M93 L96:L115 M96:M115" showDropDown="0" showInputMessage="0" showErrorMessage="1" allowBlank="1" type="list">
      <formula1>"EMILIANO,JORGE,CLAUDIA,EMILIA,MILI CONCHA,MATEO"</formula1>
    </dataValidation>
    <dataValidation sqref="L2:L16 L19 L27:L28 L35:L37 L39 L41 M21:M22 M31 M33" showDropDown="0" showInputMessage="0" showErrorMessage="1" allowBlank="1" type="list">
      <formula1>"MARCO,PAOLA LUNA,SILVANA,JORGE DURAN,JORGE HERRERA"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974"/>
  <sheetViews>
    <sheetView workbookViewId="0">
      <selection activeCell="A1" sqref="A1"/>
    </sheetView>
  </sheetViews>
  <sheetFormatPr baseColWidth="8" defaultColWidth="12.63" defaultRowHeight="15.75" customHeight="1"/>
  <cols>
    <col width="29" customWidth="1" style="118" min="1" max="1"/>
    <col width="20" customWidth="1" style="118" min="2" max="2"/>
    <col width="13" customWidth="1" style="118" min="3" max="3"/>
    <col width="12.88" customWidth="1" style="118" min="10" max="10"/>
    <col width="17.75" customWidth="1" style="118" min="12" max="12"/>
    <col width="16.75" customWidth="1" style="118" min="13" max="13"/>
    <col width="18.88" customWidth="1" style="118" min="14" max="15"/>
  </cols>
  <sheetData>
    <row r="1">
      <c r="A1" s="27" t="inlineStr">
        <is>
          <t>Room ID</t>
        </is>
      </c>
      <c r="B1" s="27" t="inlineStr">
        <is>
          <t>TT Handle</t>
        </is>
      </c>
      <c r="C1" s="27" t="inlineStr">
        <is>
          <t>Country</t>
        </is>
      </c>
      <c r="D1" s="27" t="inlineStr">
        <is>
          <t>GMV</t>
        </is>
      </c>
      <c r="E1" s="27" t="inlineStr">
        <is>
          <t>GMV/sin EVA</t>
        </is>
      </c>
      <c r="F1" s="27" t="inlineStr">
        <is>
          <t>GMV PER HOUR</t>
        </is>
      </c>
      <c r="G1" s="27" t="inlineStr">
        <is>
          <t>GMV PER HOUR/sin EVA</t>
        </is>
      </c>
      <c r="H1" s="27" t="inlineStr">
        <is>
          <t>Ads Cost</t>
        </is>
      </c>
      <c r="I1" s="27" t="inlineStr">
        <is>
          <t>Duration (H)</t>
        </is>
      </c>
      <c r="J1" s="28" t="inlineStr">
        <is>
          <t>Duration （Formula）</t>
        </is>
      </c>
      <c r="K1" s="29" t="inlineStr">
        <is>
          <t>Start date</t>
        </is>
      </c>
      <c r="L1" s="30" t="inlineStr">
        <is>
          <t>HOST 1</t>
        </is>
      </c>
      <c r="M1" s="30" t="inlineStr">
        <is>
          <t>HOST 2</t>
        </is>
      </c>
      <c r="N1" s="30" t="n"/>
      <c r="O1" s="30" t="inlineStr">
        <is>
          <t>Operator</t>
        </is>
      </c>
    </row>
    <row r="2">
      <c r="A2" s="91" t="inlineStr">
        <is>
          <t>7636113457011706631</t>
        </is>
      </c>
      <c r="B2" s="98" t="inlineStr">
        <is>
          <t>lbelonline.tienda</t>
        </is>
      </c>
      <c r="C2" s="40" t="inlineStr">
        <is>
          <t>MX</t>
        </is>
      </c>
      <c r="D2" s="100" t="n">
        <v>20115.47</v>
      </c>
      <c r="E2" s="40">
        <f>D2/1.16</f>
        <v/>
      </c>
      <c r="F2" s="40" t="n">
        <v>3353.2</v>
      </c>
      <c r="G2" s="40">
        <f>F2/1.16</f>
        <v/>
      </c>
      <c r="H2" s="40" t="n">
        <v>12888.87</v>
      </c>
      <c r="I2" s="91" t="n">
        <v>5.99889</v>
      </c>
      <c r="J2" s="74">
        <f>LET(dec, I2-INT(I2), IF(dec&lt;0.1, INT(I2), IF(dec&lt;=0.7, INT(I2)+0.5, INT(I2)+1)))</f>
        <v/>
      </c>
      <c r="K2" s="43" t="n">
        <v>46146</v>
      </c>
      <c r="L2" s="38" t="inlineStr">
        <is>
          <t>MAYTE</t>
        </is>
      </c>
      <c r="M2" s="38" t="inlineStr">
        <is>
          <t>JIMENA</t>
        </is>
      </c>
      <c r="N2" s="38" t="n"/>
      <c r="O2" s="38" t="inlineStr">
        <is>
          <t>RODRIGO</t>
        </is>
      </c>
    </row>
    <row r="3">
      <c r="A3" s="91" t="inlineStr">
        <is>
          <t>7636840388334095122</t>
        </is>
      </c>
      <c r="B3" s="98" t="inlineStr">
        <is>
          <t>lbelonline.tienda</t>
        </is>
      </c>
      <c r="C3" s="40" t="inlineStr">
        <is>
          <t>MX</t>
        </is>
      </c>
      <c r="D3" s="39" t="n">
        <v>15565.56</v>
      </c>
      <c r="E3" s="40">
        <f>D3/1.16</f>
        <v/>
      </c>
      <c r="F3" s="40" t="n">
        <v>2519.3</v>
      </c>
      <c r="G3" s="40">
        <f>F3/1.16</f>
        <v/>
      </c>
      <c r="H3" s="40" t="n">
        <v>8620.17</v>
      </c>
      <c r="I3" s="91" t="n">
        <v>6.005</v>
      </c>
      <c r="J3" s="74">
        <f>LET(dec, I3-INT(I3), IF(dec&lt;0.1, INT(I3), IF(dec&lt;=0.7, INT(I3)+0.5, INT(I3)+1)))</f>
        <v/>
      </c>
      <c r="K3" s="43" t="n">
        <v>46148</v>
      </c>
      <c r="L3" s="38" t="inlineStr">
        <is>
          <t>MAYTE</t>
        </is>
      </c>
      <c r="M3" s="38" t="inlineStr">
        <is>
          <t>JIMENA</t>
        </is>
      </c>
      <c r="N3" s="38" t="n"/>
      <c r="O3" s="38" t="inlineStr">
        <is>
          <t>RODRIGO</t>
        </is>
      </c>
    </row>
    <row r="4">
      <c r="A4" s="91" t="inlineStr">
        <is>
          <t>7637597763509357330</t>
        </is>
      </c>
      <c r="B4" s="98" t="inlineStr">
        <is>
          <t>lbelonline.tienda</t>
        </is>
      </c>
      <c r="C4" s="40" t="inlineStr">
        <is>
          <t>MX</t>
        </is>
      </c>
      <c r="D4" s="39" t="n">
        <v>10828.79</v>
      </c>
      <c r="E4" s="40">
        <f>D4/1.16</f>
        <v/>
      </c>
      <c r="F4" s="40" t="n">
        <v>2547.38</v>
      </c>
      <c r="G4" s="40">
        <f>F4/1.16</f>
        <v/>
      </c>
      <c r="H4" s="40" t="n">
        <v>5185.14</v>
      </c>
      <c r="I4" s="91" t="n">
        <v>4.05583</v>
      </c>
      <c r="J4" s="74">
        <f>LET(dec, I4-INT(I4), IF(dec&lt;0.1, INT(I4), IF(dec&lt;=0.7, INT(I4)+0.5, INT(I4)+1)))</f>
        <v/>
      </c>
      <c r="K4" s="43" t="n">
        <v>46150</v>
      </c>
      <c r="L4" s="38" t="inlineStr">
        <is>
          <t>MAYTE</t>
        </is>
      </c>
      <c r="M4" s="38" t="n"/>
      <c r="N4" s="38" t="n"/>
      <c r="O4" s="38" t="inlineStr">
        <is>
          <t>RODRIGO</t>
        </is>
      </c>
    </row>
    <row r="5">
      <c r="A5" s="91" t="inlineStr">
        <is>
          <t>7639453007242971922</t>
        </is>
      </c>
      <c r="B5" s="98" t="inlineStr">
        <is>
          <t>lbelonline.tienda</t>
        </is>
      </c>
      <c r="C5" s="40" t="inlineStr">
        <is>
          <t>MX</t>
        </is>
      </c>
      <c r="D5" s="39" t="n">
        <v>9796</v>
      </c>
      <c r="E5" s="40">
        <f>D5/1.16</f>
        <v/>
      </c>
      <c r="F5" s="40" t="n">
        <v>2452</v>
      </c>
      <c r="G5" s="40">
        <f>F5/1.16</f>
        <v/>
      </c>
      <c r="H5" s="40" t="n">
        <v>1716.86</v>
      </c>
      <c r="I5" s="91" t="n">
        <v>3.99528</v>
      </c>
      <c r="J5" s="74">
        <f>LET(dec, I5-INT(I5), IF(dec&lt;0.1, INT(I5), IF(dec&lt;=0.7, INT(I5)+0.5, INT(I5)+1)))</f>
        <v/>
      </c>
      <c r="K5" s="43" t="n">
        <v>46155</v>
      </c>
      <c r="L5" s="38" t="inlineStr">
        <is>
          <t>JIMENA</t>
        </is>
      </c>
      <c r="M5" s="38" t="n"/>
      <c r="N5" s="38" t="n"/>
      <c r="O5" s="38" t="inlineStr">
        <is>
          <t>RODRIGO</t>
        </is>
      </c>
    </row>
    <row r="6">
      <c r="A6" s="91" t="inlineStr">
        <is>
          <t>7639824095689788168</t>
        </is>
      </c>
      <c r="B6" s="98" t="inlineStr">
        <is>
          <t>lbelonline.tienda</t>
        </is>
      </c>
      <c r="C6" s="40" t="inlineStr">
        <is>
          <t>MX</t>
        </is>
      </c>
      <c r="D6" s="39" t="n">
        <v>11526</v>
      </c>
      <c r="E6" s="40">
        <f>D6/1.16</f>
        <v/>
      </c>
      <c r="F6" s="40" t="n">
        <v>2879.19</v>
      </c>
      <c r="G6" s="40">
        <f>F6/1.16</f>
        <v/>
      </c>
      <c r="H6" s="40" t="n">
        <v>1725.94</v>
      </c>
      <c r="I6" s="91" t="n">
        <v>4.00306</v>
      </c>
      <c r="J6" s="74">
        <f>LET(dec, I6-INT(I6), IF(dec&lt;0.1, INT(I6), IF(dec&lt;=0.7, INT(I6)+0.5, INT(I6)+1)))</f>
        <v/>
      </c>
      <c r="K6" s="43" t="n">
        <v>46156</v>
      </c>
      <c r="L6" s="38" t="inlineStr">
        <is>
          <t>MAYTE</t>
        </is>
      </c>
      <c r="M6" s="38" t="n"/>
      <c r="N6" s="38" t="n"/>
      <c r="O6" s="38" t="inlineStr">
        <is>
          <t>RODRIGO</t>
        </is>
      </c>
    </row>
    <row r="7">
      <c r="A7" s="91" t="inlineStr">
        <is>
          <t>7640195163284982536</t>
        </is>
      </c>
      <c r="B7" s="98" t="inlineStr">
        <is>
          <t>lbelonline.tienda</t>
        </is>
      </c>
      <c r="C7" s="40" t="inlineStr">
        <is>
          <t>MX</t>
        </is>
      </c>
      <c r="D7" s="39" t="n">
        <v>11859</v>
      </c>
      <c r="E7" s="40">
        <f>D7/1.16</f>
        <v/>
      </c>
      <c r="F7" s="40" t="n">
        <v>1972.32</v>
      </c>
      <c r="G7" s="40">
        <f>F7/1.16</f>
        <v/>
      </c>
      <c r="H7" s="40" t="n">
        <v>3472.36</v>
      </c>
      <c r="I7" s="91" t="n">
        <v>6.01278</v>
      </c>
      <c r="J7" s="74">
        <f>LET(dec, I7-INT(I7), IF(dec&lt;0.1, INT(I7), IF(dec&lt;=0.7, INT(I7)+0.5, INT(I7)+1)))</f>
        <v/>
      </c>
      <c r="K7" s="43" t="n">
        <v>46157</v>
      </c>
      <c r="L7" s="38" t="inlineStr">
        <is>
          <t>MAYTE</t>
        </is>
      </c>
      <c r="M7" s="38" t="inlineStr">
        <is>
          <t>JIMENA</t>
        </is>
      </c>
      <c r="N7" s="38" t="n"/>
      <c r="O7" s="38" t="inlineStr">
        <is>
          <t>RODRIGO</t>
        </is>
      </c>
    </row>
    <row r="8">
      <c r="A8" s="91" t="inlineStr">
        <is>
          <t>7641308344989616914</t>
        </is>
      </c>
      <c r="B8" s="98" t="inlineStr">
        <is>
          <t>lbelonline.tienda</t>
        </is>
      </c>
      <c r="C8" s="40" t="inlineStr">
        <is>
          <t>MX</t>
        </is>
      </c>
      <c r="D8" s="39" t="n">
        <v>7051</v>
      </c>
      <c r="E8" s="40">
        <f>D8/1.16</f>
        <v/>
      </c>
      <c r="F8" s="40" t="n">
        <v>1760.58</v>
      </c>
      <c r="G8" s="40">
        <f>F8/1.16</f>
        <v/>
      </c>
      <c r="H8" s="40" t="n">
        <v>1728.7</v>
      </c>
      <c r="I8" s="91" t="n">
        <v>4.005</v>
      </c>
      <c r="J8" s="74">
        <f>LET(dec, I8-INT(I8), IF(dec&lt;0.1, INT(I8), IF(dec&lt;=0.7, INT(I8)+0.5, INT(I8)+1)))</f>
        <v/>
      </c>
      <c r="K8" s="43" t="n">
        <v>46160</v>
      </c>
      <c r="L8" s="38" t="inlineStr">
        <is>
          <t>MAYTE</t>
        </is>
      </c>
      <c r="M8" s="38" t="n"/>
      <c r="N8" s="38" t="n"/>
      <c r="O8" s="38" t="inlineStr">
        <is>
          <t>RODRIGO</t>
        </is>
      </c>
    </row>
    <row r="9">
      <c r="A9" s="91" t="inlineStr">
        <is>
          <t>7642050761945959188</t>
        </is>
      </c>
      <c r="B9" s="98" t="inlineStr">
        <is>
          <t>lbelonline.tienda</t>
        </is>
      </c>
      <c r="C9" s="40" t="inlineStr">
        <is>
          <t>MX</t>
        </is>
      </c>
      <c r="D9" s="39" t="n">
        <v>7771</v>
      </c>
      <c r="E9" s="40">
        <f>D9/1.16</f>
        <v/>
      </c>
      <c r="F9" s="40" t="n">
        <v>1945.46</v>
      </c>
      <c r="G9" s="40">
        <f>F9/1.16</f>
        <v/>
      </c>
      <c r="H9" s="40" t="n">
        <v>1728.53</v>
      </c>
      <c r="I9" s="91" t="n">
        <v>3.97861</v>
      </c>
      <c r="J9" s="74">
        <f>LET(dec, I9-INT(I9), IF(dec&lt;0.1, INT(I9), IF(dec&lt;=0.7, INT(I9)+0.5, INT(I9)+1)))</f>
        <v/>
      </c>
      <c r="K9" s="43" t="n">
        <v>46162</v>
      </c>
      <c r="L9" s="38" t="inlineStr">
        <is>
          <t>JIMENA</t>
        </is>
      </c>
      <c r="M9" s="38" t="n"/>
      <c r="N9" s="38" t="n"/>
      <c r="O9" s="38" t="inlineStr">
        <is>
          <t>RODRIGO</t>
        </is>
      </c>
    </row>
    <row r="10">
      <c r="A10" s="91" t="inlineStr">
        <is>
          <t>7642792958428744468</t>
        </is>
      </c>
      <c r="B10" s="98" t="inlineStr">
        <is>
          <t>lbelonline.tienda</t>
        </is>
      </c>
      <c r="C10" s="40" t="inlineStr">
        <is>
          <t>MX</t>
        </is>
      </c>
      <c r="D10" s="39" t="n">
        <v>11305</v>
      </c>
      <c r="E10" s="40">
        <f>D10/1.16</f>
        <v/>
      </c>
      <c r="F10" s="40" t="n">
        <v>2830.06</v>
      </c>
      <c r="G10" s="40">
        <f>F10/1.16</f>
        <v/>
      </c>
      <c r="H10" s="40" t="n">
        <v>1728.87</v>
      </c>
      <c r="I10" s="91" t="n">
        <v>4.00056</v>
      </c>
      <c r="J10" s="74">
        <f>LET(dec, I10-INT(I10), IF(dec&lt;0.1, INT(I10), IF(dec&lt;=0.7, INT(I10)+0.5, INT(I10)+1)))</f>
        <v/>
      </c>
      <c r="K10" s="43" t="n">
        <v>46164</v>
      </c>
      <c r="L10" s="38" t="inlineStr">
        <is>
          <t>MAYTE</t>
        </is>
      </c>
      <c r="M10" s="38" t="n"/>
      <c r="N10" s="38" t="n"/>
      <c r="O10" s="38" t="inlineStr">
        <is>
          <t>RODRIGO</t>
        </is>
      </c>
    </row>
    <row r="11">
      <c r="A11" s="91" t="inlineStr">
        <is>
          <t>7644277275227851527</t>
        </is>
      </c>
      <c r="B11" s="98" t="inlineStr">
        <is>
          <t>lbelonline.tienda</t>
        </is>
      </c>
      <c r="C11" s="40" t="inlineStr">
        <is>
          <t>MX</t>
        </is>
      </c>
      <c r="D11" s="39" t="n">
        <v>22031</v>
      </c>
      <c r="E11" s="40">
        <f>D11/1.16</f>
        <v/>
      </c>
      <c r="F11" s="40" t="n">
        <v>3679.5</v>
      </c>
      <c r="G11" s="40">
        <f>F11/1.16</f>
        <v/>
      </c>
      <c r="H11" s="40" t="n">
        <v>4321.58</v>
      </c>
      <c r="I11" s="91" t="n">
        <v>5.9875</v>
      </c>
      <c r="J11" s="74">
        <f>LET(dec, I11-INT(I11), IF(dec&lt;0.1, INT(I11), IF(dec&lt;=0.7, INT(I11)+0.5, INT(I11)+1)))</f>
        <v/>
      </c>
      <c r="K11" s="43" t="n">
        <v>46168</v>
      </c>
      <c r="L11" s="38" t="inlineStr">
        <is>
          <t>MAYTE</t>
        </is>
      </c>
      <c r="M11" s="38" t="inlineStr">
        <is>
          <t>JIMENA</t>
        </is>
      </c>
      <c r="N11" s="38" t="n"/>
      <c r="O11" s="38" t="inlineStr">
        <is>
          <t>RODRIGO</t>
        </is>
      </c>
    </row>
    <row r="12">
      <c r="A12" s="91" t="inlineStr">
        <is>
          <t>7644648337949428498</t>
        </is>
      </c>
      <c r="B12" s="98" t="inlineStr">
        <is>
          <t>lbelonline.tienda</t>
        </is>
      </c>
      <c r="C12" s="40" t="inlineStr">
        <is>
          <t>MX</t>
        </is>
      </c>
      <c r="D12" s="39" t="n">
        <v>11025</v>
      </c>
      <c r="E12" s="40">
        <f>D12/1.16</f>
        <v/>
      </c>
      <c r="F12" s="40" t="n">
        <v>1836.48</v>
      </c>
      <c r="G12" s="40">
        <f>F12/1.16</f>
        <v/>
      </c>
      <c r="H12" s="40" t="n">
        <v>2409.63</v>
      </c>
      <c r="I12" s="91" t="n">
        <v>6</v>
      </c>
      <c r="J12" s="74" t="n">
        <v>6</v>
      </c>
      <c r="K12" s="43" t="n">
        <v>46169</v>
      </c>
      <c r="L12" s="38" t="inlineStr">
        <is>
          <t>JIMENA</t>
        </is>
      </c>
      <c r="M12" s="38" t="inlineStr">
        <is>
          <t>MAYTE</t>
        </is>
      </c>
      <c r="N12" s="38" t="n"/>
      <c r="O12" s="38" t="inlineStr">
        <is>
          <t>RODRIGO</t>
        </is>
      </c>
    </row>
    <row r="13">
      <c r="E13" s="54">
        <f>SUM(E2:E12)</f>
        <v/>
      </c>
      <c r="K13" s="84" t="n"/>
    </row>
    <row r="14">
      <c r="K14" s="84" t="n"/>
    </row>
    <row r="15">
      <c r="A15" s="7" t="inlineStr">
        <is>
          <t>Room ID</t>
        </is>
      </c>
      <c r="B15" s="7" t="inlineStr">
        <is>
          <t>TT Handle</t>
        </is>
      </c>
      <c r="C15" s="7" t="inlineStr">
        <is>
          <t>Country</t>
        </is>
      </c>
      <c r="D15" s="7" t="inlineStr">
        <is>
          <t>GMV</t>
        </is>
      </c>
      <c r="E15" s="7" t="inlineStr">
        <is>
          <t>GMV/sin EVA</t>
        </is>
      </c>
      <c r="F15" s="7" t="inlineStr">
        <is>
          <t>GMV PER HOUR</t>
        </is>
      </c>
      <c r="G15" s="7" t="inlineStr">
        <is>
          <t>GMV PER HOUR/sin EVA</t>
        </is>
      </c>
      <c r="H15" s="7" t="inlineStr">
        <is>
          <t>Ads Cost</t>
        </is>
      </c>
      <c r="I15" s="7" t="inlineStr">
        <is>
          <t>Duration (H)</t>
        </is>
      </c>
      <c r="J15" s="70" t="inlineStr">
        <is>
          <t>Duration （Formula）</t>
        </is>
      </c>
      <c r="K15" s="58" t="inlineStr">
        <is>
          <t>Start date</t>
        </is>
      </c>
      <c r="L15" s="71" t="inlineStr">
        <is>
          <t>HOST 1</t>
        </is>
      </c>
      <c r="M15" s="71" t="inlineStr">
        <is>
          <t>HOST 2</t>
        </is>
      </c>
      <c r="N15" s="71" t="n"/>
      <c r="O15" s="71" t="inlineStr">
        <is>
          <t>Operator</t>
        </is>
      </c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  <c r="AA15" s="59" t="n"/>
      <c r="AB15" s="59" t="n"/>
      <c r="AC15" s="59" t="n"/>
    </row>
    <row r="16">
      <c r="A16" s="91" t="inlineStr">
        <is>
          <t>7645019135835589384</t>
        </is>
      </c>
      <c r="B16" s="98" t="inlineStr">
        <is>
          <t>lbelonline.tienda</t>
        </is>
      </c>
      <c r="C16" s="40" t="inlineStr">
        <is>
          <t>MX</t>
        </is>
      </c>
      <c r="D16" s="100" t="n">
        <v>15748</v>
      </c>
      <c r="E16" s="40">
        <f>D16/1.16</f>
        <v/>
      </c>
      <c r="F16" s="40" t="n">
        <v>2624.83</v>
      </c>
      <c r="G16" s="40">
        <f>F16/1.16</f>
        <v/>
      </c>
      <c r="H16" s="40" t="n">
        <v>4378.68</v>
      </c>
      <c r="I16" s="42" t="n">
        <v>6</v>
      </c>
      <c r="J16" s="74" t="n">
        <v>6</v>
      </c>
      <c r="K16" s="43" t="n">
        <v>46170</v>
      </c>
      <c r="L16" s="38" t="inlineStr">
        <is>
          <t>MAYTE</t>
        </is>
      </c>
      <c r="M16" s="64" t="n"/>
      <c r="N16" s="64" t="n"/>
      <c r="O16" s="38" t="inlineStr">
        <is>
          <t>RODRIGO LOPEZ</t>
        </is>
      </c>
    </row>
    <row r="17">
      <c r="A17" s="91" t="inlineStr">
        <is>
          <t>7645390735563639559</t>
        </is>
      </c>
      <c r="B17" s="98" t="inlineStr">
        <is>
          <t>lbelonline.tienda</t>
        </is>
      </c>
      <c r="C17" s="40" t="inlineStr">
        <is>
          <t>MX</t>
        </is>
      </c>
      <c r="D17" s="100" t="n">
        <v>19501.63</v>
      </c>
      <c r="E17" s="40">
        <f>D17/1.16</f>
        <v/>
      </c>
      <c r="F17" s="40">
        <f>D17/J17</f>
        <v/>
      </c>
      <c r="G17" s="40">
        <f>F17/1.16</f>
        <v/>
      </c>
      <c r="H17" s="40" t="n">
        <v>4378.5</v>
      </c>
      <c r="I17" s="42" t="n">
        <v>6</v>
      </c>
      <c r="J17" s="74">
        <f>LET(dec, I17-INT(I17), IF(dec&lt;0.1, INT(I17), IF(dec&lt;=0.7, INT(I17)+0.5, INT(I17)+1)))</f>
        <v/>
      </c>
      <c r="K17" s="43" t="n">
        <v>46171</v>
      </c>
      <c r="L17" s="38" t="inlineStr">
        <is>
          <t>MAYTE</t>
        </is>
      </c>
      <c r="M17" s="38" t="n"/>
      <c r="N17" s="38" t="n"/>
      <c r="O17" s="38" t="inlineStr">
        <is>
          <t>RODRIGO LOPEZ</t>
        </is>
      </c>
    </row>
    <row r="18">
      <c r="A18" s="91" t="inlineStr">
        <is>
          <t>7646472816921332498</t>
        </is>
      </c>
      <c r="B18" s="98" t="inlineStr">
        <is>
          <t>lbelonline.tienda</t>
        </is>
      </c>
      <c r="C18" s="40" t="inlineStr">
        <is>
          <t>MX</t>
        </is>
      </c>
      <c r="D18" s="100" t="n">
        <v>10721.08</v>
      </c>
      <c r="E18" s="40">
        <f>D18/1.16</f>
        <v/>
      </c>
      <c r="F18" s="40">
        <f>D18/J18</f>
        <v/>
      </c>
      <c r="G18" s="40">
        <f>F18/1.16</f>
        <v/>
      </c>
      <c r="H18" s="40" t="n">
        <v>2624.93</v>
      </c>
      <c r="I18" s="42" t="n">
        <v>6</v>
      </c>
      <c r="J18" s="74">
        <f>LET(dec, I18-INT(I18), IF(dec&lt;0.1, INT(I18), IF(dec&lt;=0.7, INT(I18)+0.5, INT(I18)+1)))</f>
        <v/>
      </c>
      <c r="K18" s="43" t="n">
        <v>46174</v>
      </c>
      <c r="L18" s="38" t="inlineStr">
        <is>
          <t>MAYTE</t>
        </is>
      </c>
      <c r="M18" s="38" t="inlineStr">
        <is>
          <t>JIMENA</t>
        </is>
      </c>
      <c r="N18" s="38" t="n"/>
      <c r="O18" s="38" t="inlineStr">
        <is>
          <t>RODRIGO LOPEZ</t>
        </is>
      </c>
    </row>
    <row r="19">
      <c r="A19" s="91" t="inlineStr">
        <is>
          <t>7646874741768948488</t>
        </is>
      </c>
      <c r="B19" s="98" t="inlineStr">
        <is>
          <t>lbelonline.tienda</t>
        </is>
      </c>
      <c r="C19" s="40" t="inlineStr">
        <is>
          <t>MX</t>
        </is>
      </c>
      <c r="D19" s="100" t="n">
        <v>13243.1</v>
      </c>
      <c r="E19" s="40">
        <f>D19/1.16</f>
        <v/>
      </c>
      <c r="F19" s="40">
        <f>D19/J19</f>
        <v/>
      </c>
      <c r="G19" s="40">
        <f>F19/1.16</f>
        <v/>
      </c>
      <c r="H19" s="40" t="n">
        <v>4377.97</v>
      </c>
      <c r="I19" s="42" t="n">
        <v>6</v>
      </c>
      <c r="J19" s="74">
        <f>LET(dec, I19-INT(I19), IF(dec&lt;0.1, INT(I19), IF(dec&lt;=0.7, INT(I19)+0.5, INT(I19)+1)))</f>
        <v/>
      </c>
      <c r="K19" s="43" t="n">
        <v>46175</v>
      </c>
      <c r="L19" s="38" t="inlineStr">
        <is>
          <t>MAYTE</t>
        </is>
      </c>
      <c r="M19" s="38" t="inlineStr">
        <is>
          <t>JIMENA</t>
        </is>
      </c>
      <c r="N19" s="38" t="n"/>
      <c r="O19" s="38" t="inlineStr">
        <is>
          <t>RODRIGO LOPEZ</t>
        </is>
      </c>
    </row>
    <row r="20">
      <c r="A20" s="91" t="inlineStr">
        <is>
          <t>7647988182755199765</t>
        </is>
      </c>
      <c r="B20" s="98" t="inlineStr">
        <is>
          <t>lbelonline.tienda</t>
        </is>
      </c>
      <c r="C20" s="40" t="inlineStr">
        <is>
          <t>MX</t>
        </is>
      </c>
      <c r="D20" s="100" t="n">
        <v>6338.05</v>
      </c>
      <c r="E20" s="40">
        <f>D20/1.16</f>
        <v/>
      </c>
      <c r="F20" s="40">
        <f>D20/J20</f>
        <v/>
      </c>
      <c r="G20" s="40">
        <f>F20/1.16</f>
        <v/>
      </c>
      <c r="H20" s="40" t="n">
        <v>0</v>
      </c>
      <c r="I20" s="42" t="n">
        <v>4</v>
      </c>
      <c r="J20" s="74">
        <f>LET(dec, I20-INT(I20), IF(dec&lt;0.1, INT(I20), IF(dec&lt;=0.7, INT(I20)+0.5, INT(I20)+1)))</f>
        <v/>
      </c>
      <c r="K20" s="43" t="n">
        <v>46178</v>
      </c>
      <c r="L20" s="38" t="inlineStr">
        <is>
          <t>MAYTE</t>
        </is>
      </c>
      <c r="M20" s="38" t="n"/>
      <c r="N20" s="38" t="n"/>
      <c r="O20" s="38" t="inlineStr">
        <is>
          <t>RODRIGO LOPEZ</t>
        </is>
      </c>
    </row>
    <row r="21">
      <c r="A21" s="91" t="inlineStr">
        <is>
          <t>7649101386918955796</t>
        </is>
      </c>
      <c r="B21" s="98" t="inlineStr">
        <is>
          <t>lbelonline.tienda</t>
        </is>
      </c>
      <c r="C21" s="40" t="inlineStr">
        <is>
          <t>MX</t>
        </is>
      </c>
      <c r="D21" s="100" t="n">
        <v>12951.8</v>
      </c>
      <c r="E21" s="40">
        <f>D21/1.16</f>
        <v/>
      </c>
      <c r="F21" s="40">
        <f>D21/J21</f>
        <v/>
      </c>
      <c r="G21" s="40">
        <f>F21/1.16</f>
        <v/>
      </c>
      <c r="H21" s="40" t="n">
        <v>2512.83</v>
      </c>
      <c r="I21" s="42" t="n">
        <v>4</v>
      </c>
      <c r="J21" s="74">
        <f>LET(dec, I21-INT(I21), IF(dec&lt;0.1, INT(I21), IF(dec&lt;=0.7, INT(I21)+0.5, INT(I21)+1)))</f>
        <v/>
      </c>
      <c r="K21" s="43" t="n">
        <v>46181</v>
      </c>
      <c r="L21" s="38" t="inlineStr">
        <is>
          <t>MAYTE</t>
        </is>
      </c>
      <c r="M21" s="38" t="n"/>
      <c r="N21" s="38" t="n"/>
      <c r="O21" s="38" t="inlineStr">
        <is>
          <t>RODRIGO</t>
        </is>
      </c>
    </row>
    <row r="22">
      <c r="A22" s="91" t="inlineStr">
        <is>
          <t>7649889871670807317</t>
        </is>
      </c>
      <c r="B22" s="98" t="inlineStr">
        <is>
          <t>lbelonline.tienda</t>
        </is>
      </c>
      <c r="C22" s="40" t="inlineStr">
        <is>
          <t>MX</t>
        </is>
      </c>
      <c r="D22" s="100" t="n">
        <v>7015.66</v>
      </c>
      <c r="E22" s="40">
        <f>D22/1.16</f>
        <v/>
      </c>
      <c r="F22" s="40">
        <f>D22/J22</f>
        <v/>
      </c>
      <c r="G22" s="40">
        <f>F22/1.16</f>
        <v/>
      </c>
      <c r="H22" s="40" t="n">
        <v>0</v>
      </c>
      <c r="I22" s="42" t="n">
        <v>4</v>
      </c>
      <c r="J22" s="74">
        <f>LET(dec, I22-INT(I22), IF(dec&lt;0.1, INT(I22), IF(dec&lt;=0.7, INT(I22)+0.5, INT(I22)+1)))</f>
        <v/>
      </c>
      <c r="K22" s="43" t="n">
        <v>46183</v>
      </c>
      <c r="L22" s="38" t="inlineStr">
        <is>
          <t>MAYTE</t>
        </is>
      </c>
      <c r="M22" s="38" t="n"/>
      <c r="N22" s="38" t="n"/>
      <c r="O22" s="38" t="inlineStr">
        <is>
          <t>RODRIGO</t>
        </is>
      </c>
    </row>
    <row r="23">
      <c r="A23" s="91" t="inlineStr">
        <is>
          <t>7650585840636168978</t>
        </is>
      </c>
      <c r="B23" s="98" t="inlineStr">
        <is>
          <t>lbelonline.tienda</t>
        </is>
      </c>
      <c r="C23" s="40" t="inlineStr">
        <is>
          <t>MX</t>
        </is>
      </c>
      <c r="D23" s="100" t="n">
        <v>7511.37</v>
      </c>
      <c r="E23" s="40">
        <f>D23/1.16</f>
        <v/>
      </c>
      <c r="F23" s="40">
        <f>D23/J23</f>
        <v/>
      </c>
      <c r="G23" s="40">
        <f>F23/1.16</f>
        <v/>
      </c>
      <c r="H23" s="40" t="n">
        <v>0</v>
      </c>
      <c r="I23" s="42" t="n">
        <v>4</v>
      </c>
      <c r="J23" s="74">
        <f>LET(dec, I23-INT(I23), IF(dec&lt;0.1, INT(I23), IF(dec&lt;=0.7, INT(I23)+0.5, INT(I23)+1)))</f>
        <v/>
      </c>
      <c r="K23" s="43" t="n">
        <v>46185</v>
      </c>
      <c r="L23" s="38" t="inlineStr">
        <is>
          <t>MAYTE</t>
        </is>
      </c>
      <c r="M23" s="38" t="n"/>
      <c r="N23" s="38" t="n"/>
      <c r="O23" s="38" t="inlineStr">
        <is>
          <t>RODRIGO</t>
        </is>
      </c>
    </row>
    <row r="24">
      <c r="A24" s="91" t="inlineStr">
        <is>
          <t>7651698738741644039</t>
        </is>
      </c>
      <c r="B24" s="98" t="inlineStr">
        <is>
          <t>lbelonline.tienda</t>
        </is>
      </c>
      <c r="C24" s="40" t="inlineStr">
        <is>
          <t>MX</t>
        </is>
      </c>
      <c r="D24" s="100" t="n">
        <v>3211.68</v>
      </c>
      <c r="E24" s="40">
        <f>D24/1.16</f>
        <v/>
      </c>
      <c r="F24" s="40">
        <f>D24/J24</f>
        <v/>
      </c>
      <c r="G24" s="40">
        <f>F24/1.16</f>
        <v/>
      </c>
      <c r="H24" s="40" t="n">
        <v>0</v>
      </c>
      <c r="I24" s="42" t="n">
        <v>3</v>
      </c>
      <c r="J24" s="74">
        <f>LET(dec, I24-INT(I24), IF(dec&lt;0.1, INT(I24), IF(dec&lt;=0.7, INT(I24)+0.5, INT(I24)+1)))</f>
        <v/>
      </c>
      <c r="K24" s="43" t="n">
        <v>46188</v>
      </c>
      <c r="L24" s="38" t="inlineStr">
        <is>
          <t>MAYTE</t>
        </is>
      </c>
      <c r="M24" s="38" t="n"/>
      <c r="N24" s="38" t="n"/>
      <c r="O24" s="38" t="inlineStr">
        <is>
          <t>RODRIGO</t>
        </is>
      </c>
    </row>
    <row r="25">
      <c r="A25" s="91" t="inlineStr">
        <is>
          <t>7651777885895691016</t>
        </is>
      </c>
      <c r="B25" s="98" t="inlineStr">
        <is>
          <t>lbelonline.tienda</t>
        </is>
      </c>
      <c r="C25" s="40" t="inlineStr">
        <is>
          <t>MX</t>
        </is>
      </c>
      <c r="D25" s="100" t="n">
        <v>3300.2</v>
      </c>
      <c r="E25" s="40">
        <f>D25/1.16</f>
        <v/>
      </c>
      <c r="F25" s="40">
        <f>D25/J25</f>
        <v/>
      </c>
      <c r="G25" s="40">
        <f>F25/1.16</f>
        <v/>
      </c>
      <c r="H25" s="40" t="n">
        <v>0</v>
      </c>
      <c r="I25" s="42" t="n">
        <v>3</v>
      </c>
      <c r="J25" s="74">
        <f>LET(dec, I25-INT(I25), IF(dec&lt;0.1, INT(I25), IF(dec&lt;=0.7, INT(I25)+0.5, INT(I25)+1)))</f>
        <v/>
      </c>
      <c r="K25" s="43" t="n">
        <v>46188</v>
      </c>
      <c r="L25" s="38" t="inlineStr">
        <is>
          <t>JIMENA</t>
        </is>
      </c>
      <c r="M25" s="38" t="n"/>
      <c r="N25" s="38" t="n"/>
      <c r="O25" s="38" t="inlineStr">
        <is>
          <t>RODRIGO</t>
        </is>
      </c>
    </row>
    <row r="26">
      <c r="A26" s="91" t="inlineStr">
        <is>
          <t>7652442049771899656</t>
        </is>
      </c>
      <c r="B26" s="98" t="inlineStr">
        <is>
          <t>lbelonline.tienda</t>
        </is>
      </c>
      <c r="C26" s="40" t="inlineStr">
        <is>
          <t>MX</t>
        </is>
      </c>
      <c r="D26" s="100" t="n">
        <v>572.85</v>
      </c>
      <c r="E26" s="40">
        <f>D26/1.16</f>
        <v/>
      </c>
      <c r="F26" s="40">
        <f>D26/J26</f>
        <v/>
      </c>
      <c r="G26" s="40">
        <f>F26/1.16</f>
        <v/>
      </c>
      <c r="H26" s="40" t="n">
        <v>832.12</v>
      </c>
      <c r="I26" s="42" t="n">
        <v>1</v>
      </c>
      <c r="J26" s="74">
        <f>LET(dec, I26-INT(I26), IF(dec&lt;0.1, INT(I26), IF(dec&lt;=0.7, INT(I26)+0.5, INT(I26)+1)))</f>
        <v/>
      </c>
      <c r="K26" s="43" t="n">
        <v>46190</v>
      </c>
      <c r="L26" s="38" t="inlineStr">
        <is>
          <t>MAYTE</t>
        </is>
      </c>
      <c r="M26" s="38" t="n"/>
      <c r="N26" s="38" t="n"/>
      <c r="O26" s="38" t="inlineStr">
        <is>
          <t>RODRIGO</t>
        </is>
      </c>
    </row>
    <row r="27">
      <c r="A27" s="91" t="inlineStr">
        <is>
          <t>7653183272905624338</t>
        </is>
      </c>
      <c r="B27" s="98" t="inlineStr">
        <is>
          <t>lbelonline.tienda</t>
        </is>
      </c>
      <c r="C27" s="40" t="inlineStr">
        <is>
          <t>MX</t>
        </is>
      </c>
      <c r="D27" s="100" t="n">
        <v>6485.58</v>
      </c>
      <c r="E27" s="40">
        <f>D27/1.16</f>
        <v/>
      </c>
      <c r="F27" s="40">
        <f>D27/J27</f>
        <v/>
      </c>
      <c r="G27" s="40">
        <f>F27/1.16</f>
        <v/>
      </c>
      <c r="H27" s="40" t="n">
        <v>538.4</v>
      </c>
      <c r="I27" s="42" t="n">
        <v>4</v>
      </c>
      <c r="J27" s="74">
        <f>LET(dec, I27-INT(I27), IF(dec&lt;0.1, INT(I27), IF(dec&lt;=0.7, INT(I27)+0.5, INT(I27)+1)))</f>
        <v/>
      </c>
      <c r="K27" s="43" t="n">
        <v>46192</v>
      </c>
      <c r="L27" s="38" t="inlineStr">
        <is>
          <t>MAYTE</t>
        </is>
      </c>
      <c r="M27" s="38" t="n"/>
      <c r="N27" s="38" t="n"/>
      <c r="O27" s="38" t="inlineStr">
        <is>
          <t>RODRIGO</t>
        </is>
      </c>
    </row>
    <row r="28">
      <c r="A28" s="91" t="inlineStr">
        <is>
          <t>7653554544392375061</t>
        </is>
      </c>
      <c r="B28" s="98" t="inlineStr">
        <is>
          <t>lbelonline.tienda</t>
        </is>
      </c>
      <c r="C28" s="40" t="inlineStr">
        <is>
          <t>MX</t>
        </is>
      </c>
      <c r="D28" s="100" t="n">
        <v>3927.25</v>
      </c>
      <c r="E28" s="40">
        <f>D28/1.16</f>
        <v/>
      </c>
      <c r="F28" s="40">
        <f>D28/J28</f>
        <v/>
      </c>
      <c r="G28" s="40">
        <f>F28/1.16</f>
        <v/>
      </c>
      <c r="H28" s="40" t="n">
        <v>716.1799999999999</v>
      </c>
      <c r="I28" s="42" t="n">
        <v>4</v>
      </c>
      <c r="J28" s="74">
        <f>LET(dec, I28-INT(I28), IF(dec&lt;0.1, INT(I28), IF(dec&lt;=0.7, INT(I28)+0.5, INT(I28)+1)))</f>
        <v/>
      </c>
      <c r="K28" s="43" t="n">
        <v>46193</v>
      </c>
      <c r="L28" s="38" t="inlineStr">
        <is>
          <t>MAYTE</t>
        </is>
      </c>
      <c r="M28" s="38" t="n"/>
      <c r="N28" s="38" t="n"/>
      <c r="O28" s="38" t="inlineStr">
        <is>
          <t>RODRIGO</t>
        </is>
      </c>
    </row>
    <row r="29">
      <c r="A29" s="91" t="inlineStr">
        <is>
          <t>7654667582695328532</t>
        </is>
      </c>
      <c r="B29" s="98" t="inlineStr">
        <is>
          <t>lbelonline.tienda</t>
        </is>
      </c>
      <c r="C29" s="40" t="inlineStr">
        <is>
          <t>MX</t>
        </is>
      </c>
      <c r="D29" s="100" t="n">
        <v>6066.13</v>
      </c>
      <c r="E29" s="40">
        <f>D29/1.16</f>
        <v/>
      </c>
      <c r="F29" s="40">
        <f>D29/J29</f>
        <v/>
      </c>
      <c r="G29" s="40">
        <f>F29/1.16</f>
        <v/>
      </c>
      <c r="H29" s="40" t="n">
        <v>1393.12</v>
      </c>
      <c r="I29" s="42" t="n">
        <v>3.27</v>
      </c>
      <c r="J29" s="73">
        <f>LET(dec, I29-INT(I29), IF(dec&lt;0.1, INT(I29), IF(dec&lt;=0.7, INT(I29)+0.5, INT(I29)+1)))</f>
        <v/>
      </c>
      <c r="K29" s="43" t="n">
        <v>46196</v>
      </c>
      <c r="L29" s="38" t="inlineStr">
        <is>
          <t>MAYTE</t>
        </is>
      </c>
      <c r="M29" s="38" t="n"/>
      <c r="N29" s="38" t="n"/>
      <c r="O29" s="38" t="inlineStr">
        <is>
          <t>RODRIGO</t>
        </is>
      </c>
    </row>
    <row r="30">
      <c r="A30" s="91" t="inlineStr">
        <is>
          <t>7654722457388010260</t>
        </is>
      </c>
      <c r="B30" s="98" t="inlineStr">
        <is>
          <t>lbelonline.tienda</t>
        </is>
      </c>
      <c r="C30" s="40" t="inlineStr">
        <is>
          <t>MX</t>
        </is>
      </c>
      <c r="D30" s="100" t="n">
        <v>756.5</v>
      </c>
      <c r="E30" s="40">
        <f>D30/1.16</f>
        <v/>
      </c>
      <c r="F30" s="40">
        <f>D30/J30</f>
        <v/>
      </c>
      <c r="G30" s="40">
        <f>F30/1.16</f>
        <v/>
      </c>
      <c r="H30" s="40" t="n">
        <v>189.16</v>
      </c>
      <c r="I30" s="42" t="n">
        <v>1</v>
      </c>
      <c r="J30" s="74">
        <f>LET(dec, I30-INT(I30), IF(dec&lt;0.1, INT(I30), IF(dec&lt;=0.7, INT(I30)+0.5, INT(I30)+1)))</f>
        <v/>
      </c>
      <c r="K30" s="43" t="n">
        <v>46196</v>
      </c>
      <c r="L30" s="38" t="inlineStr">
        <is>
          <t>MAYTE</t>
        </is>
      </c>
      <c r="M30" s="38" t="n"/>
      <c r="N30" s="38" t="n"/>
      <c r="O30" s="38" t="inlineStr">
        <is>
          <t>RODRIGO</t>
        </is>
      </c>
    </row>
    <row r="31">
      <c r="A31" s="91" t="inlineStr">
        <is>
          <t>7655783623498140437</t>
        </is>
      </c>
      <c r="B31" s="98" t="inlineStr">
        <is>
          <t>lbelonline.tienda</t>
        </is>
      </c>
      <c r="C31" s="40" t="inlineStr">
        <is>
          <t>MX</t>
        </is>
      </c>
      <c r="D31" s="100" t="n">
        <v>10393.95</v>
      </c>
      <c r="E31" s="40">
        <f>D31/1.16</f>
        <v/>
      </c>
      <c r="F31" s="40">
        <f>D31/J31</f>
        <v/>
      </c>
      <c r="G31" s="40">
        <f>F31/1.16</f>
        <v/>
      </c>
      <c r="H31" s="40" t="n">
        <v>2271.48</v>
      </c>
      <c r="I31" s="42" t="n">
        <v>4</v>
      </c>
      <c r="J31" s="74">
        <f>LET(dec, I31-INT(I31), IF(dec&lt;0.1, INT(I31), IF(dec&lt;=0.7, INT(I31)+0.5, INT(I31)+1)))</f>
        <v/>
      </c>
      <c r="K31" s="43" t="n">
        <v>46199</v>
      </c>
      <c r="L31" s="38" t="inlineStr">
        <is>
          <t>AKEY</t>
        </is>
      </c>
      <c r="M31" s="38" t="n"/>
      <c r="N31" s="38" t="n"/>
      <c r="O31" s="38" t="inlineStr">
        <is>
          <t>RODRIGO</t>
        </is>
      </c>
    </row>
    <row r="32">
      <c r="A32" s="91" t="inlineStr">
        <is>
          <t>7656153049728076564</t>
        </is>
      </c>
      <c r="B32" s="98" t="inlineStr">
        <is>
          <t>lbelonline.tienda</t>
        </is>
      </c>
      <c r="C32" s="40" t="inlineStr">
        <is>
          <t>MX</t>
        </is>
      </c>
      <c r="D32" s="100" t="n">
        <v>6111.7</v>
      </c>
      <c r="E32" s="40">
        <f>D32/1.16</f>
        <v/>
      </c>
      <c r="F32" s="40">
        <f>D32/J32</f>
        <v/>
      </c>
      <c r="G32" s="40">
        <f>F32/1.16</f>
        <v/>
      </c>
      <c r="H32" s="40" t="n">
        <v>0</v>
      </c>
      <c r="I32" s="42" t="n">
        <v>4</v>
      </c>
      <c r="J32" s="74">
        <f>LET(dec, I32-INT(I32), IF(dec&lt;0.1, INT(I32), IF(dec&lt;=0.7, INT(I32)+0.5, INT(I32)+1)))</f>
        <v/>
      </c>
      <c r="K32" s="43" t="n">
        <v>46200</v>
      </c>
      <c r="L32" s="38" t="inlineStr">
        <is>
          <t>MAYTE</t>
        </is>
      </c>
      <c r="M32" s="38" t="inlineStr">
        <is>
          <t xml:space="preserve">SANDRA </t>
        </is>
      </c>
      <c r="N32" s="38" t="n"/>
      <c r="O32" s="38" t="inlineStr">
        <is>
          <t>RODRIGO</t>
        </is>
      </c>
    </row>
    <row r="33">
      <c r="K33" s="84" t="n"/>
    </row>
    <row r="34">
      <c r="K34" s="84" t="n"/>
    </row>
    <row r="35">
      <c r="A35" s="7" t="inlineStr">
        <is>
          <t>Room ID</t>
        </is>
      </c>
      <c r="B35" s="7" t="inlineStr">
        <is>
          <t>TT Handle</t>
        </is>
      </c>
      <c r="C35" s="7" t="inlineStr">
        <is>
          <t>Country</t>
        </is>
      </c>
      <c r="D35" s="7" t="inlineStr">
        <is>
          <t>GMV</t>
        </is>
      </c>
      <c r="E35" s="7" t="inlineStr">
        <is>
          <t>GMV/sin EVA</t>
        </is>
      </c>
      <c r="F35" s="7" t="inlineStr">
        <is>
          <t>GMV PER HOUR</t>
        </is>
      </c>
      <c r="G35" s="7" t="inlineStr">
        <is>
          <t>GMV PER HOUR/sin EVA</t>
        </is>
      </c>
      <c r="H35" s="7" t="inlineStr">
        <is>
          <t>Ads Cost</t>
        </is>
      </c>
      <c r="I35" s="7" t="inlineStr">
        <is>
          <t>Duration (H)</t>
        </is>
      </c>
      <c r="J35" s="70" t="inlineStr">
        <is>
          <t>Duration （Formula）</t>
        </is>
      </c>
      <c r="K35" s="58" t="inlineStr">
        <is>
          <t>Start date</t>
        </is>
      </c>
      <c r="L35" s="71" t="inlineStr">
        <is>
          <t>HOST 1</t>
        </is>
      </c>
      <c r="M35" s="71" t="inlineStr">
        <is>
          <t>HOST 2</t>
        </is>
      </c>
      <c r="N35" s="71" t="n"/>
      <c r="O35" s="71" t="inlineStr">
        <is>
          <t>Operator</t>
        </is>
      </c>
    </row>
    <row r="36">
      <c r="A36" s="91" t="inlineStr">
        <is>
          <t>7656894361384995605</t>
        </is>
      </c>
      <c r="B36" s="98" t="inlineStr">
        <is>
          <t>lbelonline.tienda</t>
        </is>
      </c>
      <c r="C36" s="40" t="inlineStr">
        <is>
          <t>MX</t>
        </is>
      </c>
      <c r="D36" s="100" t="n">
        <v>2576.86</v>
      </c>
      <c r="E36" s="40">
        <f>D36/1.16</f>
        <v/>
      </c>
      <c r="F36" s="40">
        <f>D36/J36</f>
        <v/>
      </c>
      <c r="G36" s="40">
        <f>F36/1.16</f>
        <v/>
      </c>
      <c r="H36" s="40" t="n">
        <v>273.43</v>
      </c>
      <c r="I36" s="42" t="n">
        <v>4</v>
      </c>
      <c r="J36" s="74">
        <f>LET(dec, I36-INT(I36), IF(dec&lt;0.1, INT(I36), IF(dec&lt;=0.7, INT(I36)+0.5, INT(I36)+1)))</f>
        <v/>
      </c>
      <c r="K36" s="43" t="n">
        <v>46202</v>
      </c>
      <c r="L36" s="38" t="inlineStr">
        <is>
          <t xml:space="preserve">SANDRA </t>
        </is>
      </c>
      <c r="M36" s="38" t="n"/>
      <c r="N36" s="38" t="n"/>
      <c r="O36" s="38" t="inlineStr">
        <is>
          <t>RODRIGO LOPEZ</t>
        </is>
      </c>
    </row>
    <row r="37">
      <c r="A37" s="91" t="inlineStr">
        <is>
          <t>7657265241292491541</t>
        </is>
      </c>
      <c r="B37" s="98" t="inlineStr">
        <is>
          <t>lbelonline.tienda</t>
        </is>
      </c>
      <c r="C37" s="40" t="inlineStr">
        <is>
          <t>MX</t>
        </is>
      </c>
      <c r="D37" s="100" t="n">
        <v>4481.16</v>
      </c>
      <c r="E37" s="40">
        <f>D37/1.16</f>
        <v/>
      </c>
      <c r="F37" s="40">
        <f>D37/J37</f>
        <v/>
      </c>
      <c r="G37" s="40">
        <f>F37/1.16</f>
        <v/>
      </c>
      <c r="H37" s="40" t="n">
        <v>39.98</v>
      </c>
      <c r="I37" s="42" t="n">
        <v>2</v>
      </c>
      <c r="J37" s="74">
        <f>LET(dec, I37-INT(I37), IF(dec&lt;0.1, INT(I37), IF(dec&lt;=0.7, INT(I37)+0.5, INT(I37)+1)))</f>
        <v/>
      </c>
      <c r="K37" s="43" t="n">
        <v>46203</v>
      </c>
      <c r="L37" s="38" t="inlineStr">
        <is>
          <t>MAYTE</t>
        </is>
      </c>
      <c r="M37" s="38" t="n"/>
      <c r="N37" s="38" t="n"/>
      <c r="O37" s="38" t="inlineStr">
        <is>
          <t>RODRIGO LOPEZ</t>
        </is>
      </c>
    </row>
    <row r="38">
      <c r="A38" s="91" t="inlineStr">
        <is>
          <t>7658007381796997908</t>
        </is>
      </c>
      <c r="B38" s="98" t="inlineStr">
        <is>
          <t>lbelonline.tienda</t>
        </is>
      </c>
      <c r="C38" s="40" t="inlineStr">
        <is>
          <t>MX</t>
        </is>
      </c>
      <c r="D38" s="100" t="n">
        <v>10191.85</v>
      </c>
      <c r="E38" s="40">
        <f>D38/1.16</f>
        <v/>
      </c>
      <c r="F38" s="40">
        <f>D38/J38</f>
        <v/>
      </c>
      <c r="G38" s="40">
        <f>F38/1.16</f>
        <v/>
      </c>
      <c r="H38" s="40" t="n">
        <v>2477.3</v>
      </c>
      <c r="I38" s="42" t="n">
        <v>4</v>
      </c>
      <c r="J38" s="74">
        <f>LET(dec, I38-INT(I38), IF(dec&lt;0.1, INT(I38), IF(dec&lt;=0.7, INT(I38)+0.5, INT(I38)+1)))</f>
        <v/>
      </c>
      <c r="K38" s="43" t="n">
        <v>46205</v>
      </c>
      <c r="L38" s="38" t="inlineStr">
        <is>
          <t>MAYTE</t>
        </is>
      </c>
      <c r="M38" s="38" t="n"/>
      <c r="N38" s="38" t="n"/>
      <c r="O38" s="38" t="inlineStr">
        <is>
          <t>RODRIGO LOPEZ</t>
        </is>
      </c>
    </row>
    <row r="39">
      <c r="A39" s="91" t="inlineStr">
        <is>
          <t>7658749645497256725</t>
        </is>
      </c>
      <c r="B39" s="98" t="inlineStr">
        <is>
          <t>lbelonline.tienda</t>
        </is>
      </c>
      <c r="C39" s="40" t="inlineStr">
        <is>
          <t>MX</t>
        </is>
      </c>
      <c r="D39" s="100" t="n">
        <v>10064.3</v>
      </c>
      <c r="E39" s="40">
        <f>D39/1.16</f>
        <v/>
      </c>
      <c r="F39" s="40">
        <f>D39/J39</f>
        <v/>
      </c>
      <c r="G39" s="40">
        <f>F39/1.16</f>
        <v/>
      </c>
      <c r="H39" s="40" t="n">
        <v>1684.24</v>
      </c>
      <c r="I39" s="42" t="n">
        <v>4</v>
      </c>
      <c r="J39" s="74">
        <f>LET(dec, I39-INT(I39), IF(dec&lt;0.1, INT(I39), IF(dec&lt;=0.7, INT(I39)+0.5, INT(I39)+1)))</f>
        <v/>
      </c>
      <c r="K39" s="43" t="n">
        <v>46207</v>
      </c>
      <c r="L39" s="38" t="inlineStr">
        <is>
          <t>MAYTE</t>
        </is>
      </c>
      <c r="M39" s="38" t="n"/>
      <c r="N39" s="38" t="n"/>
      <c r="O39" s="38" t="inlineStr">
        <is>
          <t>RODRIGO LOPEZ</t>
        </is>
      </c>
    </row>
    <row r="40">
      <c r="A40" s="91" t="inlineStr">
        <is>
          <t>7659491807638899476</t>
        </is>
      </c>
      <c r="B40" s="98" t="inlineStr">
        <is>
          <t>lbelonline.tienda</t>
        </is>
      </c>
      <c r="C40" s="40" t="inlineStr">
        <is>
          <t>MX</t>
        </is>
      </c>
      <c r="D40" s="100" t="n">
        <v>7556.82</v>
      </c>
      <c r="E40" s="40">
        <f>D40/1.16</f>
        <v/>
      </c>
      <c r="F40" s="40">
        <f>D40/J40</f>
        <v/>
      </c>
      <c r="G40" s="40">
        <f>F40/1.16</f>
        <v/>
      </c>
      <c r="H40" s="40" t="n">
        <v>1301.85</v>
      </c>
      <c r="I40" s="42" t="n">
        <v>4</v>
      </c>
      <c r="J40" s="74">
        <f>LET(dec, I40-INT(I40), IF(dec&lt;0.1, INT(I40), IF(dec&lt;=0.7, INT(I40)+0.5, INT(I40)+1)))</f>
        <v/>
      </c>
      <c r="K40" s="43" t="n">
        <v>46209</v>
      </c>
      <c r="L40" s="38" t="inlineStr">
        <is>
          <t>MAYTE</t>
        </is>
      </c>
      <c r="M40" s="38" t="n"/>
      <c r="N40" s="38" t="n"/>
      <c r="O40" s="38" t="inlineStr">
        <is>
          <t>RODRIGO LOPEZ</t>
        </is>
      </c>
    </row>
    <row r="41">
      <c r="A41" s="91" t="inlineStr">
        <is>
          <t>7660280158844160775</t>
        </is>
      </c>
      <c r="B41" s="98" t="inlineStr">
        <is>
          <t>lbelonline.tienda</t>
        </is>
      </c>
      <c r="C41" s="40" t="inlineStr">
        <is>
          <t>MX</t>
        </is>
      </c>
      <c r="D41" s="100" t="n">
        <v>9169.92</v>
      </c>
      <c r="E41" s="40">
        <f>D41/1.16</f>
        <v/>
      </c>
      <c r="F41" s="40">
        <f>D41/J41</f>
        <v/>
      </c>
      <c r="G41" s="40">
        <f>F41/1.16</f>
        <v/>
      </c>
      <c r="H41" s="40" t="n">
        <v>0</v>
      </c>
      <c r="I41" s="42" t="n">
        <v>4</v>
      </c>
      <c r="J41" s="74">
        <f>LET(dec, I41-INT(I41), IF(dec&lt;0.1, INT(I41), IF(dec&lt;=0.7, INT(I41)+0.5, INT(I41)+1)))</f>
        <v/>
      </c>
      <c r="K41" s="43" t="n">
        <v>46211</v>
      </c>
      <c r="L41" s="38" t="inlineStr">
        <is>
          <t>MAYTE</t>
        </is>
      </c>
      <c r="M41" s="38" t="n"/>
      <c r="N41" s="38" t="n"/>
      <c r="O41" s="38" t="inlineStr">
        <is>
          <t>RODRIGO LOPEZ</t>
        </is>
      </c>
    </row>
    <row r="42">
      <c r="A42" s="91" t="inlineStr">
        <is>
          <t>7660975879850609428</t>
        </is>
      </c>
      <c r="B42" s="98" t="inlineStr">
        <is>
          <t>lbelonline.tienda</t>
        </is>
      </c>
      <c r="C42" s="40" t="inlineStr">
        <is>
          <t>MX</t>
        </is>
      </c>
      <c r="D42" s="100" t="n">
        <v>4080.64</v>
      </c>
      <c r="E42" s="40">
        <f>D42/1.16</f>
        <v/>
      </c>
      <c r="F42" s="40">
        <f>D42/J42</f>
        <v/>
      </c>
      <c r="G42" s="40">
        <f>F42/1.16</f>
        <v/>
      </c>
      <c r="H42" s="40" t="n">
        <v>0</v>
      </c>
      <c r="I42" s="42" t="n">
        <v>4</v>
      </c>
      <c r="J42" s="74">
        <f>LET(dec, I42-INT(I42), IF(dec&lt;0.1, INT(I42), IF(dec&lt;=0.7, INT(I42)+0.5, INT(I42)+1)))</f>
        <v/>
      </c>
      <c r="K42" s="43" t="n">
        <v>46213</v>
      </c>
      <c r="L42" s="38" t="inlineStr">
        <is>
          <t>MAYTE</t>
        </is>
      </c>
      <c r="M42" s="38" t="inlineStr">
        <is>
          <t>LOLA</t>
        </is>
      </c>
      <c r="N42" s="38" t="n"/>
      <c r="O42" s="38" t="inlineStr">
        <is>
          <t>RODRIGO LOPEZ</t>
        </is>
      </c>
    </row>
    <row r="43">
      <c r="A43" s="91" t="inlineStr">
        <is>
          <t>7662089033723480839</t>
        </is>
      </c>
      <c r="B43" s="98" t="inlineStr">
        <is>
          <t>lbelonline.tienda</t>
        </is>
      </c>
      <c r="C43" s="40" t="inlineStr">
        <is>
          <t>MX</t>
        </is>
      </c>
      <c r="D43" s="100" t="n">
        <v>5280.75</v>
      </c>
      <c r="E43" s="40">
        <f>D43/1.16</f>
        <v/>
      </c>
      <c r="F43" s="40">
        <f>D43/J43</f>
        <v/>
      </c>
      <c r="G43" s="40">
        <f>F43/1.16</f>
        <v/>
      </c>
      <c r="H43" s="40" t="n">
        <v>0</v>
      </c>
      <c r="I43" s="42" t="n">
        <v>4</v>
      </c>
      <c r="J43" s="74">
        <f>LET(dec, I43-INT(I43), IF(dec&lt;0.1, INT(I43), IF(dec&lt;=0.7, INT(I43)+0.5, INT(I43)+1)))</f>
        <v/>
      </c>
      <c r="K43" s="43" t="n">
        <v>46216</v>
      </c>
      <c r="L43" s="38" t="inlineStr">
        <is>
          <t>LOLA</t>
        </is>
      </c>
      <c r="M43" s="38" t="n"/>
      <c r="N43" s="38" t="n"/>
      <c r="O43" s="38" t="inlineStr">
        <is>
          <t>RODRIGO LOPEZ</t>
        </is>
      </c>
    </row>
    <row r="44">
      <c r="A44" s="91" t="inlineStr">
        <is>
          <t>7662831480421534471</t>
        </is>
      </c>
      <c r="B44" s="98" t="inlineStr">
        <is>
          <t>lbelonline.tienda</t>
        </is>
      </c>
      <c r="C44" s="40" t="inlineStr">
        <is>
          <t>MX</t>
        </is>
      </c>
      <c r="D44" s="100" t="n">
        <v>6834.52</v>
      </c>
      <c r="E44" s="40">
        <f>D44/1.16</f>
        <v/>
      </c>
      <c r="F44" s="40">
        <f>D44/J44</f>
        <v/>
      </c>
      <c r="G44" s="40">
        <f>F44/1.16</f>
        <v/>
      </c>
      <c r="H44" s="40" t="n">
        <v>1139.88</v>
      </c>
      <c r="I44" s="42" t="n">
        <v>6</v>
      </c>
      <c r="J44" s="74">
        <f>LET(dec, I44-INT(I44), IF(dec&lt;0.1, INT(I44), IF(dec&lt;=0.7, INT(I44)+0.5, INT(I44)+1)))</f>
        <v/>
      </c>
      <c r="K44" s="43" t="n">
        <v>46218</v>
      </c>
      <c r="L44" s="38" t="inlineStr">
        <is>
          <t>MAYTE</t>
        </is>
      </c>
      <c r="M44" s="38" t="n"/>
      <c r="N44" s="38" t="n"/>
      <c r="O44" s="38" t="inlineStr">
        <is>
          <t>RODRIGO LOPEZ</t>
        </is>
      </c>
    </row>
    <row r="45">
      <c r="A45" s="91" t="inlineStr">
        <is>
          <t>7663573485066652423</t>
        </is>
      </c>
      <c r="B45" s="98" t="inlineStr">
        <is>
          <t>lbelonline.tienda</t>
        </is>
      </c>
      <c r="C45" s="40" t="inlineStr">
        <is>
          <t>MX</t>
        </is>
      </c>
      <c r="D45" s="100" t="n">
        <v>9259.52</v>
      </c>
      <c r="E45" s="40">
        <f>D45/1.16</f>
        <v/>
      </c>
      <c r="F45" s="40">
        <f>D45/J45</f>
        <v/>
      </c>
      <c r="G45" s="40">
        <f>F45/1.16</f>
        <v/>
      </c>
      <c r="H45" s="40" t="n">
        <v>1407.49</v>
      </c>
      <c r="I45" s="42" t="n">
        <v>4</v>
      </c>
      <c r="J45" s="74">
        <f>LET(dec, I45-INT(I45), IF(dec&lt;0.1, INT(I45), IF(dec&lt;=0.7, INT(I45)+0.5, INT(I45)+1)))</f>
        <v/>
      </c>
      <c r="K45" s="43" t="n">
        <v>46220</v>
      </c>
      <c r="L45" s="38" t="inlineStr">
        <is>
          <t>LOLA</t>
        </is>
      </c>
      <c r="M45" s="38" t="n"/>
      <c r="N45" s="38" t="n"/>
      <c r="O45" s="38" t="inlineStr">
        <is>
          <t>RODRIGO LOPEZ</t>
        </is>
      </c>
    </row>
    <row r="46">
      <c r="A46" s="91" t="inlineStr">
        <is>
          <t>7665058059371989781</t>
        </is>
      </c>
      <c r="B46" s="98" t="inlineStr">
        <is>
          <t>lbelonline.tienda</t>
        </is>
      </c>
      <c r="C46" s="40" t="inlineStr">
        <is>
          <t>MX</t>
        </is>
      </c>
      <c r="D46" s="100" t="n">
        <v>12413.72</v>
      </c>
      <c r="E46" s="40">
        <f>D46/1.16</f>
        <v/>
      </c>
      <c r="F46" s="40">
        <f>D46/J46</f>
        <v/>
      </c>
      <c r="G46" s="40">
        <f>F46/1.16</f>
        <v/>
      </c>
      <c r="H46" s="40" t="n">
        <v>0</v>
      </c>
      <c r="I46" s="42" t="n">
        <v>4</v>
      </c>
      <c r="J46" s="74">
        <f>LET(dec, I46-INT(I46), IF(dec&lt;0.1, INT(I46), IF(dec&lt;=0.7, INT(I46)+0.5, INT(I46)+1)))</f>
        <v/>
      </c>
      <c r="K46" s="43" t="n">
        <v>46224</v>
      </c>
      <c r="L46" s="38" t="inlineStr">
        <is>
          <t>MAYTE</t>
        </is>
      </c>
      <c r="M46" s="38" t="n"/>
      <c r="N46" s="38" t="n"/>
      <c r="O46" s="38" t="inlineStr">
        <is>
          <t>RODRIGO LOPEZ</t>
        </is>
      </c>
    </row>
    <row r="47">
      <c r="A47" s="91" t="inlineStr">
        <is>
          <t>7666176286326967060</t>
        </is>
      </c>
      <c r="B47" s="98" t="inlineStr">
        <is>
          <t>lbelonline.tienda</t>
        </is>
      </c>
      <c r="C47" s="40" t="inlineStr">
        <is>
          <t>MX</t>
        </is>
      </c>
      <c r="D47" s="100" t="n">
        <v>10687.72</v>
      </c>
      <c r="E47" s="40">
        <f>D47/1.16</f>
        <v/>
      </c>
      <c r="F47" s="40">
        <f>D47/J47</f>
        <v/>
      </c>
      <c r="G47" s="40">
        <f>F47/1.16</f>
        <v/>
      </c>
      <c r="H47" s="40" t="n">
        <v>1745.88</v>
      </c>
      <c r="I47" s="42" t="n">
        <v>4</v>
      </c>
      <c r="J47" s="74">
        <f>LET(dec, I47-INT(I47), IF(dec&lt;0.1, INT(I47), IF(dec&lt;=0.7, INT(I47)+0.5, INT(I47)+1)))</f>
        <v/>
      </c>
      <c r="K47" s="43" t="n">
        <v>46227</v>
      </c>
      <c r="L47" s="38" t="inlineStr">
        <is>
          <t>MAYTE</t>
        </is>
      </c>
      <c r="M47" s="38" t="n"/>
      <c r="N47" s="38" t="n"/>
      <c r="O47" s="38" t="inlineStr">
        <is>
          <t>RODRIGO LOPEZ</t>
        </is>
      </c>
    </row>
    <row r="48">
      <c r="A48" s="91" t="inlineStr">
        <is>
          <t>7666541986605861653</t>
        </is>
      </c>
      <c r="B48" s="98" t="inlineStr">
        <is>
          <t>lbelonline.tienda</t>
        </is>
      </c>
      <c r="C48" s="40" t="inlineStr">
        <is>
          <t>MX</t>
        </is>
      </c>
      <c r="D48" s="100" t="n">
        <v>2605.81</v>
      </c>
      <c r="E48" s="40">
        <f>D48/1.16</f>
        <v/>
      </c>
      <c r="F48" s="40">
        <f>D48/J48</f>
        <v/>
      </c>
      <c r="G48" s="40">
        <f>F48/1.16</f>
        <v/>
      </c>
      <c r="H48" s="40" t="n">
        <v>0</v>
      </c>
      <c r="I48" s="42" t="n">
        <v>4</v>
      </c>
      <c r="J48" s="74">
        <f>LET(dec, I48-INT(I48), IF(dec&lt;0.1, INT(I48), IF(dec&lt;=0.7, INT(I48)+0.5, INT(I48)+1)))</f>
        <v/>
      </c>
      <c r="K48" s="43" t="n">
        <v>46228</v>
      </c>
      <c r="L48" s="38" t="inlineStr">
        <is>
          <t>LOLA</t>
        </is>
      </c>
      <c r="M48" s="38" t="n"/>
      <c r="N48" s="38" t="n"/>
      <c r="O48" s="38" t="inlineStr">
        <is>
          <t>RODRIGO LOPEZ</t>
        </is>
      </c>
    </row>
    <row r="49">
      <c r="A49" s="91" t="inlineStr">
        <is>
          <t>7667284333476645639</t>
        </is>
      </c>
      <c r="B49" s="98" t="inlineStr">
        <is>
          <t>lbelonline.tienda</t>
        </is>
      </c>
      <c r="C49" s="40" t="inlineStr">
        <is>
          <t>MX</t>
        </is>
      </c>
      <c r="D49" s="100" t="n">
        <v>4072.6</v>
      </c>
      <c r="E49" s="40">
        <f>D49/1.16</f>
        <v/>
      </c>
      <c r="F49" s="40">
        <f>D49/J49</f>
        <v/>
      </c>
      <c r="G49" s="40">
        <f>F49/1.16</f>
        <v/>
      </c>
      <c r="H49" s="40" t="n">
        <v>0</v>
      </c>
      <c r="I49" s="42" t="n">
        <v>4</v>
      </c>
      <c r="J49" s="74">
        <f>LET(dec, I49-INT(I49), IF(dec&lt;0.1, INT(I49), IF(dec&lt;=0.7, INT(I49)+0.5, INT(I49)+1)))</f>
        <v/>
      </c>
      <c r="K49" s="43" t="n">
        <v>46230</v>
      </c>
      <c r="L49" s="38" t="inlineStr">
        <is>
          <t>LOLA</t>
        </is>
      </c>
      <c r="M49" s="38" t="n"/>
      <c r="N49" s="38" t="n"/>
      <c r="O49" s="38" t="inlineStr">
        <is>
          <t>RODRIGO LOPEZ</t>
        </is>
      </c>
    </row>
    <row r="50">
      <c r="K50" s="84" t="n"/>
    </row>
    <row r="51">
      <c r="A51" s="7" t="inlineStr">
        <is>
          <t>Room ID</t>
        </is>
      </c>
      <c r="B51" s="7" t="inlineStr">
        <is>
          <t>TT Handle</t>
        </is>
      </c>
      <c r="C51" s="7" t="inlineStr">
        <is>
          <t>Country</t>
        </is>
      </c>
      <c r="D51" s="7" t="inlineStr">
        <is>
          <t>GMV</t>
        </is>
      </c>
      <c r="E51" s="7" t="inlineStr">
        <is>
          <t>GMV/sin EVA</t>
        </is>
      </c>
      <c r="F51" s="7" t="inlineStr">
        <is>
          <t>GMV PER HOUR</t>
        </is>
      </c>
      <c r="G51" s="7" t="inlineStr">
        <is>
          <t>GMV PER HOUR/sin EVA</t>
        </is>
      </c>
      <c r="H51" s="7" t="inlineStr">
        <is>
          <t>Ads Cost</t>
        </is>
      </c>
      <c r="I51" s="7" t="inlineStr">
        <is>
          <t>Duration (H)</t>
        </is>
      </c>
      <c r="J51" s="70" t="inlineStr">
        <is>
          <t>Duration （Formula）</t>
        </is>
      </c>
      <c r="K51" s="58" t="inlineStr">
        <is>
          <t>Start date</t>
        </is>
      </c>
      <c r="L51" s="71" t="inlineStr">
        <is>
          <t>HOST 1</t>
        </is>
      </c>
      <c r="M51" s="71" t="inlineStr">
        <is>
          <t>HOST 2</t>
        </is>
      </c>
      <c r="N51" s="71" t="inlineStr">
        <is>
          <t>HOST 3</t>
        </is>
      </c>
      <c r="O51" s="71" t="inlineStr">
        <is>
          <t>Operator</t>
        </is>
      </c>
    </row>
    <row r="52">
      <c r="A52" s="91" t="inlineStr">
        <is>
          <t>7668770983382453010</t>
        </is>
      </c>
      <c r="B52" s="98" t="inlineStr">
        <is>
          <t>lbelonline.tienda</t>
        </is>
      </c>
      <c r="C52" s="40" t="inlineStr">
        <is>
          <t>MX</t>
        </is>
      </c>
      <c r="D52" s="100" t="n">
        <v>11735.72</v>
      </c>
      <c r="E52" s="40">
        <f>D52/1.16</f>
        <v/>
      </c>
      <c r="F52" s="40" t="n">
        <v>2002.49</v>
      </c>
      <c r="G52" s="40">
        <f>F52/1.16</f>
        <v/>
      </c>
      <c r="H52" s="40" t="n">
        <v>2285.85</v>
      </c>
      <c r="I52" s="42" t="n">
        <v>5</v>
      </c>
      <c r="J52" s="74" t="n">
        <v>5</v>
      </c>
      <c r="K52" s="43" t="n">
        <v>46234</v>
      </c>
      <c r="L52" s="38" t="inlineStr">
        <is>
          <t>MAYTE</t>
        </is>
      </c>
      <c r="M52" s="38" t="inlineStr">
        <is>
          <t>LOLA</t>
        </is>
      </c>
      <c r="N52" s="89" t="n"/>
      <c r="O52" s="89" t="inlineStr">
        <is>
          <t>Rodrigo Toledo</t>
        </is>
      </c>
    </row>
    <row r="53">
      <c r="A53" s="91" t="inlineStr">
        <is>
          <t>7670253210949176082</t>
        </is>
      </c>
      <c r="B53" s="98" t="inlineStr">
        <is>
          <t>lbelonline.tienda</t>
        </is>
      </c>
      <c r="C53" s="40" t="inlineStr">
        <is>
          <t>MX</t>
        </is>
      </c>
      <c r="D53" s="100" t="n">
        <v>12969.15</v>
      </c>
      <c r="E53" s="40">
        <f>D53/1.16</f>
        <v/>
      </c>
      <c r="F53" s="40" t="n">
        <v>3228.83</v>
      </c>
      <c r="G53" s="40">
        <f>F53/1.16</f>
        <v/>
      </c>
      <c r="H53" s="40" t="n">
        <v>2999.67</v>
      </c>
      <c r="I53" s="42" t="n">
        <v>4</v>
      </c>
      <c r="J53" s="74" t="n">
        <v>4</v>
      </c>
      <c r="K53" s="43" t="n">
        <v>46238</v>
      </c>
      <c r="L53" s="38" t="inlineStr">
        <is>
          <t>MAYTE</t>
        </is>
      </c>
      <c r="M53" s="38" t="n"/>
      <c r="N53" s="38" t="n"/>
      <c r="O53" s="38" t="inlineStr">
        <is>
          <t>YAEL</t>
        </is>
      </c>
    </row>
    <row r="54">
      <c r="A54" s="91" t="inlineStr">
        <is>
          <t>7670995372067638023</t>
        </is>
      </c>
      <c r="B54" s="98" t="inlineStr">
        <is>
          <t>lbelonline.tienda</t>
        </is>
      </c>
      <c r="C54" s="40" t="inlineStr">
        <is>
          <t>MX</t>
        </is>
      </c>
      <c r="D54" s="100" t="n">
        <v>4978.94</v>
      </c>
      <c r="E54" s="40">
        <f>D54/1.16</f>
        <v/>
      </c>
      <c r="F54" s="40" t="n">
        <v>1622.98</v>
      </c>
      <c r="G54" s="40">
        <f>F54/1.16</f>
        <v/>
      </c>
      <c r="H54" s="40" t="n">
        <v>1059.04</v>
      </c>
      <c r="I54" s="42" t="n">
        <v>3</v>
      </c>
      <c r="J54" s="74" t="n">
        <v>3</v>
      </c>
      <c r="K54" s="43" t="n">
        <v>46240</v>
      </c>
      <c r="L54" s="38" t="inlineStr">
        <is>
          <t>MAYTE</t>
        </is>
      </c>
      <c r="M54" s="91" t="inlineStr">
        <is>
          <t>MILI CONCHA</t>
        </is>
      </c>
      <c r="N54" s="38" t="n"/>
      <c r="O54" s="38" t="inlineStr">
        <is>
          <t>YAEL</t>
        </is>
      </c>
    </row>
    <row r="55">
      <c r="A55" s="91" t="inlineStr">
        <is>
          <t>7672479809117276935</t>
        </is>
      </c>
      <c r="B55" s="98" t="inlineStr">
        <is>
          <t>lbelonline.tienda</t>
        </is>
      </c>
      <c r="C55" s="40" t="inlineStr">
        <is>
          <t>MX</t>
        </is>
      </c>
      <c r="D55" s="100" t="n">
        <v>14469.53</v>
      </c>
      <c r="E55" s="40">
        <f>D55/1.16</f>
        <v/>
      </c>
      <c r="F55" s="40" t="n">
        <v>3618.14</v>
      </c>
      <c r="G55" s="40">
        <f>F55/1.16</f>
        <v/>
      </c>
      <c r="H55" s="40" t="n">
        <v>2546.75</v>
      </c>
      <c r="I55" s="42" t="n">
        <v>4</v>
      </c>
      <c r="J55" s="74" t="n">
        <v>4</v>
      </c>
      <c r="K55" s="43" t="n">
        <v>46244</v>
      </c>
      <c r="L55" s="38" t="inlineStr">
        <is>
          <t>MAYTE</t>
        </is>
      </c>
      <c r="M55" s="38" t="n"/>
      <c r="N55" s="38" t="n"/>
      <c r="O55" s="38" t="inlineStr">
        <is>
          <t>RODRIGO LOPEZ</t>
        </is>
      </c>
    </row>
    <row r="56">
      <c r="A56" s="91" t="inlineStr">
        <is>
          <t>7673221910369012501</t>
        </is>
      </c>
      <c r="B56" s="98" t="inlineStr">
        <is>
          <t>lbelonline.tienda</t>
        </is>
      </c>
      <c r="C56" s="40" t="inlineStr">
        <is>
          <t>MX</t>
        </is>
      </c>
      <c r="D56" s="100" t="n">
        <v>13692.08</v>
      </c>
      <c r="E56" s="40">
        <f>D56/1.16</f>
        <v/>
      </c>
      <c r="F56" s="40" t="n">
        <v>3420.88</v>
      </c>
      <c r="G56" s="40">
        <f>F56/1.16</f>
        <v/>
      </c>
      <c r="H56" s="40" t="n">
        <v>2459.21</v>
      </c>
      <c r="I56" s="42" t="n">
        <v>4</v>
      </c>
      <c r="J56" s="74" t="n">
        <v>4</v>
      </c>
      <c r="K56" s="43" t="n">
        <v>46246</v>
      </c>
      <c r="L56" s="38" t="inlineStr">
        <is>
          <t>LOLA</t>
        </is>
      </c>
      <c r="M56" s="38" t="n"/>
      <c r="N56" s="38" t="n"/>
      <c r="O56" s="38" t="inlineStr">
        <is>
          <t>GUILLERMO</t>
        </is>
      </c>
    </row>
    <row r="57">
      <c r="A57" s="91" t="inlineStr">
        <is>
          <t>7673964618816949000</t>
        </is>
      </c>
      <c r="B57" s="98" t="inlineStr">
        <is>
          <t>lbelonline.tienda</t>
        </is>
      </c>
      <c r="C57" s="40" t="inlineStr">
        <is>
          <t>MX</t>
        </is>
      </c>
      <c r="D57" s="100" t="n">
        <v>14397.29</v>
      </c>
      <c r="E57" s="40">
        <f>D57/1.16</f>
        <v/>
      </c>
      <c r="F57" s="40" t="n">
        <v>3594.83</v>
      </c>
      <c r="G57" s="40">
        <f>F57/1.16</f>
        <v/>
      </c>
      <c r="H57" s="40" t="n">
        <v>2546.58</v>
      </c>
      <c r="I57" s="42" t="n">
        <v>4</v>
      </c>
      <c r="J57" s="74" t="n">
        <v>4</v>
      </c>
      <c r="K57" s="43" t="n">
        <v>46248</v>
      </c>
      <c r="L57" s="38" t="inlineStr">
        <is>
          <t>MAYTE</t>
        </is>
      </c>
      <c r="M57" s="38" t="n"/>
      <c r="N57" s="89" t="n"/>
      <c r="O57" s="89" t="inlineStr">
        <is>
          <t>Rodrigo Toledo</t>
        </is>
      </c>
    </row>
    <row r="58">
      <c r="A58" s="91" t="inlineStr">
        <is>
          <t>7674721575319505671</t>
        </is>
      </c>
      <c r="B58" s="98" t="inlineStr">
        <is>
          <t>lbelonline.tienda</t>
        </is>
      </c>
      <c r="C58" s="40" t="inlineStr">
        <is>
          <t>MX</t>
        </is>
      </c>
      <c r="D58" s="100" t="n">
        <v>13053.35</v>
      </c>
      <c r="E58" s="40">
        <f>D58/1.16</f>
        <v/>
      </c>
      <c r="F58" s="40" t="n">
        <v>3262.2</v>
      </c>
      <c r="G58" s="40">
        <f>F58/1.16</f>
        <v/>
      </c>
      <c r="H58" s="40" t="n">
        <v>2543.86</v>
      </c>
      <c r="I58" s="42" t="n">
        <v>4</v>
      </c>
      <c r="J58" s="74" t="n">
        <v>4</v>
      </c>
      <c r="K58" s="43" t="n">
        <v>46250</v>
      </c>
      <c r="L58" s="38" t="inlineStr">
        <is>
          <t>LOLA</t>
        </is>
      </c>
      <c r="M58" s="38" t="n"/>
      <c r="N58" s="38" t="n"/>
      <c r="O58" s="38" t="inlineStr">
        <is>
          <t>GUILLERMO</t>
        </is>
      </c>
    </row>
    <row r="59">
      <c r="A59" s="91" t="inlineStr">
        <is>
          <t>7675077586440178440</t>
        </is>
      </c>
      <c r="B59" s="98" t="inlineStr">
        <is>
          <t>lbelonline.tienda</t>
        </is>
      </c>
      <c r="C59" s="40" t="inlineStr">
        <is>
          <t>MX</t>
        </is>
      </c>
      <c r="D59" s="100" t="n">
        <v>13288.89</v>
      </c>
      <c r="E59" s="40">
        <f>D59/1.16</f>
        <v/>
      </c>
      <c r="F59" s="40" t="n">
        <v>2219.85</v>
      </c>
      <c r="G59" s="40">
        <f>F59/1.16</f>
        <v/>
      </c>
      <c r="H59" s="40" t="n">
        <v>2543.18</v>
      </c>
      <c r="I59" s="42" t="n">
        <v>6</v>
      </c>
      <c r="J59" s="74" t="n">
        <v>6</v>
      </c>
      <c r="K59" s="43" t="n">
        <v>46251</v>
      </c>
      <c r="L59" s="38" t="inlineStr">
        <is>
          <t>MAYTE</t>
        </is>
      </c>
      <c r="M59" s="38" t="inlineStr">
        <is>
          <t>LOLA</t>
        </is>
      </c>
      <c r="N59" s="89" t="n"/>
      <c r="O59" s="89" t="inlineStr">
        <is>
          <t>Rodrigo Toledo</t>
        </is>
      </c>
    </row>
    <row r="60">
      <c r="A60" s="91" t="inlineStr">
        <is>
          <t>7675448105144208149</t>
        </is>
      </c>
      <c r="B60" s="98" t="inlineStr">
        <is>
          <t>lbelonline.tienda</t>
        </is>
      </c>
      <c r="C60" s="40" t="inlineStr">
        <is>
          <t>MX</t>
        </is>
      </c>
      <c r="D60" s="100" t="n">
        <v>6090.22</v>
      </c>
      <c r="E60" s="40">
        <f>D60/1.16</f>
        <v/>
      </c>
      <c r="F60" s="40" t="n">
        <v>1513.93</v>
      </c>
      <c r="G60" s="40">
        <f>F60/1.16</f>
        <v/>
      </c>
      <c r="H60" s="40" t="n">
        <v>1457</v>
      </c>
      <c r="I60" s="42" t="n">
        <v>4</v>
      </c>
      <c r="J60" s="74" t="n">
        <v>4</v>
      </c>
      <c r="K60" s="43" t="n">
        <v>46252</v>
      </c>
      <c r="L60" s="38" t="inlineStr">
        <is>
          <t>MAYTE</t>
        </is>
      </c>
      <c r="M60" s="38" t="n"/>
      <c r="N60" s="89" t="n"/>
      <c r="O60" s="89" t="inlineStr">
        <is>
          <t>Rodrigo Toledo</t>
        </is>
      </c>
    </row>
    <row r="61">
      <c r="A61" s="91" t="inlineStr">
        <is>
          <t>7676272004599286548</t>
        </is>
      </c>
      <c r="B61" s="98" t="inlineStr">
        <is>
          <t>lbelonline.tienda</t>
        </is>
      </c>
      <c r="C61" s="40" t="inlineStr">
        <is>
          <t>MX</t>
        </is>
      </c>
      <c r="D61" s="100" t="n">
        <v>6992.39</v>
      </c>
      <c r="E61" s="40">
        <f>D61/1.16</f>
        <v/>
      </c>
      <c r="F61" s="40" t="n">
        <v>1749.68</v>
      </c>
      <c r="G61" s="40">
        <f>F61/1.16</f>
        <v/>
      </c>
      <c r="H61" s="40" t="n">
        <v>1387.96</v>
      </c>
      <c r="I61" s="42" t="n">
        <v>4</v>
      </c>
      <c r="J61" s="74" t="n">
        <v>4</v>
      </c>
      <c r="K61" s="43" t="n">
        <v>46254</v>
      </c>
      <c r="L61" s="38" t="inlineStr">
        <is>
          <t>AKEY</t>
        </is>
      </c>
      <c r="M61" s="38" t="inlineStr">
        <is>
          <t>LOLA</t>
        </is>
      </c>
      <c r="N61" s="38" t="n"/>
      <c r="O61" s="38" t="inlineStr">
        <is>
          <t>RODRIGO LOPEZ</t>
        </is>
      </c>
    </row>
    <row r="62">
      <c r="A62" s="91" t="inlineStr">
        <is>
          <t>7678123393744407317</t>
        </is>
      </c>
      <c r="B62" s="98" t="inlineStr">
        <is>
          <t>lbelonline.tienda</t>
        </is>
      </c>
      <c r="C62" s="40" t="inlineStr">
        <is>
          <t>MX</t>
        </is>
      </c>
      <c r="D62" s="100" t="n">
        <v>14148.4</v>
      </c>
      <c r="E62" s="40">
        <f>D62/1.16</f>
        <v/>
      </c>
      <c r="F62" s="40" t="n">
        <v>3538.08</v>
      </c>
      <c r="G62" s="40">
        <f>F62/1.16</f>
        <v/>
      </c>
      <c r="H62" s="40" t="n">
        <v>2565.91</v>
      </c>
      <c r="I62" s="42" t="n">
        <v>4</v>
      </c>
      <c r="J62" s="74" t="n">
        <v>4</v>
      </c>
      <c r="K62" s="43" t="n">
        <v>46259</v>
      </c>
      <c r="L62" s="38" t="inlineStr">
        <is>
          <t>LOLA</t>
        </is>
      </c>
      <c r="M62" s="38" t="n"/>
      <c r="N62" s="38" t="n"/>
      <c r="O62" s="38" t="inlineStr">
        <is>
          <t>RODRIGO LOPEZ</t>
        </is>
      </c>
    </row>
    <row r="63">
      <c r="A63" s="91" t="inlineStr">
        <is>
          <t>7678789581470206741</t>
        </is>
      </c>
      <c r="B63" s="98" t="inlineStr">
        <is>
          <t>lbelonline.tienda</t>
        </is>
      </c>
      <c r="C63" s="40" t="inlineStr">
        <is>
          <t>MX</t>
        </is>
      </c>
      <c r="D63" s="100" t="n">
        <v>7854.14</v>
      </c>
      <c r="E63" s="40">
        <f>D63/1.16</f>
        <v/>
      </c>
      <c r="F63" s="40" t="n">
        <v>1925.82</v>
      </c>
      <c r="G63" s="40">
        <f>F63/1.16</f>
        <v/>
      </c>
      <c r="H63" s="40" t="n">
        <v>1895.68</v>
      </c>
      <c r="I63" s="42" t="n">
        <v>4</v>
      </c>
      <c r="J63" s="74" t="n">
        <v>4</v>
      </c>
      <c r="K63" s="43" t="n">
        <v>46261</v>
      </c>
      <c r="L63" s="38" t="inlineStr">
        <is>
          <t>MAYTE</t>
        </is>
      </c>
      <c r="M63" s="38" t="n"/>
      <c r="N63" s="38" t="n"/>
      <c r="O63" s="38" t="inlineStr">
        <is>
          <t>RODRIGO LOPEZ</t>
        </is>
      </c>
    </row>
    <row r="64">
      <c r="A64" s="91" t="inlineStr">
        <is>
          <t>7678865668922690324</t>
        </is>
      </c>
      <c r="B64" s="98" t="inlineStr">
        <is>
          <t>lbelonline.tienda</t>
        </is>
      </c>
      <c r="C64" s="40" t="inlineStr">
        <is>
          <t>MX</t>
        </is>
      </c>
      <c r="D64" s="100" t="n">
        <v>5708.63</v>
      </c>
      <c r="E64" s="40">
        <f>D64/1.16</f>
        <v/>
      </c>
      <c r="F64" s="40" t="n">
        <v>1903.23</v>
      </c>
      <c r="G64" s="40">
        <f>F64/1.16</f>
        <v/>
      </c>
      <c r="H64" s="40" t="n">
        <v>652.59</v>
      </c>
      <c r="I64" s="42" t="n">
        <v>3</v>
      </c>
      <c r="J64" s="74" t="n">
        <v>3</v>
      </c>
      <c r="K64" s="43" t="n">
        <v>46261</v>
      </c>
      <c r="L64" s="38" t="inlineStr">
        <is>
          <t>LOLA</t>
        </is>
      </c>
      <c r="M64" s="38" t="n"/>
      <c r="N64" s="38" t="n"/>
      <c r="O64" s="38" t="inlineStr">
        <is>
          <t>RODRIGO LOPEZ</t>
        </is>
      </c>
    </row>
    <row r="65">
      <c r="K65" s="84" t="n"/>
    </row>
    <row r="66">
      <c r="K66" s="84" t="n"/>
    </row>
    <row r="67">
      <c r="A67" s="7" t="inlineStr">
        <is>
          <t>Room ID</t>
        </is>
      </c>
      <c r="B67" s="7" t="inlineStr">
        <is>
          <t>TT Handle</t>
        </is>
      </c>
      <c r="C67" s="7" t="inlineStr">
        <is>
          <t>Country</t>
        </is>
      </c>
      <c r="D67" s="7" t="inlineStr">
        <is>
          <t>GMV</t>
        </is>
      </c>
      <c r="E67" s="7" t="inlineStr">
        <is>
          <t>GMV/sin EVA</t>
        </is>
      </c>
      <c r="F67" s="7" t="inlineStr">
        <is>
          <t>GMV PER HOUR</t>
        </is>
      </c>
      <c r="G67" s="7" t="inlineStr">
        <is>
          <t>GMV PER HOUR/sin EVA</t>
        </is>
      </c>
      <c r="H67" s="7" t="inlineStr">
        <is>
          <t>Ads Cost</t>
        </is>
      </c>
      <c r="I67" s="7" t="inlineStr">
        <is>
          <t>Duration (H)</t>
        </is>
      </c>
      <c r="J67" s="70" t="inlineStr">
        <is>
          <t>Duration （Formula）</t>
        </is>
      </c>
      <c r="K67" s="58" t="inlineStr">
        <is>
          <t>Start date</t>
        </is>
      </c>
      <c r="L67" s="71" t="inlineStr">
        <is>
          <t>HOST 1</t>
        </is>
      </c>
      <c r="M67" s="71" t="inlineStr">
        <is>
          <t>HOST 2</t>
        </is>
      </c>
      <c r="N67" s="71" t="inlineStr">
        <is>
          <t>HOST 3</t>
        </is>
      </c>
      <c r="O67" s="71" t="inlineStr">
        <is>
          <t>Operator</t>
        </is>
      </c>
    </row>
    <row r="68">
      <c r="A68" s="91" t="inlineStr">
        <is>
          <t>7679902646601992981</t>
        </is>
      </c>
      <c r="B68" s="98" t="inlineStr">
        <is>
          <t>lbelonline.tienda</t>
        </is>
      </c>
      <c r="C68" s="40" t="inlineStr">
        <is>
          <t>MX</t>
        </is>
      </c>
      <c r="D68" s="100" t="n">
        <v>15715</v>
      </c>
      <c r="E68" s="40">
        <f>D68/1.16</f>
        <v/>
      </c>
      <c r="F68" s="40">
        <f>D68/J68</f>
        <v/>
      </c>
      <c r="G68" s="40">
        <f>F68/1.16</f>
        <v/>
      </c>
      <c r="H68" s="40" t="n"/>
      <c r="I68" s="42" t="n">
        <v>5</v>
      </c>
      <c r="J68" s="74">
        <f>LET(dec, I68-INT(I68), IF(dec&lt;0.1, INT(I68), IF(dec&lt;=0.7, INT(I68)+0.5, INT(I68)+1)))</f>
        <v/>
      </c>
      <c r="K68" s="43" t="n">
        <v>46264</v>
      </c>
      <c r="L68" s="38" t="inlineStr">
        <is>
          <t>LOLA</t>
        </is>
      </c>
      <c r="M68" s="38" t="n"/>
      <c r="N68" s="89" t="n"/>
      <c r="O68" s="89" t="inlineStr">
        <is>
          <t>Rodrigo Toledo</t>
        </is>
      </c>
    </row>
    <row r="69">
      <c r="A69" s="91" t="inlineStr">
        <is>
          <t>7680257998306298631</t>
        </is>
      </c>
      <c r="B69" s="98" t="inlineStr">
        <is>
          <t>lbelonline.tienda</t>
        </is>
      </c>
      <c r="C69" s="40" t="inlineStr">
        <is>
          <t>MX</t>
        </is>
      </c>
      <c r="D69" s="100" t="n">
        <v>18443.34</v>
      </c>
      <c r="E69" s="40">
        <f>D69/1.16</f>
        <v/>
      </c>
      <c r="F69" s="40">
        <f>D69/J69</f>
        <v/>
      </c>
      <c r="G69" s="40">
        <f>F69/1.16</f>
        <v/>
      </c>
      <c r="H69" s="40" t="n"/>
      <c r="I69" s="42" t="n">
        <v>5.01</v>
      </c>
      <c r="J69" s="74">
        <f>LET(dec, I69-INT(I69), IF(dec&lt;0.1, INT(I69), IF(dec&lt;=0.7, INT(I69)+0.5, INT(I69)+1)))</f>
        <v/>
      </c>
      <c r="K69" s="43" t="n">
        <v>46265</v>
      </c>
      <c r="L69" s="38" t="inlineStr">
        <is>
          <t>MAYTE</t>
        </is>
      </c>
      <c r="M69" s="38" t="n"/>
      <c r="N69" s="89" t="n"/>
      <c r="O69" s="38" t="inlineStr">
        <is>
          <t>RODRIGO LOPEZ</t>
        </is>
      </c>
    </row>
    <row r="70">
      <c r="A70" s="91" t="inlineStr">
        <is>
          <t>7680349625103387399</t>
        </is>
      </c>
      <c r="B70" s="98" t="inlineStr">
        <is>
          <t>lbelonline.tienda</t>
        </is>
      </c>
      <c r="C70" s="40" t="inlineStr">
        <is>
          <t>MX</t>
        </is>
      </c>
      <c r="D70" s="100" t="n">
        <v>8295.6</v>
      </c>
      <c r="E70" s="40">
        <f>D70/1.16</f>
        <v/>
      </c>
      <c r="F70" s="40">
        <f>D70/J70</f>
        <v/>
      </c>
      <c r="G70" s="40">
        <f>F70/1.16</f>
        <v/>
      </c>
      <c r="H70" s="40" t="n"/>
      <c r="I70" s="42" t="n">
        <v>4.01</v>
      </c>
      <c r="J70" s="74">
        <f>LET(dec, I70-INT(I70), IF(dec&lt;0.1, INT(I70), IF(dec&lt;=0.7, INT(I70)+0.5, INT(I70)+1)))</f>
        <v/>
      </c>
      <c r="K70" s="43" t="n">
        <v>46265</v>
      </c>
      <c r="L70" s="38" t="inlineStr">
        <is>
          <t>LOLA</t>
        </is>
      </c>
      <c r="M70" s="38" t="n"/>
      <c r="N70" s="89" t="n"/>
      <c r="O70" s="38" t="inlineStr">
        <is>
          <t>RODRIGO LOPEZ</t>
        </is>
      </c>
    </row>
    <row r="71">
      <c r="A71" s="91" t="inlineStr">
        <is>
          <t>7680705523377376018</t>
        </is>
      </c>
      <c r="B71" s="98" t="inlineStr">
        <is>
          <t>lbelonline.tienda</t>
        </is>
      </c>
      <c r="C71" s="40" t="inlineStr">
        <is>
          <t>MX</t>
        </is>
      </c>
      <c r="D71" s="100" t="n">
        <v>9942.950000000001</v>
      </c>
      <c r="E71" s="40">
        <f>D71/1.16</f>
        <v/>
      </c>
      <c r="F71" s="40">
        <f>D71/J71</f>
        <v/>
      </c>
      <c r="G71" s="40">
        <f>F71/1.16</f>
        <v/>
      </c>
      <c r="H71" s="40" t="n"/>
      <c r="I71" s="42" t="n">
        <v>4</v>
      </c>
      <c r="J71" s="74">
        <f>LET(dec, I71-INT(I71), IF(dec&lt;0.1, INT(I71), IF(dec&lt;=0.7, INT(I71)+0.5, INT(I71)+1)))</f>
        <v/>
      </c>
      <c r="K71" s="43" t="n">
        <v>46266</v>
      </c>
      <c r="L71" s="38" t="inlineStr">
        <is>
          <t>MAYTE</t>
        </is>
      </c>
      <c r="M71" s="38" t="n"/>
      <c r="N71" s="89" t="n"/>
      <c r="O71" s="38" t="inlineStr">
        <is>
          <t>RODRIGO LOPEZ</t>
        </is>
      </c>
    </row>
    <row r="72">
      <c r="A72" s="91" t="inlineStr">
        <is>
          <t>7681084986727893781</t>
        </is>
      </c>
      <c r="B72" s="98" t="inlineStr">
        <is>
          <t>lbelonline.tienda</t>
        </is>
      </c>
      <c r="C72" s="40" t="inlineStr">
        <is>
          <t>MX</t>
        </is>
      </c>
      <c r="D72" s="100" t="n">
        <v>9628.559999999999</v>
      </c>
      <c r="E72" s="40">
        <f>D72/1.16</f>
        <v/>
      </c>
      <c r="F72" s="40">
        <f>D72/J72</f>
        <v/>
      </c>
      <c r="G72" s="40">
        <f>F72/1.16</f>
        <v/>
      </c>
      <c r="H72" s="40" t="n"/>
      <c r="I72" s="42" t="n">
        <v>4.03</v>
      </c>
      <c r="J72" s="74">
        <f>LET(dec, I72-INT(I72), IF(dec&lt;0.1, INT(I72), IF(dec&lt;=0.7, INT(I72)+0.5, INT(I72)+1)))</f>
        <v/>
      </c>
      <c r="K72" s="43" t="n">
        <v>46267</v>
      </c>
      <c r="L72" s="38" t="inlineStr">
        <is>
          <t>LOLA</t>
        </is>
      </c>
      <c r="M72" s="38" t="n"/>
      <c r="N72" s="89" t="n"/>
      <c r="O72" s="89" t="inlineStr">
        <is>
          <t>Rodrigo Toledo</t>
        </is>
      </c>
    </row>
    <row r="73">
      <c r="A73" s="91" t="inlineStr">
        <is>
          <t>7681822273481050901</t>
        </is>
      </c>
      <c r="B73" s="98" t="inlineStr">
        <is>
          <t>lbelonline.tienda</t>
        </is>
      </c>
      <c r="C73" s="40" t="inlineStr">
        <is>
          <t>MX</t>
        </is>
      </c>
      <c r="D73" s="100" t="n">
        <v>8150.13</v>
      </c>
      <c r="E73" s="40">
        <f>D73/1.16</f>
        <v/>
      </c>
      <c r="F73" s="40">
        <f>D73/J73</f>
        <v/>
      </c>
      <c r="G73" s="40">
        <f>F73/1.16</f>
        <v/>
      </c>
      <c r="H73" s="40" t="n"/>
      <c r="I73" s="42" t="n">
        <v>4.01</v>
      </c>
      <c r="J73" s="74">
        <f>LET(dec, I73-INT(I73), IF(dec&lt;0.1, INT(I73), IF(dec&lt;=0.7, INT(I73)+0.5, INT(I73)+1)))</f>
        <v/>
      </c>
      <c r="K73" s="43" t="n">
        <v>46269</v>
      </c>
      <c r="L73" s="38" t="inlineStr">
        <is>
          <t>MAYTE</t>
        </is>
      </c>
      <c r="M73" s="38" t="n"/>
      <c r="N73" s="89" t="n"/>
      <c r="O73" s="89" t="inlineStr">
        <is>
          <t>Rodrigo Toledo</t>
        </is>
      </c>
    </row>
    <row r="74">
      <c r="A74" s="91" t="inlineStr">
        <is>
          <t>7682931883655301908</t>
        </is>
      </c>
      <c r="B74" s="98" t="inlineStr">
        <is>
          <t>lbelonline.tienda</t>
        </is>
      </c>
      <c r="C74" s="40" t="inlineStr">
        <is>
          <t>MX</t>
        </is>
      </c>
      <c r="D74" s="100" t="n">
        <v>16860.57</v>
      </c>
      <c r="E74" s="40">
        <f>D74/1.16</f>
        <v/>
      </c>
      <c r="F74" s="40">
        <f>D74/J74</f>
        <v/>
      </c>
      <c r="G74" s="40">
        <f>F74/1.16</f>
        <v/>
      </c>
      <c r="H74" s="40" t="n"/>
      <c r="I74" s="42" t="n">
        <v>4.01</v>
      </c>
      <c r="J74" s="74">
        <f>LET(dec, I74-INT(I74), IF(dec&lt;0.1, INT(I74), IF(dec&lt;=0.7, INT(I74)+0.5, INT(I74)+1)))</f>
        <v/>
      </c>
      <c r="K74" s="43" t="n">
        <v>46272</v>
      </c>
      <c r="L74" s="38" t="inlineStr">
        <is>
          <t>MAYTE</t>
        </is>
      </c>
      <c r="M74" s="38" t="n"/>
      <c r="N74" s="89" t="n"/>
      <c r="O74" s="89" t="inlineStr">
        <is>
          <t>Rodrigo Toledo</t>
        </is>
      </c>
    </row>
    <row r="75">
      <c r="A75" s="91" t="inlineStr">
        <is>
          <t>7683612616822524680</t>
        </is>
      </c>
      <c r="B75" s="98" t="inlineStr">
        <is>
          <t>lbelonline.tienda</t>
        </is>
      </c>
      <c r="C75" s="40" t="inlineStr">
        <is>
          <t>MX</t>
        </is>
      </c>
      <c r="D75" s="100" t="n">
        <v>5937.95</v>
      </c>
      <c r="E75" s="40">
        <f>D75/1.16</f>
        <v/>
      </c>
      <c r="F75" s="40">
        <f>D75/J75</f>
        <v/>
      </c>
      <c r="G75" s="40">
        <f>F75/1.16</f>
        <v/>
      </c>
      <c r="H75" s="40" t="n"/>
      <c r="I75" s="42" t="n">
        <v>4</v>
      </c>
      <c r="J75" s="74">
        <f>LET(dec, I75-INT(I75), IF(dec&lt;0.1, INT(I75), IF(dec&lt;=0.7, INT(I75)+0.5, INT(I75)+1)))</f>
        <v/>
      </c>
      <c r="K75" s="43" t="n">
        <v>46274</v>
      </c>
      <c r="L75" s="38" t="inlineStr">
        <is>
          <t>LOLA</t>
        </is>
      </c>
      <c r="M75" s="38" t="n"/>
      <c r="N75" s="89" t="n"/>
      <c r="O75" s="89" t="inlineStr">
        <is>
          <t>Rodrigo Toledo</t>
        </is>
      </c>
    </row>
    <row r="76">
      <c r="A76" s="91" t="inlineStr">
        <is>
          <t>7684355821702826759</t>
        </is>
      </c>
      <c r="B76" s="98" t="inlineStr">
        <is>
          <t>lbelonline.tienda</t>
        </is>
      </c>
      <c r="C76" s="40" t="inlineStr">
        <is>
          <t>MX</t>
        </is>
      </c>
      <c r="D76" s="100" t="n">
        <v>9243.15</v>
      </c>
      <c r="E76" s="40">
        <f>D76/1.16</f>
        <v/>
      </c>
      <c r="F76" s="40">
        <f>D76/J76</f>
        <v/>
      </c>
      <c r="G76" s="40">
        <f>F76/1.16</f>
        <v/>
      </c>
      <c r="H76" s="40" t="n"/>
      <c r="I76" s="42" t="n">
        <v>4.03</v>
      </c>
      <c r="J76" s="74">
        <f>LET(dec, I76-INT(I76), IF(dec&lt;0.1, INT(I76), IF(dec&lt;=0.7, INT(I76)+0.5, INT(I76)+1)))</f>
        <v/>
      </c>
      <c r="K76" s="43" t="n">
        <v>46276</v>
      </c>
      <c r="L76" s="38" t="inlineStr">
        <is>
          <t>MAYTE</t>
        </is>
      </c>
      <c r="M76" s="38" t="n"/>
      <c r="N76" s="89" t="n"/>
      <c r="O76" s="89" t="inlineStr">
        <is>
          <t>Rodrigo Toledo</t>
        </is>
      </c>
    </row>
    <row r="77">
      <c r="A77" s="91" t="inlineStr">
        <is>
          <t>7685807906507213576</t>
        </is>
      </c>
      <c r="B77" s="98" t="inlineStr">
        <is>
          <t>lbelonline.tienda</t>
        </is>
      </c>
      <c r="C77" s="40" t="inlineStr">
        <is>
          <t>MX</t>
        </is>
      </c>
      <c r="D77" s="100" t="n">
        <v>1449.23</v>
      </c>
      <c r="E77" s="40">
        <f>D77/1.16</f>
        <v/>
      </c>
      <c r="F77" s="40">
        <f>D77/J77</f>
        <v/>
      </c>
      <c r="G77" s="40">
        <f>F77/1.16</f>
        <v/>
      </c>
      <c r="H77" s="40" t="n"/>
      <c r="I77" s="42" t="n">
        <v>3</v>
      </c>
      <c r="J77" s="74">
        <f>LET(dec, I77-INT(I77), IF(dec&lt;0.1, INT(I77), IF(dec&lt;=0.7, INT(I77)+0.5, INT(I77)+1)))</f>
        <v/>
      </c>
      <c r="K77" s="43" t="n">
        <v>46280</v>
      </c>
      <c r="L77" s="38" t="inlineStr">
        <is>
          <t>LOLA</t>
        </is>
      </c>
      <c r="M77" s="38" t="n"/>
      <c r="N77" s="89" t="n"/>
      <c r="O77" s="89" t="inlineStr">
        <is>
          <t>Rodrigo Toledo</t>
        </is>
      </c>
    </row>
    <row r="78">
      <c r="A78" s="91" t="inlineStr">
        <is>
          <t>7685870470339611412</t>
        </is>
      </c>
      <c r="B78" s="98" t="inlineStr">
        <is>
          <t>lbelonline.tienda</t>
        </is>
      </c>
      <c r="C78" s="40" t="inlineStr">
        <is>
          <t>MX</t>
        </is>
      </c>
      <c r="D78" s="100" t="n">
        <v>3862.38</v>
      </c>
      <c r="E78" s="40">
        <f>D78/1.16</f>
        <v/>
      </c>
      <c r="F78" s="40">
        <f>D78/J78</f>
        <v/>
      </c>
      <c r="G78" s="40">
        <f>F78/1.16</f>
        <v/>
      </c>
      <c r="H78" s="40" t="n"/>
      <c r="I78" s="42" t="n">
        <v>3</v>
      </c>
      <c r="J78" s="74">
        <f>LET(dec, I78-INT(I78), IF(dec&lt;0.1, INT(I78), IF(dec&lt;=0.7, INT(I78)+0.5, INT(I78)+1)))</f>
        <v/>
      </c>
      <c r="K78" s="43" t="n">
        <v>46280</v>
      </c>
      <c r="L78" s="38" t="inlineStr">
        <is>
          <t>MAYTE</t>
        </is>
      </c>
      <c r="M78" s="38" t="n"/>
      <c r="N78" s="89" t="n"/>
      <c r="O78" s="89" t="inlineStr">
        <is>
          <t>Rodrigo Toledo</t>
        </is>
      </c>
    </row>
    <row r="79">
      <c r="A79" s="91" t="inlineStr">
        <is>
          <t>7686644549052484373</t>
        </is>
      </c>
      <c r="B79" s="98" t="inlineStr">
        <is>
          <t>lbelonline.tienda</t>
        </is>
      </c>
      <c r="C79" s="40" t="inlineStr">
        <is>
          <t>MX</t>
        </is>
      </c>
      <c r="D79" s="100" t="n">
        <v>11679.32</v>
      </c>
      <c r="E79" s="40">
        <f>D79/1.16</f>
        <v/>
      </c>
      <c r="F79" s="40">
        <f>D79/J79</f>
        <v/>
      </c>
      <c r="G79" s="40">
        <f>F79/1.16</f>
        <v/>
      </c>
      <c r="H79" s="40" t="n"/>
      <c r="I79" s="42" t="n">
        <v>4.02</v>
      </c>
      <c r="J79" s="74">
        <f>LET(dec, I79-INT(I79), IF(dec&lt;0.1, INT(I79), IF(dec&lt;=0.7, INT(I79)+0.5, INT(I79)+1)))</f>
        <v/>
      </c>
      <c r="K79" s="43" t="n">
        <v>46282</v>
      </c>
      <c r="L79" s="38" t="inlineStr">
        <is>
          <t>MAYTE</t>
        </is>
      </c>
      <c r="M79" s="38" t="n"/>
      <c r="N79" s="89" t="n"/>
      <c r="O79" s="89" t="inlineStr">
        <is>
          <t>Rodrigo Toledo</t>
        </is>
      </c>
    </row>
    <row r="80">
      <c r="A80" s="91" t="inlineStr">
        <is>
          <t>7688127076754344725</t>
        </is>
      </c>
      <c r="B80" s="98" t="inlineStr">
        <is>
          <t>lbelonline.tienda</t>
        </is>
      </c>
      <c r="C80" s="40" t="inlineStr">
        <is>
          <t>MX</t>
        </is>
      </c>
      <c r="D80" s="100" t="n">
        <v>3980.23</v>
      </c>
      <c r="E80" s="40">
        <f>D80/1.16</f>
        <v/>
      </c>
      <c r="F80" s="40">
        <f>D80/J80</f>
        <v/>
      </c>
      <c r="G80" s="40">
        <f>F80/1.16</f>
        <v/>
      </c>
      <c r="H80" s="40" t="n"/>
      <c r="I80" s="42" t="n">
        <v>4.01</v>
      </c>
      <c r="J80" s="74">
        <f>LET(dec, I80-INT(I80), IF(dec&lt;0.1, INT(I80), IF(dec&lt;=0.7, INT(I80)+0.5, INT(I80)+1)))</f>
        <v/>
      </c>
      <c r="K80" s="43" t="n">
        <v>46286</v>
      </c>
      <c r="L80" s="38" t="inlineStr">
        <is>
          <t>MAYTE</t>
        </is>
      </c>
      <c r="M80" s="38" t="n"/>
      <c r="N80" s="89" t="n"/>
      <c r="O80" s="89" t="inlineStr">
        <is>
          <t>Rodrigo Toledo</t>
        </is>
      </c>
    </row>
    <row r="81">
      <c r="A81" s="91" t="inlineStr">
        <is>
          <t>7688809291450780437</t>
        </is>
      </c>
      <c r="B81" s="98" t="inlineStr">
        <is>
          <t>lbelonline.tienda</t>
        </is>
      </c>
      <c r="C81" s="40" t="inlineStr">
        <is>
          <t>MX</t>
        </is>
      </c>
      <c r="D81" s="100" t="n">
        <v>13846.02</v>
      </c>
      <c r="E81" s="40">
        <f>D81/1.16</f>
        <v/>
      </c>
      <c r="F81" s="40">
        <f>D81/J81</f>
        <v/>
      </c>
      <c r="G81" s="40">
        <f>F81/1.16</f>
        <v/>
      </c>
      <c r="H81" s="40" t="n"/>
      <c r="I81" s="42" t="n">
        <v>8</v>
      </c>
      <c r="J81" s="74">
        <f>LET(dec, I81-INT(I81), IF(dec&lt;0.1, INT(I81), IF(dec&lt;=0.7, INT(I81)+0.5, INT(I81)+1)))</f>
        <v/>
      </c>
      <c r="K81" s="43" t="n">
        <v>46288</v>
      </c>
      <c r="L81" s="38" t="inlineStr">
        <is>
          <t>LOLA</t>
        </is>
      </c>
      <c r="M81" s="38" t="inlineStr">
        <is>
          <t>MAYTE</t>
        </is>
      </c>
      <c r="N81" s="38" t="inlineStr">
        <is>
          <t>LIZETHE</t>
        </is>
      </c>
      <c r="O81" s="89" t="inlineStr">
        <is>
          <t>Rodrigo Toledo</t>
        </is>
      </c>
    </row>
    <row r="82">
      <c r="A82" s="89" t="inlineStr">
        <is>
          <t>7689619838985046805</t>
        </is>
      </c>
      <c r="B82" s="98" t="inlineStr">
        <is>
          <t>lbelonline.tienda</t>
        </is>
      </c>
      <c r="C82" s="40" t="inlineStr">
        <is>
          <t>MX</t>
        </is>
      </c>
      <c r="D82" s="114" t="n">
        <v>11463</v>
      </c>
      <c r="E82" s="40">
        <f>D82/1.16</f>
        <v/>
      </c>
      <c r="F82" s="40">
        <f>D82/J82</f>
        <v/>
      </c>
      <c r="G82" s="40">
        <f>F82/1.16</f>
        <v/>
      </c>
      <c r="H82" s="96" t="n"/>
      <c r="I82" s="42" t="n">
        <v>4</v>
      </c>
      <c r="J82" s="89" t="n">
        <v>4</v>
      </c>
      <c r="K82" s="43" t="n">
        <v>46290</v>
      </c>
      <c r="L82" s="38" t="inlineStr">
        <is>
          <t>LOLA</t>
        </is>
      </c>
      <c r="M82" s="96" t="n"/>
      <c r="N82" s="96" t="n"/>
      <c r="O82" s="89" t="inlineStr">
        <is>
          <t>Rodrigo Toledo</t>
        </is>
      </c>
    </row>
    <row r="83">
      <c r="K83" s="84" t="n"/>
    </row>
    <row r="84">
      <c r="A84" s="7" t="inlineStr">
        <is>
          <t>Room ID</t>
        </is>
      </c>
      <c r="B84" s="7" t="inlineStr">
        <is>
          <t>TT Handle</t>
        </is>
      </c>
      <c r="C84" s="7" t="inlineStr">
        <is>
          <t>Country</t>
        </is>
      </c>
      <c r="D84" s="7" t="inlineStr">
        <is>
          <t>GMV</t>
        </is>
      </c>
      <c r="E84" s="7" t="inlineStr">
        <is>
          <t>GMV/sin EVA</t>
        </is>
      </c>
      <c r="F84" s="7" t="inlineStr">
        <is>
          <t>GMV PER HOUR</t>
        </is>
      </c>
      <c r="G84" s="7" t="inlineStr">
        <is>
          <t>GMV PER HOUR/sin EVA</t>
        </is>
      </c>
      <c r="H84" s="7" t="inlineStr">
        <is>
          <t>Ads Cost</t>
        </is>
      </c>
      <c r="I84" s="7" t="inlineStr">
        <is>
          <t>Duration (H)</t>
        </is>
      </c>
      <c r="J84" s="70" t="inlineStr">
        <is>
          <t>Duration （Formula）</t>
        </is>
      </c>
      <c r="K84" s="58" t="inlineStr">
        <is>
          <t>Start date</t>
        </is>
      </c>
      <c r="L84" s="71" t="inlineStr">
        <is>
          <t>HOST 1</t>
        </is>
      </c>
      <c r="M84" s="71" t="inlineStr">
        <is>
          <t>HOST 2</t>
        </is>
      </c>
      <c r="N84" s="71" t="inlineStr">
        <is>
          <t>HOST 3</t>
        </is>
      </c>
      <c r="O84" s="71" t="inlineStr">
        <is>
          <t>Operator</t>
        </is>
      </c>
    </row>
    <row r="85">
      <c r="A85" s="89" t="inlineStr">
        <is>
          <t>7691838590143105813</t>
        </is>
      </c>
      <c r="B85" s="98" t="inlineStr">
        <is>
          <t>lbelonline.tienda</t>
        </is>
      </c>
      <c r="C85" s="40" t="inlineStr">
        <is>
          <t>MX</t>
        </is>
      </c>
      <c r="D85" s="114" t="n">
        <v>12274.49</v>
      </c>
      <c r="E85" s="40">
        <f>D85/1.16</f>
        <v/>
      </c>
      <c r="F85" s="40">
        <f>IFERROR(D85/J85,0)</f>
        <v/>
      </c>
      <c r="G85" s="40">
        <f>F85/1.16</f>
        <v/>
      </c>
      <c r="H85" s="96" t="n"/>
      <c r="I85" s="42" t="n">
        <v>4</v>
      </c>
      <c r="J85" s="89">
        <f>IF(I85-INT(I85)&lt;0.1,INT(I85),IF(I85-INT(I85)&lt;=0.7,INT(I85)+0.5,INT(I85)+1))</f>
        <v/>
      </c>
      <c r="K85" s="43" t="n">
        <v>46296</v>
      </c>
      <c r="L85" s="38" t="inlineStr">
        <is>
          <t>LIZETHE</t>
        </is>
      </c>
      <c r="M85" s="96" t="n"/>
      <c r="N85" s="96" t="n"/>
      <c r="O85" s="89" t="inlineStr">
        <is>
          <t>Rodrigo Toledo</t>
        </is>
      </c>
    </row>
    <row r="86">
      <c r="A86" s="89" t="inlineStr">
        <is>
          <t>7692209513448917778</t>
        </is>
      </c>
      <c r="B86" s="98" t="inlineStr">
        <is>
          <t>lbelonline.tienda</t>
        </is>
      </c>
      <c r="C86" s="40" t="inlineStr">
        <is>
          <t>MX</t>
        </is>
      </c>
      <c r="D86" s="114" t="n">
        <v>3847.4</v>
      </c>
      <c r="E86" s="40">
        <f>D86/1.16</f>
        <v/>
      </c>
      <c r="F86" s="40">
        <f>IFERROR(D86/J86,0)</f>
        <v/>
      </c>
      <c r="G86" s="40">
        <f>F86/1.16</f>
        <v/>
      </c>
      <c r="H86" s="96" t="n"/>
      <c r="I86" s="42" t="n">
        <v>4</v>
      </c>
      <c r="J86" s="89">
        <f>IF(I86-INT(I86)&lt;0.1,INT(I86),IF(I86-INT(I86)&lt;=0.7,INT(I86)+0.5,INT(I86)+1))</f>
        <v/>
      </c>
      <c r="K86" s="43" t="n">
        <v>46297</v>
      </c>
      <c r="L86" s="38" t="inlineStr">
        <is>
          <t>LOLA</t>
        </is>
      </c>
      <c r="M86" s="96" t="n"/>
      <c r="N86" s="96" t="n"/>
      <c r="O86" s="89" t="inlineStr">
        <is>
          <t>Rodrigo Toledo</t>
        </is>
      </c>
    </row>
    <row r="87">
      <c r="A87" s="89" t="inlineStr">
        <is>
          <t>7693260219732347668</t>
        </is>
      </c>
      <c r="B87" s="98" t="inlineStr">
        <is>
          <t>lbelonline.tienda</t>
        </is>
      </c>
      <c r="C87" s="40" t="inlineStr">
        <is>
          <t>MX</t>
        </is>
      </c>
      <c r="D87" s="114" t="n">
        <v>7110.47</v>
      </c>
      <c r="E87" s="40">
        <f>D87/1.16</f>
        <v/>
      </c>
      <c r="F87" s="40">
        <f>IFERROR(D87/J87,0)</f>
        <v/>
      </c>
      <c r="G87" s="40">
        <f>F87/1.16</f>
        <v/>
      </c>
      <c r="H87" s="96" t="n"/>
      <c r="I87" s="42" t="n">
        <v>4.02</v>
      </c>
      <c r="J87" s="89">
        <f>IF(I87-INT(I87)&lt;0.1,INT(I87),IF(I87-INT(I87)&lt;=0.7,INT(I87)+0.5,INT(I87)+1))</f>
        <v/>
      </c>
      <c r="K87" s="43" t="n">
        <v>46300</v>
      </c>
      <c r="L87" s="38" t="inlineStr">
        <is>
          <t>LIZETHE</t>
        </is>
      </c>
      <c r="M87" s="96" t="n"/>
      <c r="N87" s="96" t="n"/>
      <c r="O87" s="89" t="inlineStr">
        <is>
          <t>Rodrigo Toledo</t>
        </is>
      </c>
    </row>
    <row r="88">
      <c r="A88" s="89" t="inlineStr">
        <is>
          <t>7694003325624273671</t>
        </is>
      </c>
      <c r="B88" s="98" t="inlineStr">
        <is>
          <t>lbelonline.tienda</t>
        </is>
      </c>
      <c r="C88" s="40" t="inlineStr">
        <is>
          <t>MX</t>
        </is>
      </c>
      <c r="D88" s="114" t="n">
        <v>11076.76</v>
      </c>
      <c r="E88" s="40">
        <f>D88/1.16</f>
        <v/>
      </c>
      <c r="F88" s="40">
        <f>IFERROR(D88/J88,0)</f>
        <v/>
      </c>
      <c r="G88" s="40">
        <f>F88/1.16</f>
        <v/>
      </c>
      <c r="H88" s="96" t="n"/>
      <c r="I88" s="42" t="n">
        <v>4.01</v>
      </c>
      <c r="J88" s="89">
        <f>IF(I88-INT(I88)&lt;0.1,INT(I88),IF(I88-INT(I88)&lt;=0.7,INT(I88)+0.5,INT(I88)+1))</f>
        <v/>
      </c>
      <c r="K88" s="43" t="n">
        <v>46302</v>
      </c>
      <c r="L88" s="38" t="inlineStr">
        <is>
          <t>MAYTE</t>
        </is>
      </c>
      <c r="M88" s="96" t="n"/>
      <c r="N88" s="96" t="n"/>
      <c r="O88" s="89" t="inlineStr">
        <is>
          <t>Rodrigo Toledo</t>
        </is>
      </c>
    </row>
    <row r="89">
      <c r="A89" s="89" t="inlineStr">
        <is>
          <t>7694745859196766994</t>
        </is>
      </c>
      <c r="B89" s="98" t="inlineStr">
        <is>
          <t>lbelonline.tienda</t>
        </is>
      </c>
      <c r="C89" s="40" t="inlineStr">
        <is>
          <t>MX</t>
        </is>
      </c>
      <c r="D89" s="114" t="n">
        <v>7977.81</v>
      </c>
      <c r="E89" s="40">
        <f>D89/1.16</f>
        <v/>
      </c>
      <c r="F89" s="40">
        <f>IFERROR(D89/J89,0)</f>
        <v/>
      </c>
      <c r="G89" s="40">
        <f>F89/1.16</f>
        <v/>
      </c>
      <c r="H89" s="96" t="n"/>
      <c r="I89" s="42" t="n">
        <v>4</v>
      </c>
      <c r="J89" s="89">
        <f>IF(I89-INT(I89)&lt;0.1,INT(I89),IF(I89-INT(I89)&lt;=0.7,INT(I89)+0.5,INT(I89)+1))</f>
        <v/>
      </c>
      <c r="K89" s="43" t="n">
        <v>46304</v>
      </c>
      <c r="L89" s="38" t="inlineStr">
        <is>
          <t>MAYTE</t>
        </is>
      </c>
      <c r="M89" s="96" t="n"/>
      <c r="N89" s="96" t="n"/>
      <c r="O89" s="89" t="inlineStr">
        <is>
          <t>Rodrigo Toledo</t>
        </is>
      </c>
    </row>
    <row r="90">
      <c r="A90" s="89" t="inlineStr">
        <is>
          <t>7696291428913220359</t>
        </is>
      </c>
      <c r="B90" s="98" t="inlineStr">
        <is>
          <t>lbelonline.tienda</t>
        </is>
      </c>
      <c r="C90" s="40" t="inlineStr">
        <is>
          <t>MX</t>
        </is>
      </c>
      <c r="D90" s="114" t="n">
        <v>5803.55</v>
      </c>
      <c r="E90" s="40">
        <f>D90/1.16</f>
        <v/>
      </c>
      <c r="F90" s="40">
        <f>IFERROR(D90/J90,0)</f>
        <v/>
      </c>
      <c r="G90" s="40">
        <f>F90/1.16</f>
        <v/>
      </c>
      <c r="H90" s="96" t="n"/>
      <c r="I90" s="42" t="n">
        <v>4</v>
      </c>
      <c r="J90" s="89">
        <f>IF(I90-INT(I90)&lt;0.1,INT(I90),IF(I90-INT(I90)&lt;=0.7,INT(I90)+0.5,INT(I90)+1))</f>
        <v/>
      </c>
      <c r="K90" s="43" t="n">
        <v>46308</v>
      </c>
      <c r="L90" s="38" t="inlineStr">
        <is>
          <t>LOLA</t>
        </is>
      </c>
      <c r="M90" s="96" t="n"/>
      <c r="N90" s="96" t="n"/>
      <c r="O90" s="89" t="inlineStr">
        <is>
          <t>Rodrigo Toledo</t>
        </is>
      </c>
    </row>
    <row r="91">
      <c r="A91" s="89" t="inlineStr">
        <is>
          <t>7697002141421341456</t>
        </is>
      </c>
      <c r="B91" s="98" t="inlineStr">
        <is>
          <t>lbelonline.tienda</t>
        </is>
      </c>
      <c r="C91" s="40" t="inlineStr">
        <is>
          <t>MX</t>
        </is>
      </c>
      <c r="D91" s="114" t="n">
        <v>16636.8</v>
      </c>
      <c r="E91" s="40">
        <f>D91/1.16</f>
        <v/>
      </c>
      <c r="F91" s="40">
        <f>IFERROR(D91/J91,0)</f>
        <v/>
      </c>
      <c r="G91" s="40">
        <f>F91/1.16</f>
        <v/>
      </c>
      <c r="H91" s="96" t="n"/>
      <c r="I91" s="42" t="n">
        <v>6.01</v>
      </c>
      <c r="J91" s="89">
        <f>IF(I91-INT(I91)&lt;0.1,INT(I91),IF(I91-INT(I91)&lt;=0.7,INT(I91)+0.5,INT(I91)+1))</f>
        <v/>
      </c>
      <c r="K91" s="43" t="n">
        <v>46310</v>
      </c>
      <c r="L91" s="38" t="inlineStr">
        <is>
          <t>MAYTE</t>
        </is>
      </c>
      <c r="M91" s="96" t="inlineStr">
        <is>
          <t>LOLA</t>
        </is>
      </c>
      <c r="N91" s="96" t="n"/>
      <c r="O91" s="89" t="inlineStr">
        <is>
          <t>Rodrigo Toledo</t>
        </is>
      </c>
    </row>
    <row r="92">
      <c r="A92" s="89" t="inlineStr">
        <is>
          <t>7697405572920806162</t>
        </is>
      </c>
      <c r="B92" s="98" t="inlineStr">
        <is>
          <t>lbelonline.tienda</t>
        </is>
      </c>
      <c r="C92" s="40" t="inlineStr">
        <is>
          <t>MX</t>
        </is>
      </c>
      <c r="D92" s="114" t="n">
        <v>16670.07</v>
      </c>
      <c r="E92" s="40">
        <f>D92/1.16</f>
        <v/>
      </c>
      <c r="F92" s="40">
        <f>IFERROR(D92/J92,0)</f>
        <v/>
      </c>
      <c r="G92" s="40">
        <f>F92/1.16</f>
        <v/>
      </c>
      <c r="H92" s="96" t="n"/>
      <c r="I92" s="42" t="n">
        <v>4</v>
      </c>
      <c r="J92" s="89">
        <f>IF(I92-INT(I92)&lt;0.1,INT(I92),IF(I92-INT(I92)&lt;=0.7,INT(I92)+0.5,INT(I92)+1))</f>
        <v/>
      </c>
      <c r="K92" s="43" t="n">
        <v>46311</v>
      </c>
      <c r="L92" s="38" t="inlineStr">
        <is>
          <t>MAYTE</t>
        </is>
      </c>
      <c r="M92" s="96" t="n"/>
      <c r="N92" s="96" t="n"/>
      <c r="O92" s="89" t="inlineStr">
        <is>
          <t>Rodrigo Toledo</t>
        </is>
      </c>
    </row>
    <row r="93">
      <c r="A93" s="89" t="inlineStr">
        <is>
          <t>7698455644219919125</t>
        </is>
      </c>
      <c r="B93" s="98" t="inlineStr">
        <is>
          <t>lbelonline.tienda</t>
        </is>
      </c>
      <c r="C93" s="40" t="inlineStr">
        <is>
          <t>MX</t>
        </is>
      </c>
      <c r="D93" s="114" t="n">
        <v>14550.95</v>
      </c>
      <c r="E93" s="40">
        <f>D93/1.16</f>
        <v/>
      </c>
      <c r="F93" s="40">
        <f>IFERROR(D93/J93,0)</f>
        <v/>
      </c>
      <c r="G93" s="40">
        <f>F93/1.16</f>
        <v/>
      </c>
      <c r="H93" s="96" t="n"/>
      <c r="I93" s="42" t="n">
        <v>4</v>
      </c>
      <c r="J93" s="89">
        <f>IF(I93-INT(I93)&lt;0.1,INT(I93),IF(I93-INT(I93)&lt;=0.7,INT(I93)+0.5,INT(I93)+1))</f>
        <v/>
      </c>
      <c r="K93" s="43" t="n">
        <v>46314</v>
      </c>
      <c r="L93" s="38" t="inlineStr">
        <is>
          <t>LIZETHE</t>
        </is>
      </c>
      <c r="M93" s="96" t="n"/>
      <c r="N93" s="96" t="n"/>
      <c r="O93" s="89" t="inlineStr">
        <is>
          <t>Rodrigo Toledo</t>
        </is>
      </c>
    </row>
    <row r="94">
      <c r="A94" s="89" t="inlineStr">
        <is>
          <t>7699198834610227989</t>
        </is>
      </c>
      <c r="B94" s="98" t="inlineStr">
        <is>
          <t>lbelonline.tienda</t>
        </is>
      </c>
      <c r="C94" s="40" t="inlineStr">
        <is>
          <t>MX</t>
        </is>
      </c>
      <c r="D94" s="114" t="n">
        <v>7151.31</v>
      </c>
      <c r="E94" s="40">
        <f>D94/1.16</f>
        <v/>
      </c>
      <c r="F94" s="40">
        <f>IFERROR(D94/J94,0)</f>
        <v/>
      </c>
      <c r="G94" s="40">
        <f>F94/1.16</f>
        <v/>
      </c>
      <c r="H94" s="96" t="n"/>
      <c r="I94" s="42" t="n">
        <v>4.01</v>
      </c>
      <c r="J94" s="89">
        <f>IF(I94-INT(I94)&lt;0.1,INT(I94),IF(I94-INT(I94)&lt;=0.7,INT(I94)+0.5,INT(I94)+1))</f>
        <v/>
      </c>
      <c r="K94" s="43" t="n">
        <v>46316</v>
      </c>
      <c r="L94" s="38" t="inlineStr">
        <is>
          <t>MAYTE</t>
        </is>
      </c>
      <c r="M94" s="96" t="n"/>
      <c r="N94" s="96" t="n"/>
      <c r="O94" s="89" t="inlineStr">
        <is>
          <t>Rodrigo Toledo</t>
        </is>
      </c>
    </row>
    <row r="95">
      <c r="A95" s="89" t="inlineStr">
        <is>
          <t>7699940008983726854</t>
        </is>
      </c>
      <c r="B95" s="98" t="inlineStr">
        <is>
          <t>lbelonline.tienda</t>
        </is>
      </c>
      <c r="C95" s="40" t="inlineStr">
        <is>
          <t>MX</t>
        </is>
      </c>
      <c r="D95" s="114" t="n">
        <v>7520.33</v>
      </c>
      <c r="E95" s="40">
        <f>D95/1.16</f>
        <v/>
      </c>
      <c r="F95" s="40">
        <f>IFERROR(D95/J95,0)</f>
        <v/>
      </c>
      <c r="G95" s="40">
        <f>F95/1.16</f>
        <v/>
      </c>
      <c r="H95" s="96" t="n"/>
      <c r="I95" s="42" t="n">
        <v>4.01</v>
      </c>
      <c r="J95" s="89">
        <f>IF(I95-INT(I95)&lt;0.1,INT(I95),IF(I95-INT(I95)&lt;=0.7,INT(I95)+0.5,INT(I95)+1))</f>
        <v/>
      </c>
      <c r="K95" s="43" t="n">
        <v>46318</v>
      </c>
      <c r="L95" s="38" t="inlineStr">
        <is>
          <t>MAYTE</t>
        </is>
      </c>
      <c r="M95" s="96" t="n"/>
      <c r="N95" s="96" t="n"/>
      <c r="O95" s="89" t="inlineStr">
        <is>
          <t>Rodrigo Toledo</t>
        </is>
      </c>
    </row>
    <row r="96">
      <c r="A96" s="89" t="inlineStr">
        <is>
          <t>7701053096092289810</t>
        </is>
      </c>
      <c r="B96" s="98" t="inlineStr">
        <is>
          <t>lbelonline.tienda</t>
        </is>
      </c>
      <c r="C96" s="40" t="inlineStr">
        <is>
          <t>MX</t>
        </is>
      </c>
      <c r="D96" s="114" t="n">
        <v>6499.94</v>
      </c>
      <c r="E96" s="40">
        <f>D96/1.16</f>
        <v/>
      </c>
      <c r="F96" s="40">
        <f>IFERROR(D96/J96,0)</f>
        <v/>
      </c>
      <c r="G96" s="40">
        <f>F96/1.16</f>
        <v/>
      </c>
      <c r="H96" s="96" t="n"/>
      <c r="I96" s="42" t="n">
        <v>4.01</v>
      </c>
      <c r="J96" s="89">
        <f>IF(I96-INT(I96)&lt;0.1,INT(I96),IF(I96-INT(I96)&lt;=0.7,INT(I96)+0.5,INT(I96)+1))</f>
        <v/>
      </c>
      <c r="K96" s="43" t="n">
        <v>46321</v>
      </c>
      <c r="L96" s="38" t="inlineStr">
        <is>
          <t>LIZETHE</t>
        </is>
      </c>
      <c r="M96" s="96" t="n"/>
      <c r="N96" s="96" t="n"/>
      <c r="O96" s="89" t="inlineStr">
        <is>
          <t>Rodrigo Toledo</t>
        </is>
      </c>
    </row>
    <row r="97"/>
    <row r="98"/>
    <row r="99"/>
    <row r="100">
      <c r="K100" s="84" t="n"/>
    </row>
    <row r="101">
      <c r="K101" s="84" t="n"/>
    </row>
    <row r="102">
      <c r="K102" s="84" t="n"/>
    </row>
    <row r="103">
      <c r="K103" s="84" t="n"/>
    </row>
    <row r="104">
      <c r="K104" s="84" t="n"/>
    </row>
    <row r="105">
      <c r="K105" s="84" t="n"/>
    </row>
    <row r="106">
      <c r="K106" s="84" t="n"/>
    </row>
    <row r="107">
      <c r="K107" s="84" t="n"/>
    </row>
    <row r="108">
      <c r="K108" s="84" t="n"/>
    </row>
    <row r="109">
      <c r="K109" s="84" t="n"/>
    </row>
    <row r="110">
      <c r="K110" s="84" t="n"/>
    </row>
    <row r="111">
      <c r="K111" s="84" t="n"/>
    </row>
    <row r="112">
      <c r="K112" s="84" t="n"/>
    </row>
    <row r="113">
      <c r="K113" s="84" t="n"/>
    </row>
    <row r="114">
      <c r="K114" s="84" t="n"/>
    </row>
    <row r="115">
      <c r="K115" s="84" t="n"/>
    </row>
    <row r="116">
      <c r="K116" s="84" t="n"/>
    </row>
    <row r="117">
      <c r="K117" s="84" t="n"/>
    </row>
    <row r="118">
      <c r="K118" s="84" t="n"/>
    </row>
    <row r="119">
      <c r="K119" s="84" t="n"/>
    </row>
    <row r="120">
      <c r="K120" s="84" t="n"/>
    </row>
    <row r="121">
      <c r="K121" s="84" t="n"/>
    </row>
    <row r="122">
      <c r="K122" s="84" t="n"/>
    </row>
    <row r="123">
      <c r="K123" s="84" t="n"/>
    </row>
    <row r="124">
      <c r="K124" s="84" t="n"/>
    </row>
    <row r="125">
      <c r="K125" s="84" t="n"/>
    </row>
    <row r="126">
      <c r="K126" s="84" t="n"/>
    </row>
    <row r="127">
      <c r="K127" s="84" t="n"/>
    </row>
    <row r="128">
      <c r="K128" s="84" t="n"/>
    </row>
    <row r="129">
      <c r="K129" s="84" t="n"/>
    </row>
    <row r="130">
      <c r="K130" s="84" t="n"/>
    </row>
    <row r="131">
      <c r="K131" s="84" t="n"/>
    </row>
    <row r="132">
      <c r="K132" s="84" t="n"/>
    </row>
    <row r="133">
      <c r="K133" s="84" t="n"/>
    </row>
    <row r="134">
      <c r="K134" s="84" t="n"/>
    </row>
    <row r="135">
      <c r="K135" s="84" t="n"/>
    </row>
    <row r="136">
      <c r="K136" s="84" t="n"/>
    </row>
    <row r="137">
      <c r="K137" s="84" t="n"/>
    </row>
    <row r="138">
      <c r="K138" s="84" t="n"/>
    </row>
    <row r="139">
      <c r="K139" s="84" t="n"/>
    </row>
    <row r="140">
      <c r="K140" s="84" t="n"/>
    </row>
    <row r="141">
      <c r="K141" s="84" t="n"/>
    </row>
    <row r="142">
      <c r="K142" s="84" t="n"/>
    </row>
    <row r="143">
      <c r="K143" s="84" t="n"/>
    </row>
    <row r="144">
      <c r="K144" s="84" t="n"/>
    </row>
    <row r="145">
      <c r="K145" s="84" t="n"/>
    </row>
    <row r="146">
      <c r="K146" s="84" t="n"/>
    </row>
    <row r="147">
      <c r="K147" s="84" t="n"/>
    </row>
    <row r="148">
      <c r="K148" s="84" t="n"/>
    </row>
    <row r="149">
      <c r="K149" s="84" t="n"/>
    </row>
    <row r="150">
      <c r="K150" s="84" t="n"/>
    </row>
    <row r="151">
      <c r="K151" s="84" t="n"/>
    </row>
    <row r="152">
      <c r="K152" s="84" t="n"/>
    </row>
    <row r="153">
      <c r="K153" s="84" t="n"/>
    </row>
    <row r="154">
      <c r="K154" s="84" t="n"/>
    </row>
    <row r="155">
      <c r="K155" s="84" t="n"/>
    </row>
    <row r="156">
      <c r="K156" s="84" t="n"/>
    </row>
    <row r="157">
      <c r="K157" s="84" t="n"/>
    </row>
    <row r="158">
      <c r="K158" s="84" t="n"/>
    </row>
    <row r="159">
      <c r="K159" s="84" t="n"/>
    </row>
    <row r="160">
      <c r="K160" s="84" t="n"/>
    </row>
    <row r="161">
      <c r="K161" s="84" t="n"/>
    </row>
    <row r="162">
      <c r="K162" s="84" t="n"/>
    </row>
    <row r="163">
      <c r="K163" s="84" t="n"/>
    </row>
    <row r="164">
      <c r="K164" s="84" t="n"/>
    </row>
    <row r="165">
      <c r="K165" s="84" t="n"/>
    </row>
    <row r="166">
      <c r="K166" s="84" t="n"/>
    </row>
    <row r="167">
      <c r="K167" s="84" t="n"/>
    </row>
    <row r="168">
      <c r="K168" s="84" t="n"/>
    </row>
    <row r="169">
      <c r="K169" s="84" t="n"/>
    </row>
    <row r="170">
      <c r="K170" s="84" t="n"/>
    </row>
    <row r="171">
      <c r="K171" s="84" t="n"/>
    </row>
    <row r="172">
      <c r="K172" s="84" t="n"/>
    </row>
    <row r="173">
      <c r="K173" s="84" t="n"/>
    </row>
    <row r="174">
      <c r="K174" s="84" t="n"/>
    </row>
    <row r="175">
      <c r="K175" s="84" t="n"/>
    </row>
    <row r="176">
      <c r="K176" s="84" t="n"/>
    </row>
    <row r="177">
      <c r="K177" s="84" t="n"/>
    </row>
    <row r="178">
      <c r="K178" s="84" t="n"/>
    </row>
    <row r="179">
      <c r="K179" s="84" t="n"/>
    </row>
    <row r="180">
      <c r="K180" s="84" t="n"/>
    </row>
    <row r="181">
      <c r="K181" s="84" t="n"/>
    </row>
    <row r="182">
      <c r="K182" s="84" t="n"/>
    </row>
    <row r="183">
      <c r="K183" s="84" t="n"/>
    </row>
    <row r="184">
      <c r="K184" s="84" t="n"/>
    </row>
    <row r="185">
      <c r="K185" s="84" t="n"/>
    </row>
    <row r="186">
      <c r="K186" s="84" t="n"/>
    </row>
    <row r="187">
      <c r="K187" s="84" t="n"/>
    </row>
    <row r="188">
      <c r="K188" s="84" t="n"/>
    </row>
    <row r="189">
      <c r="K189" s="84" t="n"/>
    </row>
    <row r="190">
      <c r="K190" s="84" t="n"/>
    </row>
    <row r="191">
      <c r="K191" s="84" t="n"/>
    </row>
    <row r="192">
      <c r="K192" s="84" t="n"/>
    </row>
    <row r="193">
      <c r="K193" s="84" t="n"/>
    </row>
    <row r="194">
      <c r="K194" s="84" t="n"/>
    </row>
    <row r="195">
      <c r="K195" s="84" t="n"/>
    </row>
    <row r="196">
      <c r="K196" s="84" t="n"/>
    </row>
    <row r="197">
      <c r="K197" s="84" t="n"/>
    </row>
    <row r="198">
      <c r="K198" s="84" t="n"/>
    </row>
    <row r="199">
      <c r="K199" s="84" t="n"/>
    </row>
    <row r="200">
      <c r="K200" s="84" t="n"/>
    </row>
    <row r="201">
      <c r="K201" s="84" t="n"/>
    </row>
    <row r="202">
      <c r="K202" s="84" t="n"/>
    </row>
    <row r="203">
      <c r="K203" s="84" t="n"/>
    </row>
    <row r="204">
      <c r="K204" s="84" t="n"/>
    </row>
    <row r="205">
      <c r="K205" s="84" t="n"/>
    </row>
    <row r="206">
      <c r="K206" s="84" t="n"/>
    </row>
    <row r="207">
      <c r="K207" s="84" t="n"/>
    </row>
    <row r="208">
      <c r="K208" s="84" t="n"/>
    </row>
    <row r="209">
      <c r="K209" s="84" t="n"/>
    </row>
    <row r="210">
      <c r="K210" s="84" t="n"/>
    </row>
    <row r="211">
      <c r="K211" s="84" t="n"/>
    </row>
    <row r="212">
      <c r="K212" s="84" t="n"/>
    </row>
    <row r="213">
      <c r="K213" s="84" t="n"/>
    </row>
    <row r="214">
      <c r="K214" s="84" t="n"/>
    </row>
    <row r="215">
      <c r="K215" s="84" t="n"/>
    </row>
    <row r="216">
      <c r="K216" s="84" t="n"/>
    </row>
    <row r="217">
      <c r="K217" s="84" t="n"/>
    </row>
    <row r="218">
      <c r="K218" s="84" t="n"/>
    </row>
    <row r="219">
      <c r="K219" s="84" t="n"/>
    </row>
    <row r="220">
      <c r="K220" s="84" t="n"/>
    </row>
    <row r="221">
      <c r="K221" s="84" t="n"/>
    </row>
    <row r="222">
      <c r="K222" s="84" t="n"/>
    </row>
    <row r="223">
      <c r="K223" s="84" t="n"/>
    </row>
    <row r="224">
      <c r="K224" s="84" t="n"/>
    </row>
    <row r="225">
      <c r="K225" s="84" t="n"/>
    </row>
    <row r="226">
      <c r="K226" s="84" t="n"/>
    </row>
    <row r="227">
      <c r="K227" s="84" t="n"/>
    </row>
    <row r="228">
      <c r="K228" s="84" t="n"/>
    </row>
    <row r="229">
      <c r="K229" s="84" t="n"/>
    </row>
    <row r="230">
      <c r="K230" s="84" t="n"/>
    </row>
    <row r="231">
      <c r="K231" s="84" t="n"/>
    </row>
    <row r="232">
      <c r="K232" s="84" t="n"/>
    </row>
    <row r="233">
      <c r="K233" s="84" t="n"/>
    </row>
    <row r="234">
      <c r="K234" s="84" t="n"/>
    </row>
    <row r="235">
      <c r="K235" s="84" t="n"/>
    </row>
    <row r="236">
      <c r="K236" s="84" t="n"/>
    </row>
    <row r="237">
      <c r="K237" s="84" t="n"/>
    </row>
    <row r="238">
      <c r="K238" s="84" t="n"/>
    </row>
    <row r="239">
      <c r="K239" s="84" t="n"/>
    </row>
    <row r="240">
      <c r="K240" s="84" t="n"/>
    </row>
    <row r="241">
      <c r="K241" s="84" t="n"/>
    </row>
    <row r="242">
      <c r="K242" s="84" t="n"/>
    </row>
    <row r="243">
      <c r="K243" s="84" t="n"/>
    </row>
    <row r="244">
      <c r="K244" s="84" t="n"/>
    </row>
    <row r="245">
      <c r="K245" s="84" t="n"/>
    </row>
    <row r="246">
      <c r="K246" s="84" t="n"/>
    </row>
    <row r="247">
      <c r="K247" s="84" t="n"/>
    </row>
    <row r="248">
      <c r="K248" s="84" t="n"/>
    </row>
    <row r="249">
      <c r="K249" s="84" t="n"/>
    </row>
    <row r="250">
      <c r="K250" s="84" t="n"/>
    </row>
    <row r="251">
      <c r="K251" s="84" t="n"/>
    </row>
    <row r="252">
      <c r="K252" s="84" t="n"/>
    </row>
    <row r="253">
      <c r="K253" s="84" t="n"/>
    </row>
    <row r="254">
      <c r="K254" s="84" t="n"/>
    </row>
    <row r="255">
      <c r="K255" s="84" t="n"/>
    </row>
    <row r="256">
      <c r="K256" s="84" t="n"/>
    </row>
    <row r="257">
      <c r="K257" s="84" t="n"/>
    </row>
    <row r="258">
      <c r="K258" s="84" t="n"/>
    </row>
    <row r="259">
      <c r="K259" s="84" t="n"/>
    </row>
    <row r="260">
      <c r="K260" s="84" t="n"/>
    </row>
    <row r="261">
      <c r="K261" s="84" t="n"/>
    </row>
    <row r="262">
      <c r="K262" s="84" t="n"/>
    </row>
    <row r="263">
      <c r="K263" s="84" t="n"/>
    </row>
    <row r="264">
      <c r="K264" s="84" t="n"/>
    </row>
    <row r="265">
      <c r="K265" s="84" t="n"/>
    </row>
    <row r="266">
      <c r="K266" s="84" t="n"/>
    </row>
    <row r="267">
      <c r="K267" s="84" t="n"/>
    </row>
    <row r="268">
      <c r="K268" s="84" t="n"/>
    </row>
    <row r="269">
      <c r="K269" s="84" t="n"/>
    </row>
    <row r="270">
      <c r="K270" s="84" t="n"/>
    </row>
    <row r="271">
      <c r="K271" s="84" t="n"/>
    </row>
    <row r="272">
      <c r="K272" s="84" t="n"/>
    </row>
    <row r="273">
      <c r="K273" s="84" t="n"/>
    </row>
    <row r="274">
      <c r="K274" s="84" t="n"/>
    </row>
    <row r="275">
      <c r="K275" s="84" t="n"/>
    </row>
    <row r="276">
      <c r="K276" s="84" t="n"/>
    </row>
    <row r="277">
      <c r="K277" s="84" t="n"/>
    </row>
    <row r="278">
      <c r="K278" s="84" t="n"/>
    </row>
    <row r="279">
      <c r="K279" s="84" t="n"/>
    </row>
    <row r="280">
      <c r="K280" s="84" t="n"/>
    </row>
    <row r="281">
      <c r="K281" s="84" t="n"/>
    </row>
    <row r="282">
      <c r="K282" s="84" t="n"/>
    </row>
    <row r="283">
      <c r="K283" s="84" t="n"/>
    </row>
    <row r="284">
      <c r="K284" s="84" t="n"/>
    </row>
    <row r="285">
      <c r="K285" s="84" t="n"/>
    </row>
    <row r="286">
      <c r="K286" s="84" t="n"/>
    </row>
    <row r="287">
      <c r="K287" s="84" t="n"/>
    </row>
    <row r="288">
      <c r="K288" s="84" t="n"/>
    </row>
    <row r="289">
      <c r="K289" s="84" t="n"/>
    </row>
    <row r="290">
      <c r="K290" s="84" t="n"/>
    </row>
    <row r="291">
      <c r="K291" s="84" t="n"/>
    </row>
    <row r="292">
      <c r="K292" s="84" t="n"/>
    </row>
    <row r="293">
      <c r="K293" s="84" t="n"/>
    </row>
    <row r="294">
      <c r="K294" s="84" t="n"/>
    </row>
    <row r="295">
      <c r="K295" s="84" t="n"/>
    </row>
    <row r="296">
      <c r="K296" s="84" t="n"/>
    </row>
    <row r="297">
      <c r="K297" s="84" t="n"/>
    </row>
    <row r="298">
      <c r="K298" s="84" t="n"/>
    </row>
    <row r="299">
      <c r="K299" s="84" t="n"/>
    </row>
    <row r="300">
      <c r="K300" s="84" t="n"/>
    </row>
    <row r="301">
      <c r="K301" s="84" t="n"/>
    </row>
    <row r="302">
      <c r="K302" s="84" t="n"/>
    </row>
    <row r="303">
      <c r="K303" s="84" t="n"/>
    </row>
    <row r="304">
      <c r="K304" s="84" t="n"/>
    </row>
    <row r="305">
      <c r="K305" s="84" t="n"/>
    </row>
    <row r="306">
      <c r="K306" s="84" t="n"/>
    </row>
    <row r="307">
      <c r="K307" s="84" t="n"/>
    </row>
    <row r="308">
      <c r="K308" s="84" t="n"/>
    </row>
    <row r="309">
      <c r="K309" s="84" t="n"/>
    </row>
    <row r="310">
      <c r="K310" s="84" t="n"/>
    </row>
    <row r="311">
      <c r="K311" s="84" t="n"/>
    </row>
    <row r="312">
      <c r="K312" s="84" t="n"/>
    </row>
    <row r="313">
      <c r="K313" s="84" t="n"/>
    </row>
    <row r="314">
      <c r="K314" s="84" t="n"/>
    </row>
    <row r="315">
      <c r="K315" s="84" t="n"/>
    </row>
    <row r="316">
      <c r="K316" s="84" t="n"/>
    </row>
    <row r="317">
      <c r="K317" s="84" t="n"/>
    </row>
    <row r="318">
      <c r="K318" s="84" t="n"/>
    </row>
    <row r="319">
      <c r="K319" s="84" t="n"/>
    </row>
    <row r="320">
      <c r="K320" s="84" t="n"/>
    </row>
    <row r="321">
      <c r="K321" s="84" t="n"/>
    </row>
    <row r="322">
      <c r="K322" s="84" t="n"/>
    </row>
    <row r="323">
      <c r="K323" s="84" t="n"/>
    </row>
    <row r="324">
      <c r="K324" s="84" t="n"/>
    </row>
    <row r="325">
      <c r="K325" s="84" t="n"/>
    </row>
    <row r="326">
      <c r="K326" s="84" t="n"/>
    </row>
    <row r="327">
      <c r="K327" s="84" t="n"/>
    </row>
    <row r="328">
      <c r="K328" s="84" t="n"/>
    </row>
    <row r="329">
      <c r="K329" s="84" t="n"/>
    </row>
    <row r="330">
      <c r="K330" s="84" t="n"/>
    </row>
    <row r="331">
      <c r="K331" s="84" t="n"/>
    </row>
    <row r="332">
      <c r="K332" s="84" t="n"/>
    </row>
    <row r="333">
      <c r="K333" s="84" t="n"/>
    </row>
    <row r="334">
      <c r="K334" s="84" t="n"/>
    </row>
    <row r="335">
      <c r="K335" s="84" t="n"/>
    </row>
    <row r="336">
      <c r="K336" s="84" t="n"/>
    </row>
    <row r="337">
      <c r="K337" s="84" t="n"/>
    </row>
    <row r="338">
      <c r="K338" s="84" t="n"/>
    </row>
    <row r="339">
      <c r="K339" s="84" t="n"/>
    </row>
    <row r="340">
      <c r="K340" s="84" t="n"/>
    </row>
    <row r="341">
      <c r="K341" s="84" t="n"/>
    </row>
    <row r="342">
      <c r="K342" s="84" t="n"/>
    </row>
    <row r="343">
      <c r="K343" s="84" t="n"/>
    </row>
    <row r="344">
      <c r="K344" s="84" t="n"/>
    </row>
    <row r="345">
      <c r="K345" s="84" t="n"/>
    </row>
    <row r="346">
      <c r="K346" s="84" t="n"/>
    </row>
    <row r="347">
      <c r="K347" s="84" t="n"/>
    </row>
    <row r="348">
      <c r="K348" s="84" t="n"/>
    </row>
    <row r="349">
      <c r="K349" s="84" t="n"/>
    </row>
    <row r="350">
      <c r="K350" s="84" t="n"/>
    </row>
    <row r="351">
      <c r="K351" s="84" t="n"/>
    </row>
    <row r="352">
      <c r="K352" s="84" t="n"/>
    </row>
    <row r="353">
      <c r="K353" s="84" t="n"/>
    </row>
    <row r="354">
      <c r="K354" s="84" t="n"/>
    </row>
    <row r="355">
      <c r="K355" s="84" t="n"/>
    </row>
    <row r="356">
      <c r="K356" s="84" t="n"/>
    </row>
    <row r="357">
      <c r="K357" s="84" t="n"/>
    </row>
    <row r="358">
      <c r="K358" s="84" t="n"/>
    </row>
    <row r="359">
      <c r="K359" s="84" t="n"/>
    </row>
    <row r="360">
      <c r="K360" s="84" t="n"/>
    </row>
    <row r="361">
      <c r="K361" s="84" t="n"/>
    </row>
    <row r="362">
      <c r="K362" s="84" t="n"/>
    </row>
    <row r="363">
      <c r="K363" s="84" t="n"/>
    </row>
    <row r="364">
      <c r="K364" s="84" t="n"/>
    </row>
    <row r="365">
      <c r="K365" s="84" t="n"/>
    </row>
    <row r="366">
      <c r="K366" s="84" t="n"/>
    </row>
    <row r="367">
      <c r="K367" s="84" t="n"/>
    </row>
    <row r="368">
      <c r="K368" s="84" t="n"/>
    </row>
    <row r="369">
      <c r="K369" s="84" t="n"/>
    </row>
    <row r="370">
      <c r="K370" s="84" t="n"/>
    </row>
    <row r="371">
      <c r="K371" s="84" t="n"/>
    </row>
    <row r="372">
      <c r="K372" s="84" t="n"/>
    </row>
    <row r="373">
      <c r="K373" s="84" t="n"/>
    </row>
    <row r="374">
      <c r="K374" s="84" t="n"/>
    </row>
    <row r="375">
      <c r="K375" s="84" t="n"/>
    </row>
    <row r="376">
      <c r="K376" s="84" t="n"/>
    </row>
    <row r="377">
      <c r="K377" s="84" t="n"/>
    </row>
    <row r="378">
      <c r="K378" s="84" t="n"/>
    </row>
    <row r="379">
      <c r="K379" s="84" t="n"/>
    </row>
    <row r="380">
      <c r="K380" s="84" t="n"/>
    </row>
    <row r="381">
      <c r="K381" s="84" t="n"/>
    </row>
    <row r="382">
      <c r="K382" s="84" t="n"/>
    </row>
    <row r="383">
      <c r="K383" s="84" t="n"/>
    </row>
    <row r="384">
      <c r="K384" s="84" t="n"/>
    </row>
    <row r="385">
      <c r="K385" s="84" t="n"/>
    </row>
    <row r="386">
      <c r="K386" s="84" t="n"/>
    </row>
    <row r="387">
      <c r="K387" s="84" t="n"/>
    </row>
    <row r="388">
      <c r="K388" s="84" t="n"/>
    </row>
    <row r="389">
      <c r="K389" s="84" t="n"/>
    </row>
    <row r="390">
      <c r="K390" s="84" t="n"/>
    </row>
    <row r="391">
      <c r="K391" s="84" t="n"/>
    </row>
    <row r="392">
      <c r="K392" s="84" t="n"/>
    </row>
    <row r="393">
      <c r="K393" s="84" t="n"/>
    </row>
    <row r="394">
      <c r="K394" s="84" t="n"/>
    </row>
    <row r="395">
      <c r="K395" s="84" t="n"/>
    </row>
    <row r="396">
      <c r="K396" s="84" t="n"/>
    </row>
    <row r="397">
      <c r="K397" s="84" t="n"/>
    </row>
    <row r="398">
      <c r="K398" s="84" t="n"/>
    </row>
    <row r="399">
      <c r="K399" s="84" t="n"/>
    </row>
    <row r="400">
      <c r="K400" s="84" t="n"/>
    </row>
    <row r="401">
      <c r="K401" s="84" t="n"/>
    </row>
    <row r="402">
      <c r="K402" s="84" t="n"/>
    </row>
    <row r="403">
      <c r="K403" s="84" t="n"/>
    </row>
    <row r="404">
      <c r="K404" s="84" t="n"/>
    </row>
    <row r="405">
      <c r="K405" s="84" t="n"/>
    </row>
    <row r="406">
      <c r="K406" s="84" t="n"/>
    </row>
    <row r="407">
      <c r="K407" s="84" t="n"/>
    </row>
    <row r="408">
      <c r="K408" s="84" t="n"/>
    </row>
    <row r="409">
      <c r="K409" s="84" t="n"/>
    </row>
    <row r="410">
      <c r="K410" s="84" t="n"/>
    </row>
    <row r="411">
      <c r="K411" s="84" t="n"/>
    </row>
    <row r="412">
      <c r="K412" s="84" t="n"/>
    </row>
    <row r="413">
      <c r="K413" s="84" t="n"/>
    </row>
    <row r="414">
      <c r="K414" s="84" t="n"/>
    </row>
    <row r="415">
      <c r="K415" s="84" t="n"/>
    </row>
    <row r="416">
      <c r="K416" s="84" t="n"/>
    </row>
    <row r="417">
      <c r="K417" s="84" t="n"/>
    </row>
    <row r="418">
      <c r="K418" s="84" t="n"/>
    </row>
    <row r="419">
      <c r="K419" s="84" t="n"/>
    </row>
    <row r="420">
      <c r="K420" s="84" t="n"/>
    </row>
    <row r="421">
      <c r="K421" s="84" t="n"/>
    </row>
    <row r="422">
      <c r="K422" s="84" t="n"/>
    </row>
    <row r="423">
      <c r="K423" s="84" t="n"/>
    </row>
    <row r="424">
      <c r="K424" s="84" t="n"/>
    </row>
    <row r="425">
      <c r="K425" s="84" t="n"/>
    </row>
    <row r="426">
      <c r="K426" s="84" t="n"/>
    </row>
    <row r="427">
      <c r="K427" s="84" t="n"/>
    </row>
    <row r="428">
      <c r="K428" s="84" t="n"/>
    </row>
    <row r="429">
      <c r="K429" s="84" t="n"/>
    </row>
    <row r="430">
      <c r="K430" s="84" t="n"/>
    </row>
    <row r="431">
      <c r="K431" s="84" t="n"/>
    </row>
    <row r="432">
      <c r="K432" s="84" t="n"/>
    </row>
    <row r="433">
      <c r="K433" s="84" t="n"/>
    </row>
    <row r="434">
      <c r="K434" s="84" t="n"/>
    </row>
    <row r="435">
      <c r="K435" s="84" t="n"/>
    </row>
    <row r="436">
      <c r="K436" s="84" t="n"/>
    </row>
    <row r="437">
      <c r="K437" s="84" t="n"/>
    </row>
    <row r="438">
      <c r="K438" s="84" t="n"/>
    </row>
    <row r="439">
      <c r="K439" s="84" t="n"/>
    </row>
    <row r="440">
      <c r="K440" s="84" t="n"/>
    </row>
    <row r="441">
      <c r="K441" s="84" t="n"/>
    </row>
    <row r="442">
      <c r="K442" s="84" t="n"/>
    </row>
    <row r="443">
      <c r="K443" s="84" t="n"/>
    </row>
    <row r="444">
      <c r="K444" s="84" t="n"/>
    </row>
    <row r="445">
      <c r="K445" s="84" t="n"/>
    </row>
    <row r="446">
      <c r="K446" s="84" t="n"/>
    </row>
    <row r="447">
      <c r="K447" s="84" t="n"/>
    </row>
    <row r="448">
      <c r="K448" s="84" t="n"/>
    </row>
    <row r="449">
      <c r="K449" s="84" t="n"/>
    </row>
    <row r="450">
      <c r="K450" s="84" t="n"/>
    </row>
    <row r="451">
      <c r="K451" s="84" t="n"/>
    </row>
    <row r="452">
      <c r="K452" s="84" t="n"/>
    </row>
    <row r="453">
      <c r="K453" s="84" t="n"/>
    </row>
    <row r="454">
      <c r="K454" s="84" t="n"/>
    </row>
    <row r="455">
      <c r="K455" s="84" t="n"/>
    </row>
    <row r="456">
      <c r="K456" s="84" t="n"/>
    </row>
    <row r="457">
      <c r="K457" s="84" t="n"/>
    </row>
    <row r="458">
      <c r="K458" s="84" t="n"/>
    </row>
    <row r="459">
      <c r="K459" s="84" t="n"/>
    </row>
    <row r="460">
      <c r="K460" s="84" t="n"/>
    </row>
    <row r="461">
      <c r="K461" s="84" t="n"/>
    </row>
    <row r="462">
      <c r="K462" s="84" t="n"/>
    </row>
    <row r="463">
      <c r="K463" s="84" t="n"/>
    </row>
    <row r="464">
      <c r="K464" s="84" t="n"/>
    </row>
    <row r="465">
      <c r="K465" s="84" t="n"/>
    </row>
    <row r="466">
      <c r="K466" s="84" t="n"/>
    </row>
    <row r="467">
      <c r="K467" s="84" t="n"/>
    </row>
    <row r="468">
      <c r="K468" s="84" t="n"/>
    </row>
    <row r="469">
      <c r="K469" s="84" t="n"/>
    </row>
    <row r="470">
      <c r="K470" s="84" t="n"/>
    </row>
    <row r="471">
      <c r="K471" s="84" t="n"/>
    </row>
    <row r="472">
      <c r="K472" s="84" t="n"/>
    </row>
    <row r="473">
      <c r="K473" s="84" t="n"/>
    </row>
    <row r="474">
      <c r="K474" s="84" t="n"/>
    </row>
    <row r="475">
      <c r="K475" s="84" t="n"/>
    </row>
    <row r="476">
      <c r="K476" s="84" t="n"/>
    </row>
    <row r="477">
      <c r="K477" s="84" t="n"/>
    </row>
    <row r="478">
      <c r="K478" s="84" t="n"/>
    </row>
    <row r="479">
      <c r="K479" s="84" t="n"/>
    </row>
    <row r="480">
      <c r="K480" s="84" t="n"/>
    </row>
    <row r="481">
      <c r="K481" s="84" t="n"/>
    </row>
    <row r="482">
      <c r="K482" s="84" t="n"/>
    </row>
    <row r="483">
      <c r="K483" s="84" t="n"/>
    </row>
    <row r="484">
      <c r="K484" s="84" t="n"/>
    </row>
    <row r="485">
      <c r="K485" s="84" t="n"/>
    </row>
    <row r="486">
      <c r="K486" s="84" t="n"/>
    </row>
    <row r="487">
      <c r="K487" s="84" t="n"/>
    </row>
    <row r="488">
      <c r="K488" s="84" t="n"/>
    </row>
    <row r="489">
      <c r="K489" s="84" t="n"/>
    </row>
    <row r="490">
      <c r="K490" s="84" t="n"/>
    </row>
    <row r="491">
      <c r="K491" s="84" t="n"/>
    </row>
    <row r="492">
      <c r="K492" s="84" t="n"/>
    </row>
    <row r="493">
      <c r="K493" s="84" t="n"/>
    </row>
    <row r="494">
      <c r="K494" s="84" t="n"/>
    </row>
    <row r="495">
      <c r="K495" s="84" t="n"/>
    </row>
    <row r="496">
      <c r="K496" s="84" t="n"/>
    </row>
    <row r="497">
      <c r="K497" s="84" t="n"/>
    </row>
    <row r="498">
      <c r="K498" s="84" t="n"/>
    </row>
    <row r="499">
      <c r="K499" s="84" t="n"/>
    </row>
    <row r="500">
      <c r="K500" s="84" t="n"/>
    </row>
    <row r="501">
      <c r="K501" s="84" t="n"/>
    </row>
    <row r="502">
      <c r="K502" s="84" t="n"/>
    </row>
    <row r="503">
      <c r="K503" s="84" t="n"/>
    </row>
    <row r="504">
      <c r="K504" s="84" t="n"/>
    </row>
    <row r="505">
      <c r="K505" s="84" t="n"/>
    </row>
    <row r="506">
      <c r="K506" s="84" t="n"/>
    </row>
    <row r="507">
      <c r="K507" s="84" t="n"/>
    </row>
    <row r="508">
      <c r="K508" s="84" t="n"/>
    </row>
    <row r="509">
      <c r="K509" s="84" t="n"/>
    </row>
    <row r="510">
      <c r="K510" s="84" t="n"/>
    </row>
    <row r="511">
      <c r="K511" s="84" t="n"/>
    </row>
    <row r="512">
      <c r="K512" s="84" t="n"/>
    </row>
    <row r="513">
      <c r="K513" s="84" t="n"/>
    </row>
    <row r="514">
      <c r="K514" s="84" t="n"/>
    </row>
    <row r="515">
      <c r="K515" s="84" t="n"/>
    </row>
    <row r="516">
      <c r="K516" s="84" t="n"/>
    </row>
    <row r="517">
      <c r="K517" s="84" t="n"/>
    </row>
    <row r="518">
      <c r="K518" s="84" t="n"/>
    </row>
    <row r="519">
      <c r="K519" s="84" t="n"/>
    </row>
    <row r="520">
      <c r="K520" s="84" t="n"/>
    </row>
    <row r="521">
      <c r="K521" s="84" t="n"/>
    </row>
    <row r="522">
      <c r="K522" s="84" t="n"/>
    </row>
    <row r="523">
      <c r="K523" s="84" t="n"/>
    </row>
    <row r="524">
      <c r="K524" s="84" t="n"/>
    </row>
    <row r="525">
      <c r="K525" s="84" t="n"/>
    </row>
    <row r="526">
      <c r="K526" s="84" t="n"/>
    </row>
    <row r="527">
      <c r="K527" s="84" t="n"/>
    </row>
    <row r="528">
      <c r="K528" s="84" t="n"/>
    </row>
    <row r="529">
      <c r="K529" s="84" t="n"/>
    </row>
    <row r="530">
      <c r="K530" s="84" t="n"/>
    </row>
    <row r="531">
      <c r="K531" s="84" t="n"/>
    </row>
    <row r="532">
      <c r="K532" s="84" t="n"/>
    </row>
    <row r="533">
      <c r="K533" s="84" t="n"/>
    </row>
    <row r="534">
      <c r="K534" s="84" t="n"/>
    </row>
    <row r="535">
      <c r="K535" s="84" t="n"/>
    </row>
    <row r="536">
      <c r="K536" s="84" t="n"/>
    </row>
    <row r="537">
      <c r="K537" s="84" t="n"/>
    </row>
    <row r="538">
      <c r="K538" s="84" t="n"/>
    </row>
    <row r="539">
      <c r="K539" s="84" t="n"/>
    </row>
    <row r="540">
      <c r="K540" s="84" t="n"/>
    </row>
    <row r="541">
      <c r="K541" s="84" t="n"/>
    </row>
    <row r="542">
      <c r="K542" s="84" t="n"/>
    </row>
    <row r="543">
      <c r="K543" s="84" t="n"/>
    </row>
    <row r="544">
      <c r="K544" s="84" t="n"/>
    </row>
    <row r="545">
      <c r="K545" s="84" t="n"/>
    </row>
    <row r="546">
      <c r="K546" s="84" t="n"/>
    </row>
    <row r="547">
      <c r="K547" s="84" t="n"/>
    </row>
    <row r="548">
      <c r="K548" s="84" t="n"/>
    </row>
    <row r="549">
      <c r="K549" s="84" t="n"/>
    </row>
    <row r="550">
      <c r="K550" s="84" t="n"/>
    </row>
    <row r="551">
      <c r="K551" s="84" t="n"/>
    </row>
    <row r="552">
      <c r="K552" s="84" t="n"/>
    </row>
    <row r="553">
      <c r="K553" s="84" t="n"/>
    </row>
    <row r="554">
      <c r="K554" s="84" t="n"/>
    </row>
    <row r="555">
      <c r="K555" s="84" t="n"/>
    </row>
    <row r="556">
      <c r="K556" s="84" t="n"/>
    </row>
    <row r="557">
      <c r="K557" s="84" t="n"/>
    </row>
    <row r="558">
      <c r="K558" s="84" t="n"/>
    </row>
    <row r="559">
      <c r="K559" s="84" t="n"/>
    </row>
    <row r="560">
      <c r="K560" s="84" t="n"/>
    </row>
    <row r="561">
      <c r="K561" s="84" t="n"/>
    </row>
    <row r="562">
      <c r="K562" s="84" t="n"/>
    </row>
    <row r="563">
      <c r="K563" s="84" t="n"/>
    </row>
    <row r="564">
      <c r="K564" s="84" t="n"/>
    </row>
    <row r="565">
      <c r="K565" s="84" t="n"/>
    </row>
    <row r="566">
      <c r="K566" s="84" t="n"/>
    </row>
    <row r="567">
      <c r="K567" s="84" t="n"/>
    </row>
    <row r="568">
      <c r="K568" s="84" t="n"/>
    </row>
    <row r="569">
      <c r="K569" s="84" t="n"/>
    </row>
    <row r="570">
      <c r="K570" s="84" t="n"/>
    </row>
    <row r="571">
      <c r="K571" s="84" t="n"/>
    </row>
    <row r="572">
      <c r="K572" s="84" t="n"/>
    </row>
    <row r="573">
      <c r="K573" s="84" t="n"/>
    </row>
    <row r="574">
      <c r="K574" s="84" t="n"/>
    </row>
    <row r="575">
      <c r="K575" s="84" t="n"/>
    </row>
    <row r="576">
      <c r="K576" s="84" t="n"/>
    </row>
    <row r="577">
      <c r="K577" s="84" t="n"/>
    </row>
    <row r="578">
      <c r="K578" s="84" t="n"/>
    </row>
    <row r="579">
      <c r="K579" s="84" t="n"/>
    </row>
    <row r="580">
      <c r="K580" s="84" t="n"/>
    </row>
    <row r="581">
      <c r="K581" s="84" t="n"/>
    </row>
    <row r="582">
      <c r="K582" s="84" t="n"/>
    </row>
    <row r="583">
      <c r="K583" s="84" t="n"/>
    </row>
    <row r="584">
      <c r="K584" s="84" t="n"/>
    </row>
    <row r="585">
      <c r="K585" s="84" t="n"/>
    </row>
    <row r="586">
      <c r="K586" s="84" t="n"/>
    </row>
    <row r="587">
      <c r="K587" s="84" t="n"/>
    </row>
    <row r="588">
      <c r="K588" s="84" t="n"/>
    </row>
    <row r="589">
      <c r="K589" s="84" t="n"/>
    </row>
    <row r="590">
      <c r="K590" s="84" t="n"/>
    </row>
    <row r="591">
      <c r="K591" s="84" t="n"/>
    </row>
    <row r="592">
      <c r="K592" s="84" t="n"/>
    </row>
    <row r="593">
      <c r="K593" s="84" t="n"/>
    </row>
    <row r="594">
      <c r="K594" s="84" t="n"/>
    </row>
    <row r="595">
      <c r="K595" s="84" t="n"/>
    </row>
    <row r="596">
      <c r="K596" s="84" t="n"/>
    </row>
    <row r="597">
      <c r="K597" s="84" t="n"/>
    </row>
    <row r="598">
      <c r="K598" s="84" t="n"/>
    </row>
    <row r="599">
      <c r="K599" s="84" t="n"/>
    </row>
    <row r="600">
      <c r="K600" s="84" t="n"/>
    </row>
    <row r="601">
      <c r="K601" s="84" t="n"/>
    </row>
    <row r="602">
      <c r="K602" s="84" t="n"/>
    </row>
    <row r="603">
      <c r="K603" s="84" t="n"/>
    </row>
    <row r="604">
      <c r="K604" s="84" t="n"/>
    </row>
    <row r="605">
      <c r="K605" s="84" t="n"/>
    </row>
    <row r="606">
      <c r="K606" s="84" t="n"/>
    </row>
    <row r="607">
      <c r="K607" s="84" t="n"/>
    </row>
    <row r="608">
      <c r="K608" s="84" t="n"/>
    </row>
    <row r="609">
      <c r="K609" s="84" t="n"/>
    </row>
    <row r="610">
      <c r="K610" s="84" t="n"/>
    </row>
    <row r="611">
      <c r="K611" s="84" t="n"/>
    </row>
    <row r="612">
      <c r="K612" s="84" t="n"/>
    </row>
    <row r="613">
      <c r="K613" s="84" t="n"/>
    </row>
    <row r="614">
      <c r="K614" s="84" t="n"/>
    </row>
    <row r="615">
      <c r="K615" s="84" t="n"/>
    </row>
    <row r="616">
      <c r="K616" s="84" t="n"/>
    </row>
    <row r="617">
      <c r="K617" s="84" t="n"/>
    </row>
    <row r="618">
      <c r="K618" s="84" t="n"/>
    </row>
    <row r="619">
      <c r="K619" s="84" t="n"/>
    </row>
    <row r="620">
      <c r="K620" s="84" t="n"/>
    </row>
    <row r="621">
      <c r="K621" s="84" t="n"/>
    </row>
    <row r="622">
      <c r="K622" s="84" t="n"/>
    </row>
    <row r="623">
      <c r="K623" s="84" t="n"/>
    </row>
    <row r="624">
      <c r="K624" s="84" t="n"/>
    </row>
    <row r="625">
      <c r="K625" s="84" t="n"/>
    </row>
    <row r="626">
      <c r="K626" s="84" t="n"/>
    </row>
    <row r="627">
      <c r="K627" s="84" t="n"/>
    </row>
    <row r="628">
      <c r="K628" s="84" t="n"/>
    </row>
    <row r="629">
      <c r="K629" s="84" t="n"/>
    </row>
    <row r="630">
      <c r="K630" s="84" t="n"/>
    </row>
    <row r="631">
      <c r="K631" s="84" t="n"/>
    </row>
    <row r="632">
      <c r="K632" s="84" t="n"/>
    </row>
    <row r="633">
      <c r="K633" s="84" t="n"/>
    </row>
    <row r="634">
      <c r="K634" s="84" t="n"/>
    </row>
    <row r="635">
      <c r="K635" s="84" t="n"/>
    </row>
    <row r="636">
      <c r="K636" s="84" t="n"/>
    </row>
    <row r="637">
      <c r="K637" s="84" t="n"/>
    </row>
    <row r="638">
      <c r="K638" s="84" t="n"/>
    </row>
    <row r="639">
      <c r="K639" s="84" t="n"/>
    </row>
    <row r="640">
      <c r="K640" s="84" t="n"/>
    </row>
    <row r="641">
      <c r="K641" s="84" t="n"/>
    </row>
    <row r="642">
      <c r="K642" s="84" t="n"/>
    </row>
    <row r="643">
      <c r="K643" s="84" t="n"/>
    </row>
    <row r="644">
      <c r="K644" s="84" t="n"/>
    </row>
    <row r="645">
      <c r="K645" s="84" t="n"/>
    </row>
    <row r="646">
      <c r="K646" s="84" t="n"/>
    </row>
    <row r="647">
      <c r="K647" s="84" t="n"/>
    </row>
    <row r="648">
      <c r="K648" s="84" t="n"/>
    </row>
    <row r="649">
      <c r="K649" s="84" t="n"/>
    </row>
    <row r="650">
      <c r="K650" s="84" t="n"/>
    </row>
    <row r="651">
      <c r="K651" s="84" t="n"/>
    </row>
    <row r="652">
      <c r="K652" s="84" t="n"/>
    </row>
    <row r="653">
      <c r="K653" s="84" t="n"/>
    </row>
    <row r="654">
      <c r="K654" s="84" t="n"/>
    </row>
    <row r="655">
      <c r="K655" s="84" t="n"/>
    </row>
    <row r="656">
      <c r="K656" s="84" t="n"/>
    </row>
    <row r="657">
      <c r="K657" s="84" t="n"/>
    </row>
    <row r="658">
      <c r="K658" s="84" t="n"/>
    </row>
    <row r="659">
      <c r="K659" s="84" t="n"/>
    </row>
    <row r="660">
      <c r="K660" s="84" t="n"/>
    </row>
    <row r="661">
      <c r="K661" s="84" t="n"/>
    </row>
    <row r="662">
      <c r="K662" s="84" t="n"/>
    </row>
    <row r="663">
      <c r="K663" s="84" t="n"/>
    </row>
    <row r="664">
      <c r="K664" s="84" t="n"/>
    </row>
    <row r="665">
      <c r="K665" s="84" t="n"/>
    </row>
    <row r="666">
      <c r="K666" s="84" t="n"/>
    </row>
    <row r="667">
      <c r="K667" s="84" t="n"/>
    </row>
    <row r="668">
      <c r="K668" s="84" t="n"/>
    </row>
    <row r="669">
      <c r="K669" s="84" t="n"/>
    </row>
    <row r="670">
      <c r="K670" s="84" t="n"/>
    </row>
    <row r="671">
      <c r="K671" s="84" t="n"/>
    </row>
    <row r="672">
      <c r="K672" s="84" t="n"/>
    </row>
    <row r="673">
      <c r="K673" s="84" t="n"/>
    </row>
    <row r="674">
      <c r="K674" s="84" t="n"/>
    </row>
    <row r="675">
      <c r="K675" s="84" t="n"/>
    </row>
    <row r="676">
      <c r="K676" s="84" t="n"/>
    </row>
    <row r="677">
      <c r="K677" s="84" t="n"/>
    </row>
    <row r="678">
      <c r="K678" s="84" t="n"/>
    </row>
    <row r="679">
      <c r="K679" s="84" t="n"/>
    </row>
    <row r="680">
      <c r="K680" s="84" t="n"/>
    </row>
    <row r="681">
      <c r="K681" s="84" t="n"/>
    </row>
    <row r="682">
      <c r="K682" s="84" t="n"/>
    </row>
    <row r="683">
      <c r="K683" s="84" t="n"/>
    </row>
    <row r="684">
      <c r="K684" s="84" t="n"/>
    </row>
    <row r="685">
      <c r="K685" s="84" t="n"/>
    </row>
    <row r="686">
      <c r="K686" s="84" t="n"/>
    </row>
    <row r="687">
      <c r="K687" s="84" t="n"/>
    </row>
    <row r="688">
      <c r="K688" s="84" t="n"/>
    </row>
    <row r="689">
      <c r="K689" s="84" t="n"/>
    </row>
    <row r="690">
      <c r="K690" s="84" t="n"/>
    </row>
    <row r="691">
      <c r="K691" s="84" t="n"/>
    </row>
    <row r="692">
      <c r="K692" s="84" t="n"/>
    </row>
    <row r="693">
      <c r="K693" s="84" t="n"/>
    </row>
    <row r="694">
      <c r="K694" s="84" t="n"/>
    </row>
    <row r="695">
      <c r="K695" s="84" t="n"/>
    </row>
    <row r="696">
      <c r="K696" s="84" t="n"/>
    </row>
    <row r="697">
      <c r="K697" s="84" t="n"/>
    </row>
    <row r="698">
      <c r="K698" s="84" t="n"/>
    </row>
    <row r="699">
      <c r="K699" s="84" t="n"/>
    </row>
    <row r="700">
      <c r="K700" s="84" t="n"/>
    </row>
    <row r="701">
      <c r="K701" s="84" t="n"/>
    </row>
    <row r="702">
      <c r="K702" s="84" t="n"/>
    </row>
    <row r="703">
      <c r="K703" s="84" t="n"/>
    </row>
    <row r="704">
      <c r="K704" s="84" t="n"/>
    </row>
    <row r="705">
      <c r="K705" s="84" t="n"/>
    </row>
    <row r="706">
      <c r="K706" s="84" t="n"/>
    </row>
    <row r="707">
      <c r="K707" s="84" t="n"/>
    </row>
    <row r="708">
      <c r="K708" s="84" t="n"/>
    </row>
    <row r="709">
      <c r="K709" s="84" t="n"/>
    </row>
    <row r="710">
      <c r="K710" s="84" t="n"/>
    </row>
    <row r="711">
      <c r="K711" s="84" t="n"/>
    </row>
    <row r="712">
      <c r="K712" s="84" t="n"/>
    </row>
    <row r="713">
      <c r="K713" s="84" t="n"/>
    </row>
    <row r="714">
      <c r="K714" s="84" t="n"/>
    </row>
    <row r="715">
      <c r="K715" s="84" t="n"/>
    </row>
    <row r="716">
      <c r="K716" s="84" t="n"/>
    </row>
    <row r="717">
      <c r="K717" s="84" t="n"/>
    </row>
    <row r="718">
      <c r="K718" s="84" t="n"/>
    </row>
    <row r="719">
      <c r="K719" s="84" t="n"/>
    </row>
    <row r="720">
      <c r="K720" s="84" t="n"/>
    </row>
    <row r="721">
      <c r="K721" s="84" t="n"/>
    </row>
    <row r="722">
      <c r="K722" s="84" t="n"/>
    </row>
    <row r="723">
      <c r="K723" s="84" t="n"/>
    </row>
    <row r="724">
      <c r="K724" s="84" t="n"/>
    </row>
    <row r="725">
      <c r="K725" s="84" t="n"/>
    </row>
    <row r="726">
      <c r="K726" s="84" t="n"/>
    </row>
    <row r="727">
      <c r="K727" s="84" t="n"/>
    </row>
    <row r="728">
      <c r="K728" s="84" t="n"/>
    </row>
    <row r="729">
      <c r="K729" s="84" t="n"/>
    </row>
    <row r="730">
      <c r="K730" s="84" t="n"/>
    </row>
    <row r="731">
      <c r="K731" s="84" t="n"/>
    </row>
    <row r="732">
      <c r="K732" s="84" t="n"/>
    </row>
    <row r="733">
      <c r="K733" s="84" t="n"/>
    </row>
    <row r="734">
      <c r="K734" s="84" t="n"/>
    </row>
    <row r="735">
      <c r="K735" s="84" t="n"/>
    </row>
    <row r="736">
      <c r="K736" s="84" t="n"/>
    </row>
    <row r="737">
      <c r="K737" s="84" t="n"/>
    </row>
    <row r="738">
      <c r="K738" s="84" t="n"/>
    </row>
    <row r="739">
      <c r="K739" s="84" t="n"/>
    </row>
    <row r="740">
      <c r="K740" s="84" t="n"/>
    </row>
    <row r="741">
      <c r="K741" s="84" t="n"/>
    </row>
    <row r="742">
      <c r="K742" s="84" t="n"/>
    </row>
    <row r="743">
      <c r="K743" s="84" t="n"/>
    </row>
    <row r="744">
      <c r="K744" s="84" t="n"/>
    </row>
    <row r="745">
      <c r="K745" s="84" t="n"/>
    </row>
    <row r="746">
      <c r="K746" s="84" t="n"/>
    </row>
    <row r="747">
      <c r="K747" s="84" t="n"/>
    </row>
    <row r="748">
      <c r="K748" s="84" t="n"/>
    </row>
    <row r="749">
      <c r="K749" s="84" t="n"/>
    </row>
    <row r="750">
      <c r="K750" s="84" t="n"/>
    </row>
    <row r="751">
      <c r="K751" s="84" t="n"/>
    </row>
    <row r="752">
      <c r="K752" s="84" t="n"/>
    </row>
    <row r="753">
      <c r="K753" s="84" t="n"/>
    </row>
    <row r="754">
      <c r="K754" s="84" t="n"/>
    </row>
    <row r="755">
      <c r="K755" s="84" t="n"/>
    </row>
    <row r="756">
      <c r="K756" s="84" t="n"/>
    </row>
    <row r="757">
      <c r="K757" s="84" t="n"/>
    </row>
    <row r="758">
      <c r="K758" s="84" t="n"/>
    </row>
    <row r="759">
      <c r="K759" s="84" t="n"/>
    </row>
    <row r="760">
      <c r="K760" s="84" t="n"/>
    </row>
    <row r="761">
      <c r="K761" s="84" t="n"/>
    </row>
    <row r="762">
      <c r="K762" s="84" t="n"/>
    </row>
    <row r="763">
      <c r="K763" s="84" t="n"/>
    </row>
    <row r="764">
      <c r="K764" s="84" t="n"/>
    </row>
    <row r="765">
      <c r="K765" s="84" t="n"/>
    </row>
    <row r="766">
      <c r="K766" s="84" t="n"/>
    </row>
    <row r="767">
      <c r="K767" s="84" t="n"/>
    </row>
    <row r="768">
      <c r="K768" s="84" t="n"/>
    </row>
    <row r="769">
      <c r="K769" s="84" t="n"/>
    </row>
    <row r="770">
      <c r="K770" s="84" t="n"/>
    </row>
    <row r="771">
      <c r="K771" s="84" t="n"/>
    </row>
    <row r="772">
      <c r="K772" s="84" t="n"/>
    </row>
    <row r="773">
      <c r="K773" s="84" t="n"/>
    </row>
    <row r="774">
      <c r="K774" s="84" t="n"/>
    </row>
    <row r="775">
      <c r="K775" s="84" t="n"/>
    </row>
    <row r="776">
      <c r="K776" s="84" t="n"/>
    </row>
    <row r="777">
      <c r="K777" s="84" t="n"/>
    </row>
    <row r="778">
      <c r="K778" s="84" t="n"/>
    </row>
    <row r="779">
      <c r="K779" s="84" t="n"/>
    </row>
    <row r="780">
      <c r="K780" s="84" t="n"/>
    </row>
    <row r="781">
      <c r="K781" s="84" t="n"/>
    </row>
    <row r="782">
      <c r="K782" s="84" t="n"/>
    </row>
    <row r="783">
      <c r="K783" s="84" t="n"/>
    </row>
    <row r="784">
      <c r="K784" s="84" t="n"/>
    </row>
    <row r="785">
      <c r="K785" s="84" t="n"/>
    </row>
    <row r="786">
      <c r="K786" s="84" t="n"/>
    </row>
    <row r="787">
      <c r="K787" s="84" t="n"/>
    </row>
    <row r="788">
      <c r="K788" s="84" t="n"/>
    </row>
    <row r="789">
      <c r="K789" s="84" t="n"/>
    </row>
    <row r="790">
      <c r="K790" s="84" t="n"/>
    </row>
    <row r="791">
      <c r="K791" s="84" t="n"/>
    </row>
    <row r="792">
      <c r="K792" s="84" t="n"/>
    </row>
    <row r="793">
      <c r="K793" s="84" t="n"/>
    </row>
    <row r="794">
      <c r="K794" s="84" t="n"/>
    </row>
    <row r="795">
      <c r="K795" s="84" t="n"/>
    </row>
    <row r="796">
      <c r="K796" s="84" t="n"/>
    </row>
    <row r="797">
      <c r="K797" s="84" t="n"/>
    </row>
    <row r="798">
      <c r="K798" s="84" t="n"/>
    </row>
    <row r="799">
      <c r="K799" s="84" t="n"/>
    </row>
    <row r="800">
      <c r="K800" s="84" t="n"/>
    </row>
    <row r="801">
      <c r="K801" s="84" t="n"/>
    </row>
    <row r="802">
      <c r="K802" s="84" t="n"/>
    </row>
    <row r="803">
      <c r="K803" s="84" t="n"/>
    </row>
    <row r="804">
      <c r="K804" s="84" t="n"/>
    </row>
    <row r="805">
      <c r="K805" s="84" t="n"/>
    </row>
    <row r="806">
      <c r="K806" s="84" t="n"/>
    </row>
    <row r="807">
      <c r="K807" s="84" t="n"/>
    </row>
    <row r="808">
      <c r="K808" s="84" t="n"/>
    </row>
    <row r="809">
      <c r="K809" s="84" t="n"/>
    </row>
    <row r="810">
      <c r="K810" s="84" t="n"/>
    </row>
    <row r="811">
      <c r="K811" s="84" t="n"/>
    </row>
    <row r="812">
      <c r="K812" s="84" t="n"/>
    </row>
    <row r="813">
      <c r="K813" s="84" t="n"/>
    </row>
    <row r="814">
      <c r="K814" s="84" t="n"/>
    </row>
    <row r="815">
      <c r="K815" s="84" t="n"/>
    </row>
    <row r="816">
      <c r="K816" s="84" t="n"/>
    </row>
    <row r="817">
      <c r="K817" s="84" t="n"/>
    </row>
    <row r="818">
      <c r="K818" s="84" t="n"/>
    </row>
    <row r="819">
      <c r="K819" s="84" t="n"/>
    </row>
    <row r="820">
      <c r="K820" s="84" t="n"/>
    </row>
    <row r="821">
      <c r="K821" s="84" t="n"/>
    </row>
    <row r="822">
      <c r="K822" s="84" t="n"/>
    </row>
    <row r="823">
      <c r="K823" s="84" t="n"/>
    </row>
    <row r="824">
      <c r="K824" s="84" t="n"/>
    </row>
    <row r="825">
      <c r="K825" s="84" t="n"/>
    </row>
    <row r="826">
      <c r="K826" s="84" t="n"/>
    </row>
    <row r="827">
      <c r="K827" s="84" t="n"/>
    </row>
    <row r="828">
      <c r="K828" s="84" t="n"/>
    </row>
    <row r="829">
      <c r="K829" s="84" t="n"/>
    </row>
    <row r="830">
      <c r="K830" s="84" t="n"/>
    </row>
    <row r="831">
      <c r="K831" s="84" t="n"/>
    </row>
    <row r="832">
      <c r="K832" s="84" t="n"/>
    </row>
    <row r="833">
      <c r="K833" s="84" t="n"/>
    </row>
    <row r="834">
      <c r="K834" s="84" t="n"/>
    </row>
    <row r="835">
      <c r="K835" s="84" t="n"/>
    </row>
    <row r="836">
      <c r="K836" s="84" t="n"/>
    </row>
    <row r="837">
      <c r="K837" s="84" t="n"/>
    </row>
    <row r="838">
      <c r="K838" s="84" t="n"/>
    </row>
    <row r="839">
      <c r="K839" s="84" t="n"/>
    </row>
    <row r="840">
      <c r="K840" s="84" t="n"/>
    </row>
    <row r="841">
      <c r="K841" s="84" t="n"/>
    </row>
    <row r="842">
      <c r="K842" s="84" t="n"/>
    </row>
    <row r="843">
      <c r="K843" s="84" t="n"/>
    </row>
    <row r="844">
      <c r="K844" s="84" t="n"/>
    </row>
    <row r="845">
      <c r="K845" s="84" t="n"/>
    </row>
    <row r="846">
      <c r="K846" s="84" t="n"/>
    </row>
    <row r="847">
      <c r="K847" s="84" t="n"/>
    </row>
    <row r="848">
      <c r="K848" s="84" t="n"/>
    </row>
    <row r="849">
      <c r="K849" s="84" t="n"/>
    </row>
    <row r="850">
      <c r="K850" s="84" t="n"/>
    </row>
    <row r="851">
      <c r="K851" s="84" t="n"/>
    </row>
    <row r="852">
      <c r="K852" s="84" t="n"/>
    </row>
    <row r="853">
      <c r="K853" s="84" t="n"/>
    </row>
    <row r="854">
      <c r="K854" s="84" t="n"/>
    </row>
    <row r="855">
      <c r="K855" s="84" t="n"/>
    </row>
    <row r="856">
      <c r="K856" s="84" t="n"/>
    </row>
    <row r="857">
      <c r="K857" s="84" t="n"/>
    </row>
    <row r="858">
      <c r="K858" s="84" t="n"/>
    </row>
    <row r="859">
      <c r="K859" s="84" t="n"/>
    </row>
    <row r="860">
      <c r="K860" s="84" t="n"/>
    </row>
    <row r="861">
      <c r="K861" s="84" t="n"/>
    </row>
    <row r="862">
      <c r="K862" s="84" t="n"/>
    </row>
    <row r="863">
      <c r="K863" s="84" t="n"/>
    </row>
    <row r="864">
      <c r="K864" s="84" t="n"/>
    </row>
    <row r="865">
      <c r="K865" s="84" t="n"/>
    </row>
    <row r="866">
      <c r="K866" s="84" t="n"/>
    </row>
    <row r="867">
      <c r="K867" s="84" t="n"/>
    </row>
    <row r="868">
      <c r="K868" s="84" t="n"/>
    </row>
    <row r="869">
      <c r="K869" s="84" t="n"/>
    </row>
    <row r="870">
      <c r="K870" s="84" t="n"/>
    </row>
    <row r="871">
      <c r="K871" s="84" t="n"/>
    </row>
    <row r="872">
      <c r="K872" s="84" t="n"/>
    </row>
    <row r="873">
      <c r="K873" s="84" t="n"/>
    </row>
    <row r="874">
      <c r="K874" s="84" t="n"/>
    </row>
    <row r="875">
      <c r="K875" s="84" t="n"/>
    </row>
    <row r="876">
      <c r="K876" s="84" t="n"/>
    </row>
    <row r="877">
      <c r="K877" s="84" t="n"/>
    </row>
    <row r="878">
      <c r="K878" s="84" t="n"/>
    </row>
    <row r="879">
      <c r="K879" s="84" t="n"/>
    </row>
    <row r="880">
      <c r="K880" s="84" t="n"/>
    </row>
    <row r="881">
      <c r="K881" s="84" t="n"/>
    </row>
    <row r="882">
      <c r="K882" s="84" t="n"/>
    </row>
    <row r="883">
      <c r="K883" s="84" t="n"/>
    </row>
    <row r="884">
      <c r="K884" s="84" t="n"/>
    </row>
    <row r="885">
      <c r="K885" s="84" t="n"/>
    </row>
    <row r="886">
      <c r="K886" s="84" t="n"/>
    </row>
    <row r="887">
      <c r="K887" s="84" t="n"/>
    </row>
    <row r="888">
      <c r="K888" s="84" t="n"/>
    </row>
    <row r="889">
      <c r="K889" s="84" t="n"/>
    </row>
    <row r="890">
      <c r="K890" s="84" t="n"/>
    </row>
    <row r="891">
      <c r="K891" s="84" t="n"/>
    </row>
    <row r="892">
      <c r="K892" s="84" t="n"/>
    </row>
    <row r="893">
      <c r="K893" s="84" t="n"/>
    </row>
    <row r="894">
      <c r="K894" s="84" t="n"/>
    </row>
    <row r="895">
      <c r="K895" s="84" t="n"/>
    </row>
    <row r="896">
      <c r="K896" s="84" t="n"/>
    </row>
    <row r="897">
      <c r="K897" s="84" t="n"/>
    </row>
    <row r="898">
      <c r="K898" s="84" t="n"/>
    </row>
    <row r="899">
      <c r="K899" s="84" t="n"/>
    </row>
    <row r="900">
      <c r="K900" s="84" t="n"/>
    </row>
    <row r="901">
      <c r="K901" s="84" t="n"/>
    </row>
    <row r="902">
      <c r="K902" s="84" t="n"/>
    </row>
    <row r="903">
      <c r="K903" s="84" t="n"/>
    </row>
    <row r="904">
      <c r="K904" s="84" t="n"/>
    </row>
    <row r="905">
      <c r="K905" s="84" t="n"/>
    </row>
    <row r="906">
      <c r="K906" s="84" t="n"/>
    </row>
    <row r="907">
      <c r="K907" s="84" t="n"/>
    </row>
    <row r="908">
      <c r="K908" s="84" t="n"/>
    </row>
    <row r="909">
      <c r="K909" s="84" t="n"/>
    </row>
    <row r="910">
      <c r="K910" s="84" t="n"/>
    </row>
    <row r="911">
      <c r="K911" s="84" t="n"/>
    </row>
    <row r="912">
      <c r="K912" s="84" t="n"/>
    </row>
    <row r="913">
      <c r="K913" s="84" t="n"/>
    </row>
    <row r="914">
      <c r="K914" s="84" t="n"/>
    </row>
    <row r="915">
      <c r="K915" s="84" t="n"/>
    </row>
    <row r="916">
      <c r="K916" s="84" t="n"/>
    </row>
    <row r="917">
      <c r="K917" s="84" t="n"/>
    </row>
    <row r="918">
      <c r="K918" s="84" t="n"/>
    </row>
    <row r="919">
      <c r="K919" s="84" t="n"/>
    </row>
    <row r="920">
      <c r="K920" s="84" t="n"/>
    </row>
    <row r="921">
      <c r="K921" s="84" t="n"/>
    </row>
    <row r="922">
      <c r="K922" s="84" t="n"/>
    </row>
    <row r="923">
      <c r="K923" s="84" t="n"/>
    </row>
    <row r="924">
      <c r="K924" s="84" t="n"/>
    </row>
    <row r="925">
      <c r="K925" s="84" t="n"/>
    </row>
    <row r="926">
      <c r="K926" s="84" t="n"/>
    </row>
    <row r="927">
      <c r="K927" s="84" t="n"/>
    </row>
    <row r="928">
      <c r="K928" s="84" t="n"/>
    </row>
    <row r="929">
      <c r="K929" s="84" t="n"/>
    </row>
    <row r="930">
      <c r="K930" s="84" t="n"/>
    </row>
    <row r="931">
      <c r="K931" s="84" t="n"/>
    </row>
    <row r="932">
      <c r="K932" s="84" t="n"/>
    </row>
    <row r="933">
      <c r="K933" s="84" t="n"/>
    </row>
    <row r="934">
      <c r="K934" s="84" t="n"/>
    </row>
    <row r="935">
      <c r="K935" s="84" t="n"/>
    </row>
    <row r="936">
      <c r="K936" s="84" t="n"/>
    </row>
    <row r="937">
      <c r="K937" s="84" t="n"/>
    </row>
    <row r="938">
      <c r="K938" s="84" t="n"/>
    </row>
    <row r="939">
      <c r="K939" s="84" t="n"/>
    </row>
    <row r="940">
      <c r="K940" s="84" t="n"/>
    </row>
    <row r="941">
      <c r="K941" s="84" t="n"/>
    </row>
    <row r="942">
      <c r="K942" s="84" t="n"/>
    </row>
    <row r="943">
      <c r="K943" s="84" t="n"/>
    </row>
    <row r="944">
      <c r="K944" s="84" t="n"/>
    </row>
    <row r="945">
      <c r="K945" s="84" t="n"/>
    </row>
    <row r="946">
      <c r="K946" s="84" t="n"/>
    </row>
    <row r="947">
      <c r="K947" s="84" t="n"/>
    </row>
    <row r="948">
      <c r="K948" s="84" t="n"/>
    </row>
    <row r="949">
      <c r="K949" s="84" t="n"/>
    </row>
    <row r="950">
      <c r="K950" s="84" t="n"/>
    </row>
    <row r="951">
      <c r="K951" s="84" t="n"/>
    </row>
    <row r="952">
      <c r="K952" s="84" t="n"/>
    </row>
    <row r="953">
      <c r="K953" s="84" t="n"/>
    </row>
    <row r="954">
      <c r="K954" s="84" t="n"/>
    </row>
    <row r="955">
      <c r="K955" s="84" t="n"/>
    </row>
    <row r="956">
      <c r="K956" s="84" t="n"/>
    </row>
    <row r="957">
      <c r="K957" s="84" t="n"/>
    </row>
    <row r="958">
      <c r="K958" s="84" t="n"/>
    </row>
    <row r="959">
      <c r="K959" s="84" t="n"/>
    </row>
    <row r="960">
      <c r="K960" s="84" t="n"/>
    </row>
    <row r="961">
      <c r="K961" s="84" t="n"/>
    </row>
    <row r="962">
      <c r="K962" s="84" t="n"/>
    </row>
    <row r="963">
      <c r="K963" s="84" t="n"/>
    </row>
    <row r="964">
      <c r="K964" s="84" t="n"/>
    </row>
    <row r="965">
      <c r="K965" s="84" t="n"/>
    </row>
    <row r="966">
      <c r="K966" s="84" t="n"/>
    </row>
    <row r="967">
      <c r="K967" s="84" t="n"/>
    </row>
    <row r="968">
      <c r="K968" s="84" t="n"/>
    </row>
    <row r="969">
      <c r="K969" s="84" t="n"/>
    </row>
    <row r="970">
      <c r="K970" s="84" t="n"/>
    </row>
    <row r="971">
      <c r="K971" s="84" t="n"/>
    </row>
    <row r="972">
      <c r="K972" s="84" t="n"/>
    </row>
    <row r="973">
      <c r="K973" s="84" t="n"/>
    </row>
    <row r="974">
      <c r="K974" s="84" t="n"/>
    </row>
  </sheetData>
  <dataValidations count="2">
    <dataValidation sqref="M54" showDropDown="0" showInputMessage="0" showErrorMessage="1" allowBlank="1" type="list">
      <formula1>"EMILIANO,JORGE,CLAUDIA,EMILIA,MILI CONCHA"</formula1>
    </dataValidation>
    <dataValidation sqref="L2:M12 L16:L17 L18:M19 L20:L31 L32:M32 L36:L41 L42:M42 L43:L49 L52:M52 L53:L58 L59:M59 L60 L61:M61 L62:L64 L68:L80 L81:N81 L82 L85:L99" showDropDown="0" showInputMessage="0" showErrorMessage="1" allowBlank="1" type="list">
      <formula1>"JIMENA,MAYTE,AKEY,SANDRA ,LOLA,LIZETHE"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C993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18" min="1" max="1"/>
    <col width="16.13" customWidth="1" style="118" min="2" max="2"/>
    <col width="18.5" customWidth="1" style="118" min="12" max="12"/>
  </cols>
  <sheetData>
    <row r="1">
      <c r="A1" s="27" t="inlineStr">
        <is>
          <t>Room ID</t>
        </is>
      </c>
      <c r="B1" s="27" t="inlineStr">
        <is>
          <t>TT Handle</t>
        </is>
      </c>
      <c r="C1" s="27" t="inlineStr">
        <is>
          <t>Country</t>
        </is>
      </c>
      <c r="D1" s="27" t="inlineStr">
        <is>
          <t>GMV</t>
        </is>
      </c>
      <c r="E1" s="27" t="inlineStr">
        <is>
          <t>GMV/sin EVA</t>
        </is>
      </c>
      <c r="F1" s="27" t="inlineStr">
        <is>
          <t>GMV PER HOUR</t>
        </is>
      </c>
      <c r="G1" s="27" t="inlineStr">
        <is>
          <t>GMV PER HOUR/sin EVA</t>
        </is>
      </c>
      <c r="H1" s="27" t="inlineStr">
        <is>
          <t>Ads Cost</t>
        </is>
      </c>
      <c r="I1" s="27" t="inlineStr">
        <is>
          <t>Duration (H)</t>
        </is>
      </c>
      <c r="J1" s="28" t="inlineStr">
        <is>
          <t>Duration （Formula）</t>
        </is>
      </c>
      <c r="K1" s="77" t="inlineStr">
        <is>
          <t>Start date</t>
        </is>
      </c>
      <c r="L1" s="30" t="inlineStr">
        <is>
          <t>HOST 1</t>
        </is>
      </c>
      <c r="M1" s="30" t="inlineStr">
        <is>
          <t xml:space="preserve">HOST 2 </t>
        </is>
      </c>
      <c r="N1" s="30" t="inlineStr">
        <is>
          <t>Operator</t>
        </is>
      </c>
    </row>
    <row r="2">
      <c r="A2" s="53" t="inlineStr">
        <is>
          <t>7639483934295788296</t>
        </is>
      </c>
      <c r="B2" s="83" t="inlineStr">
        <is>
          <t>vaselinemx</t>
        </is>
      </c>
      <c r="C2" s="83" t="inlineStr">
        <is>
          <t>MX</t>
        </is>
      </c>
      <c r="D2" s="35" t="n">
        <v>17293</v>
      </c>
      <c r="E2" s="40">
        <f>D2/1.16</f>
        <v/>
      </c>
      <c r="F2" s="40" t="n">
        <v>4058.29</v>
      </c>
      <c r="G2" s="40">
        <f>F2/1.16</f>
        <v/>
      </c>
      <c r="H2" s="87" t="n">
        <v>0</v>
      </c>
      <c r="I2" s="42" t="n">
        <v>4.02472</v>
      </c>
      <c r="J2" s="74" t="n">
        <v>4</v>
      </c>
      <c r="K2" s="43" t="n">
        <v>46155</v>
      </c>
      <c r="L2" s="38" t="inlineStr">
        <is>
          <t>SILVANA</t>
        </is>
      </c>
      <c r="M2" s="38" t="n"/>
      <c r="N2" s="91" t="inlineStr">
        <is>
          <t>DIEGO</t>
        </is>
      </c>
    </row>
    <row r="3">
      <c r="A3" s="53" t="inlineStr">
        <is>
          <t>7640211118647986951</t>
        </is>
      </c>
      <c r="B3" s="83" t="inlineStr">
        <is>
          <t>vaselinemx</t>
        </is>
      </c>
      <c r="C3" s="83" t="inlineStr">
        <is>
          <t>MX</t>
        </is>
      </c>
      <c r="D3" s="35" t="n">
        <v>17971</v>
      </c>
      <c r="E3" s="40">
        <f>D3/1.16</f>
        <v/>
      </c>
      <c r="F3" s="40" t="n">
        <v>4390.32</v>
      </c>
      <c r="G3" s="40">
        <f>F3/1.16</f>
        <v/>
      </c>
      <c r="H3" s="87" t="n">
        <v>0</v>
      </c>
      <c r="I3" s="42" t="n">
        <v>4.09917</v>
      </c>
      <c r="J3" s="74" t="n">
        <v>4</v>
      </c>
      <c r="K3" s="43" t="n">
        <v>46157</v>
      </c>
      <c r="L3" s="38" t="inlineStr">
        <is>
          <t>SILVANA</t>
        </is>
      </c>
      <c r="M3" s="38" t="n"/>
      <c r="N3" s="91" t="inlineStr">
        <is>
          <t>GUILLERMO</t>
        </is>
      </c>
    </row>
    <row r="4">
      <c r="A4" s="53" t="inlineStr">
        <is>
          <t>7641339377885039368</t>
        </is>
      </c>
      <c r="B4" s="83" t="inlineStr">
        <is>
          <t>vaselinemx</t>
        </is>
      </c>
      <c r="C4" s="83" t="inlineStr">
        <is>
          <t>MX</t>
        </is>
      </c>
      <c r="D4" s="35" t="n">
        <v>8106</v>
      </c>
      <c r="E4" s="40">
        <f>D4/1.16</f>
        <v/>
      </c>
      <c r="F4" s="40" t="n">
        <v>2697.88</v>
      </c>
      <c r="G4" s="40">
        <f>F4/1.16</f>
        <v/>
      </c>
      <c r="H4" s="87" t="n">
        <v>0</v>
      </c>
      <c r="I4" s="42" t="n">
        <v>3.03194</v>
      </c>
      <c r="J4" s="74" t="n">
        <v>3</v>
      </c>
      <c r="K4" s="43" t="n">
        <v>46160</v>
      </c>
      <c r="L4" s="38" t="inlineStr">
        <is>
          <t>PAOLA</t>
        </is>
      </c>
      <c r="M4" s="38" t="n"/>
      <c r="N4" s="91" t="inlineStr">
        <is>
          <t>DIEGO</t>
        </is>
      </c>
    </row>
    <row r="5">
      <c r="A5" s="53" t="inlineStr">
        <is>
          <t>7642081531309099784</t>
        </is>
      </c>
      <c r="B5" s="83" t="inlineStr">
        <is>
          <t>vaselinemx</t>
        </is>
      </c>
      <c r="C5" s="83" t="inlineStr">
        <is>
          <t>MX</t>
        </is>
      </c>
      <c r="D5" s="35" t="n">
        <v>3346</v>
      </c>
      <c r="E5" s="40">
        <f>D5/1.16</f>
        <v/>
      </c>
      <c r="F5" s="40" t="n">
        <v>1115.12</v>
      </c>
      <c r="G5" s="40">
        <f>F5/1.16</f>
        <v/>
      </c>
      <c r="H5" s="87" t="n">
        <v>0</v>
      </c>
      <c r="I5" s="42" t="n">
        <v>3.005</v>
      </c>
      <c r="J5" s="74" t="n">
        <v>3</v>
      </c>
      <c r="K5" s="43" t="n">
        <v>46162</v>
      </c>
      <c r="L5" s="38" t="inlineStr">
        <is>
          <t>SILVANA</t>
        </is>
      </c>
      <c r="M5" s="38" t="n"/>
      <c r="N5" s="91" t="inlineStr">
        <is>
          <t>GUILLERMO</t>
        </is>
      </c>
    </row>
    <row r="6">
      <c r="A6" s="53" t="inlineStr">
        <is>
          <t>7642823756293688071</t>
        </is>
      </c>
      <c r="B6" s="83" t="inlineStr">
        <is>
          <t>vaselinemx</t>
        </is>
      </c>
      <c r="C6" s="83" t="inlineStr">
        <is>
          <t>MX</t>
        </is>
      </c>
      <c r="D6" s="35" t="n">
        <v>4488</v>
      </c>
      <c r="E6" s="40">
        <f>D6/1.16</f>
        <v/>
      </c>
      <c r="F6" s="40" t="n">
        <v>1492.63</v>
      </c>
      <c r="G6" s="40">
        <f>F6/1.16</f>
        <v/>
      </c>
      <c r="H6" s="87" t="n">
        <v>0</v>
      </c>
      <c r="I6" s="42" t="n">
        <v>3.01139</v>
      </c>
      <c r="J6" s="74" t="n">
        <v>3</v>
      </c>
      <c r="K6" s="43" t="n">
        <v>46164</v>
      </c>
      <c r="L6" s="38" t="inlineStr">
        <is>
          <t>PAOLA</t>
        </is>
      </c>
      <c r="M6" s="38" t="n"/>
      <c r="N6" s="91" t="inlineStr">
        <is>
          <t>GUILLERMO</t>
        </is>
      </c>
    </row>
    <row r="7">
      <c r="A7" s="53" t="inlineStr">
        <is>
          <t>7643953218318502674</t>
        </is>
      </c>
      <c r="B7" s="83" t="inlineStr">
        <is>
          <t>vaselinemx</t>
        </is>
      </c>
      <c r="C7" s="83" t="inlineStr">
        <is>
          <t>MX</t>
        </is>
      </c>
      <c r="D7" s="35" t="n">
        <v>13009</v>
      </c>
      <c r="E7" s="40">
        <f>D7/1.16</f>
        <v/>
      </c>
      <c r="F7" s="40" t="n">
        <v>2169.71</v>
      </c>
      <c r="G7" s="40">
        <f>F7/1.16</f>
        <v/>
      </c>
      <c r="H7" s="87" t="n">
        <v>0</v>
      </c>
      <c r="I7" s="42" t="n">
        <v>6.00083</v>
      </c>
      <c r="J7" s="74" t="n">
        <v>6</v>
      </c>
      <c r="K7" s="43" t="n">
        <v>46167</v>
      </c>
      <c r="L7" s="38" t="inlineStr">
        <is>
          <t>SILVANA</t>
        </is>
      </c>
      <c r="M7" s="38" t="inlineStr">
        <is>
          <t>PAOLA</t>
        </is>
      </c>
      <c r="N7" s="91" t="inlineStr">
        <is>
          <t>GUILLERMO</t>
        </is>
      </c>
    </row>
    <row r="8">
      <c r="A8" s="53" t="inlineStr">
        <is>
          <t>7644679194386942738</t>
        </is>
      </c>
      <c r="B8" s="83" t="inlineStr">
        <is>
          <t>vaselinemx</t>
        </is>
      </c>
      <c r="C8" s="83" t="inlineStr">
        <is>
          <t>MX</t>
        </is>
      </c>
      <c r="D8" s="35" t="n">
        <v>5987</v>
      </c>
      <c r="E8" s="40">
        <f>D8/1.16</f>
        <v/>
      </c>
      <c r="F8" s="40" t="n">
        <v>1966.67</v>
      </c>
      <c r="G8" s="40">
        <f>F8/1.16</f>
        <v/>
      </c>
      <c r="H8" s="87" t="n">
        <v>0</v>
      </c>
      <c r="I8" s="42" t="n">
        <v>3</v>
      </c>
      <c r="J8" s="74" t="n">
        <v>3</v>
      </c>
      <c r="K8" s="43" t="n">
        <v>46169</v>
      </c>
      <c r="L8" s="38" t="inlineStr">
        <is>
          <t>SILVANA</t>
        </is>
      </c>
      <c r="M8" s="38" t="n"/>
      <c r="N8" s="91" t="inlineStr">
        <is>
          <t>GUILLERMO</t>
        </is>
      </c>
    </row>
    <row r="9">
      <c r="E9" s="68">
        <f>sum(E2:E8)</f>
        <v/>
      </c>
      <c r="K9" s="84" t="n"/>
    </row>
    <row r="10">
      <c r="K10" s="84" t="n"/>
    </row>
    <row r="11">
      <c r="K11" s="84" t="n"/>
    </row>
    <row r="12">
      <c r="A12" s="7" t="inlineStr">
        <is>
          <t>Room ID</t>
        </is>
      </c>
      <c r="B12" s="7" t="inlineStr">
        <is>
          <t>TT Handle</t>
        </is>
      </c>
      <c r="C12" s="7" t="inlineStr">
        <is>
          <t>Country</t>
        </is>
      </c>
      <c r="D12" s="7" t="inlineStr">
        <is>
          <t>GMV</t>
        </is>
      </c>
      <c r="E12" s="7" t="inlineStr">
        <is>
          <t>GMV/sin EVA</t>
        </is>
      </c>
      <c r="F12" s="7" t="inlineStr">
        <is>
          <t>GMV PER HOUR</t>
        </is>
      </c>
      <c r="G12" s="7" t="inlineStr">
        <is>
          <t>GMV PER HOUR/sin EVA</t>
        </is>
      </c>
      <c r="H12" s="7" t="inlineStr">
        <is>
          <t>Ads Cost</t>
        </is>
      </c>
      <c r="I12" s="7" t="inlineStr">
        <is>
          <t>Duration (H)</t>
        </is>
      </c>
      <c r="J12" s="70" t="inlineStr">
        <is>
          <t>Duration （Formula）</t>
        </is>
      </c>
      <c r="K12" s="101" t="inlineStr">
        <is>
          <t>Start date</t>
        </is>
      </c>
      <c r="L12" s="71" t="inlineStr">
        <is>
          <t>HOST 1</t>
        </is>
      </c>
      <c r="M12" s="71" t="inlineStr">
        <is>
          <t xml:space="preserve">HOST 2 </t>
        </is>
      </c>
      <c r="N12" s="71" t="inlineStr">
        <is>
          <t>Operator</t>
        </is>
      </c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  <c r="Z12" s="59" t="n"/>
      <c r="AA12" s="59" t="n"/>
      <c r="AB12" s="59" t="n"/>
      <c r="AC12" s="59" t="n"/>
    </row>
    <row r="13">
      <c r="A13" s="53" t="inlineStr">
        <is>
          <t>7645422373097310984</t>
        </is>
      </c>
      <c r="B13" s="83" t="inlineStr">
        <is>
          <t>vaselinemx</t>
        </is>
      </c>
      <c r="C13" s="83" t="inlineStr">
        <is>
          <t>MX</t>
        </is>
      </c>
      <c r="D13" s="35" t="n">
        <v>5313</v>
      </c>
      <c r="E13" s="40">
        <f>D13/1.16</f>
        <v/>
      </c>
      <c r="F13" s="40" t="n">
        <v>1711.3</v>
      </c>
      <c r="G13" s="40">
        <f>F13/1.16</f>
        <v/>
      </c>
      <c r="H13" s="87" t="n">
        <v>0</v>
      </c>
      <c r="I13" s="42" t="n">
        <v>3</v>
      </c>
      <c r="J13" s="74" t="n">
        <v>3</v>
      </c>
      <c r="K13" s="43" t="n">
        <v>46171</v>
      </c>
      <c r="L13" s="38" t="inlineStr">
        <is>
          <t>ANA PAO</t>
        </is>
      </c>
      <c r="M13" s="38" t="n"/>
      <c r="N13" s="91" t="inlineStr">
        <is>
          <t>GUILLERMO</t>
        </is>
      </c>
    </row>
    <row r="14">
      <c r="A14" s="53" t="inlineStr">
        <is>
          <t>7646183059876498184</t>
        </is>
      </c>
      <c r="B14" s="83" t="inlineStr">
        <is>
          <t>vaselinemx</t>
        </is>
      </c>
      <c r="C14" s="83" t="inlineStr">
        <is>
          <t>MX</t>
        </is>
      </c>
      <c r="D14" s="35" t="n">
        <v>23483</v>
      </c>
      <c r="E14" s="40">
        <f>D14/1.16</f>
        <v/>
      </c>
      <c r="F14" s="40" t="n">
        <v>3916.91</v>
      </c>
      <c r="G14" s="40">
        <f>F14/1.16</f>
        <v/>
      </c>
      <c r="H14" s="87" t="n">
        <v>0</v>
      </c>
      <c r="I14" s="42" t="n">
        <v>6</v>
      </c>
      <c r="J14" s="74" t="n">
        <v>3</v>
      </c>
      <c r="K14" s="43" t="n">
        <v>46173</v>
      </c>
      <c r="L14" s="38" t="inlineStr">
        <is>
          <t>SILVANA</t>
        </is>
      </c>
      <c r="M14" s="38" t="inlineStr">
        <is>
          <t>PAOLA</t>
        </is>
      </c>
      <c r="N14" s="91" t="inlineStr">
        <is>
          <t>GUILLERMO</t>
        </is>
      </c>
    </row>
    <row r="15">
      <c r="A15" s="53" t="inlineStr">
        <is>
          <t>7646534675506514706</t>
        </is>
      </c>
      <c r="B15" s="83" t="inlineStr">
        <is>
          <t>vaselinemx</t>
        </is>
      </c>
      <c r="C15" s="83" t="inlineStr">
        <is>
          <t>MX</t>
        </is>
      </c>
      <c r="D15" s="35" t="n">
        <v>7434.85</v>
      </c>
      <c r="E15" s="40" t="n">
        <v>7434.85</v>
      </c>
      <c r="F15" s="40" t="n">
        <v>2480.35</v>
      </c>
      <c r="G15" s="40">
        <f>F15/1.16</f>
        <v/>
      </c>
      <c r="H15" s="87" t="n">
        <v>0</v>
      </c>
      <c r="I15" s="42" t="n">
        <v>3</v>
      </c>
      <c r="J15" s="74" t="n">
        <v>3</v>
      </c>
      <c r="K15" s="43" t="n">
        <v>46174</v>
      </c>
      <c r="L15" s="38" t="inlineStr">
        <is>
          <t>PAOLA</t>
        </is>
      </c>
      <c r="M15" s="38" t="n"/>
      <c r="N15" s="91" t="inlineStr">
        <is>
          <t>GUILLERMO</t>
        </is>
      </c>
    </row>
    <row r="16">
      <c r="A16" s="53" t="inlineStr">
        <is>
          <t>7646910901202766600</t>
        </is>
      </c>
      <c r="B16" s="83" t="inlineStr">
        <is>
          <t>vaselinemx</t>
        </is>
      </c>
      <c r="C16" s="83" t="inlineStr">
        <is>
          <t>MX</t>
        </is>
      </c>
      <c r="D16" s="35" t="n">
        <v>5427.28</v>
      </c>
      <c r="E16" s="40" t="n">
        <v>5427.28</v>
      </c>
      <c r="F16" s="40" t="n">
        <v>1795.46</v>
      </c>
      <c r="G16" s="40">
        <f>F16/1.16</f>
        <v/>
      </c>
      <c r="H16" s="87" t="n">
        <v>0</v>
      </c>
      <c r="I16" s="42" t="n">
        <v>3</v>
      </c>
      <c r="J16" s="74" t="n">
        <v>3</v>
      </c>
      <c r="K16" s="43" t="n">
        <v>46175</v>
      </c>
      <c r="L16" s="38" t="inlineStr">
        <is>
          <t>SILVANA</t>
        </is>
      </c>
      <c r="M16" s="38" t="n"/>
      <c r="N16" s="91" t="inlineStr">
        <is>
          <t>GUILLERMO</t>
        </is>
      </c>
    </row>
    <row r="17">
      <c r="A17" s="53" t="inlineStr">
        <is>
          <t>7651745261634505480</t>
        </is>
      </c>
      <c r="B17" s="83" t="inlineStr">
        <is>
          <t>vaselinemx</t>
        </is>
      </c>
      <c r="C17" s="83" t="inlineStr">
        <is>
          <t>MX</t>
        </is>
      </c>
      <c r="D17" s="35" t="n">
        <v>16811.55</v>
      </c>
      <c r="E17" s="40" t="n">
        <v>16811.55</v>
      </c>
      <c r="F17" s="40" t="n">
        <v>2802.57</v>
      </c>
      <c r="G17" s="40">
        <f>F17/1.16</f>
        <v/>
      </c>
      <c r="H17" s="87" t="n">
        <v>0</v>
      </c>
      <c r="I17" s="42" t="n">
        <v>6</v>
      </c>
      <c r="J17" s="74" t="n">
        <v>3</v>
      </c>
      <c r="K17" s="43" t="n">
        <v>46188</v>
      </c>
      <c r="L17" s="38" t="inlineStr">
        <is>
          <t>SILVANA</t>
        </is>
      </c>
      <c r="M17" s="38" t="inlineStr">
        <is>
          <t>PAOLA</t>
        </is>
      </c>
      <c r="N17" s="91" t="inlineStr">
        <is>
          <t>GUILLERMO</t>
        </is>
      </c>
    </row>
    <row r="18">
      <c r="A18" s="53" t="inlineStr">
        <is>
          <t>7652469940168559378</t>
        </is>
      </c>
      <c r="B18" s="83" t="inlineStr">
        <is>
          <t>vaselinemx</t>
        </is>
      </c>
      <c r="C18" s="83" t="inlineStr">
        <is>
          <t>MX</t>
        </is>
      </c>
      <c r="D18" s="35" t="n">
        <v>7056.35</v>
      </c>
      <c r="E18" s="40" t="n">
        <v>7056.35</v>
      </c>
      <c r="F18" s="40" t="n">
        <v>5441.92</v>
      </c>
      <c r="G18" s="40">
        <f>F18/1.16</f>
        <v/>
      </c>
      <c r="H18" s="87" t="n">
        <v>0</v>
      </c>
      <c r="I18" s="42" t="n">
        <v>1</v>
      </c>
      <c r="J18" s="74" t="n">
        <v>3</v>
      </c>
      <c r="K18" s="43" t="n">
        <v>46190</v>
      </c>
      <c r="L18" s="38" t="inlineStr">
        <is>
          <t>SILVANA</t>
        </is>
      </c>
      <c r="M18" s="38" t="n"/>
      <c r="N18" s="91" t="inlineStr">
        <is>
          <t>GUILLERMO</t>
        </is>
      </c>
    </row>
    <row r="19">
      <c r="A19" s="53" t="inlineStr">
        <is>
          <t>7653214150902942472</t>
        </is>
      </c>
      <c r="B19" s="83" t="inlineStr">
        <is>
          <t>vaselinemx</t>
        </is>
      </c>
      <c r="C19" s="83" t="inlineStr">
        <is>
          <t>MX</t>
        </is>
      </c>
      <c r="D19" s="35" t="n">
        <v>8156.82</v>
      </c>
      <c r="E19" s="40" t="n">
        <v>8156.82</v>
      </c>
      <c r="F19" s="40" t="n">
        <v>2031.87</v>
      </c>
      <c r="G19" s="40">
        <f>F19/1.16</f>
        <v/>
      </c>
      <c r="H19" s="87" t="n">
        <v>0</v>
      </c>
      <c r="I19" s="42" t="n">
        <v>4</v>
      </c>
      <c r="J19" s="74" t="n">
        <v>3</v>
      </c>
      <c r="K19" s="43" t="n">
        <v>46192</v>
      </c>
      <c r="L19" s="38" t="inlineStr">
        <is>
          <t>SILVANA</t>
        </is>
      </c>
      <c r="M19" s="38" t="n"/>
      <c r="N19" s="91" t="inlineStr">
        <is>
          <t>GUILLERMO</t>
        </is>
      </c>
    </row>
    <row r="20">
      <c r="A20" s="53" t="inlineStr">
        <is>
          <t>7654327449861360402</t>
        </is>
      </c>
      <c r="B20" s="83" t="inlineStr">
        <is>
          <t>vaselinemx</t>
        </is>
      </c>
      <c r="C20" s="83" t="inlineStr">
        <is>
          <t>MX</t>
        </is>
      </c>
      <c r="D20" s="35" t="n">
        <v>11570.32</v>
      </c>
      <c r="E20" s="40" t="n">
        <v>11570.32</v>
      </c>
      <c r="F20" s="40" t="n">
        <v>2848.47</v>
      </c>
      <c r="G20" s="40">
        <f>F20/1.16</f>
        <v/>
      </c>
      <c r="H20" s="87" t="n">
        <v>0</v>
      </c>
      <c r="I20" s="42" t="n">
        <v>4</v>
      </c>
      <c r="J20" s="74" t="n">
        <v>3</v>
      </c>
      <c r="K20" s="43" t="n">
        <v>46195</v>
      </c>
      <c r="L20" s="38" t="inlineStr">
        <is>
          <t>SILVANA</t>
        </is>
      </c>
      <c r="M20" s="38" t="n"/>
      <c r="N20" s="91" t="inlineStr">
        <is>
          <t>GUILLERMO</t>
        </is>
      </c>
    </row>
    <row r="21">
      <c r="A21" s="53" t="inlineStr">
        <is>
          <t>7654683045701929736</t>
        </is>
      </c>
      <c r="B21" s="83" t="inlineStr">
        <is>
          <t>vaselinemx</t>
        </is>
      </c>
      <c r="C21" s="83" t="inlineStr">
        <is>
          <t>MX</t>
        </is>
      </c>
      <c r="D21" s="35" t="n">
        <v>6885.49</v>
      </c>
      <c r="E21" s="40" t="n">
        <v>6885.49</v>
      </c>
      <c r="F21" s="40" t="n">
        <v>1908.57</v>
      </c>
      <c r="G21" s="40">
        <f>F21/1.16</f>
        <v/>
      </c>
      <c r="H21" s="87" t="n">
        <v>0</v>
      </c>
      <c r="I21" s="42" t="n">
        <v>2</v>
      </c>
      <c r="J21" s="74" t="n">
        <v>3</v>
      </c>
      <c r="K21" s="43" t="n">
        <v>46196</v>
      </c>
      <c r="L21" s="38" t="inlineStr">
        <is>
          <t>SILVANA</t>
        </is>
      </c>
      <c r="M21" s="38" t="n"/>
      <c r="N21" s="91" t="inlineStr">
        <is>
          <t>GUILLERMO</t>
        </is>
      </c>
    </row>
    <row r="22">
      <c r="A22" s="53" t="inlineStr">
        <is>
          <t>7654721432628972309</t>
        </is>
      </c>
      <c r="B22" s="83" t="inlineStr">
        <is>
          <t>vaselinemx</t>
        </is>
      </c>
      <c r="C22" s="83" t="inlineStr">
        <is>
          <t>MX</t>
        </is>
      </c>
      <c r="D22" s="35" t="n">
        <v>3662.33</v>
      </c>
      <c r="E22" s="40" t="n">
        <v>3662.33</v>
      </c>
      <c r="F22" s="40" t="n">
        <v>1908.57</v>
      </c>
      <c r="G22" s="40">
        <f>F22/1.16</f>
        <v/>
      </c>
      <c r="H22" s="87" t="n">
        <v>0</v>
      </c>
      <c r="I22" s="42" t="n">
        <v>2</v>
      </c>
      <c r="J22" s="74" t="n">
        <v>3</v>
      </c>
      <c r="K22" s="43" t="n">
        <v>46196</v>
      </c>
      <c r="L22" s="38" t="inlineStr">
        <is>
          <t>SILVANA</t>
        </is>
      </c>
      <c r="M22" s="38" t="n"/>
      <c r="N22" s="91" t="inlineStr">
        <is>
          <t>GUILLERMO</t>
        </is>
      </c>
    </row>
    <row r="23">
      <c r="A23" s="53" t="inlineStr">
        <is>
          <t>7655440910476118804</t>
        </is>
      </c>
      <c r="B23" s="83" t="inlineStr">
        <is>
          <t>vaselinemx</t>
        </is>
      </c>
      <c r="C23" s="83" t="inlineStr">
        <is>
          <t>MX</t>
        </is>
      </c>
      <c r="D23" s="35" t="n">
        <v>0</v>
      </c>
      <c r="E23" s="40" t="n">
        <v>0</v>
      </c>
      <c r="F23" s="40" t="n">
        <v>0</v>
      </c>
      <c r="G23" s="40">
        <f>F23/1.16</f>
        <v/>
      </c>
      <c r="H23" s="87" t="n">
        <v>0</v>
      </c>
      <c r="I23" s="42" t="n">
        <v>0.11</v>
      </c>
      <c r="J23" s="74" t="n">
        <v>3</v>
      </c>
      <c r="K23" s="43" t="n">
        <v>46198</v>
      </c>
      <c r="L23" s="38" t="inlineStr">
        <is>
          <t>SILVANA</t>
        </is>
      </c>
      <c r="M23" s="38" t="n"/>
      <c r="N23" s="91" t="inlineStr">
        <is>
          <t>GUILLERMO</t>
        </is>
      </c>
    </row>
    <row r="24">
      <c r="A24" s="53" t="inlineStr">
        <is>
          <t>7655444070847859477</t>
        </is>
      </c>
      <c r="B24" s="83" t="inlineStr">
        <is>
          <t>vaselinemx</t>
        </is>
      </c>
      <c r="C24" s="83" t="inlineStr">
        <is>
          <t>MX</t>
        </is>
      </c>
      <c r="D24" s="35" t="n">
        <v>11364.43</v>
      </c>
      <c r="E24" s="40" t="n">
        <v>11364.43</v>
      </c>
      <c r="F24" s="40" t="n">
        <v>2827.95</v>
      </c>
      <c r="G24" s="40">
        <f>F24/1.16</f>
        <v/>
      </c>
      <c r="H24" s="87" t="n">
        <v>0</v>
      </c>
      <c r="I24" s="42" t="n">
        <v>4</v>
      </c>
      <c r="J24" s="74" t="n">
        <v>3</v>
      </c>
      <c r="K24" s="43" t="n">
        <v>46198</v>
      </c>
      <c r="L24" s="38" t="inlineStr">
        <is>
          <t>SILVANA</t>
        </is>
      </c>
      <c r="M24" s="38" t="n"/>
      <c r="N24" s="91" t="inlineStr">
        <is>
          <t>GUILLERMO</t>
        </is>
      </c>
    </row>
    <row r="25">
      <c r="A25" s="53" t="inlineStr">
        <is>
          <t>7656554027065051924</t>
        </is>
      </c>
      <c r="B25" s="83" t="inlineStr">
        <is>
          <t>vaselinemx</t>
        </is>
      </c>
      <c r="C25" s="83" t="inlineStr">
        <is>
          <t>MX</t>
        </is>
      </c>
      <c r="D25" s="35" t="n">
        <v>14877.46</v>
      </c>
      <c r="E25" s="40" t="n">
        <v>14877.46</v>
      </c>
      <c r="F25" s="40" t="n">
        <v>3718.07</v>
      </c>
      <c r="G25" s="40">
        <f>F25/1.16</f>
        <v/>
      </c>
      <c r="H25" s="87" t="n">
        <v>0</v>
      </c>
      <c r="I25" s="42" t="n">
        <v>4</v>
      </c>
      <c r="J25" s="74" t="n">
        <v>3</v>
      </c>
      <c r="K25" s="43" t="n">
        <v>46201</v>
      </c>
      <c r="L25" s="38" t="inlineStr">
        <is>
          <t>SILVANA</t>
        </is>
      </c>
      <c r="M25" s="38" t="n"/>
      <c r="N25" s="91" t="inlineStr">
        <is>
          <t>GUILLERMO</t>
        </is>
      </c>
    </row>
    <row r="26">
      <c r="K26" s="84" t="n"/>
    </row>
    <row r="27">
      <c r="K27" s="84" t="n"/>
    </row>
    <row r="28">
      <c r="A28" s="7" t="inlineStr">
        <is>
          <t>Room ID</t>
        </is>
      </c>
      <c r="B28" s="7" t="inlineStr">
        <is>
          <t>TT Handle</t>
        </is>
      </c>
      <c r="C28" s="7" t="inlineStr">
        <is>
          <t>Country</t>
        </is>
      </c>
      <c r="D28" s="7" t="inlineStr">
        <is>
          <t>GMV</t>
        </is>
      </c>
      <c r="E28" s="7" t="inlineStr">
        <is>
          <t>GMV/sin EVA</t>
        </is>
      </c>
      <c r="F28" s="7" t="inlineStr">
        <is>
          <t>GMV PER HOUR</t>
        </is>
      </c>
      <c r="G28" s="7" t="inlineStr">
        <is>
          <t>GMV PER HOUR/sin EVA</t>
        </is>
      </c>
      <c r="H28" s="7" t="inlineStr">
        <is>
          <t>Ads Cost</t>
        </is>
      </c>
      <c r="I28" s="7" t="inlineStr">
        <is>
          <t>Duration (H)</t>
        </is>
      </c>
      <c r="J28" s="70" t="inlineStr">
        <is>
          <t>Duration （Formula）</t>
        </is>
      </c>
      <c r="K28" s="101" t="inlineStr">
        <is>
          <t>Start date</t>
        </is>
      </c>
      <c r="L28" s="71" t="inlineStr">
        <is>
          <t>HOST 1</t>
        </is>
      </c>
      <c r="M28" s="71" t="inlineStr">
        <is>
          <t xml:space="preserve">HOST 2 </t>
        </is>
      </c>
      <c r="N28" s="71" t="inlineStr">
        <is>
          <t>Operator</t>
        </is>
      </c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</row>
    <row r="29">
      <c r="A29" s="53" t="inlineStr">
        <is>
          <t>7657667408034073364</t>
        </is>
      </c>
      <c r="B29" s="83" t="inlineStr">
        <is>
          <t>vaselinemx</t>
        </is>
      </c>
      <c r="C29" s="83" t="inlineStr">
        <is>
          <t>MX</t>
        </is>
      </c>
      <c r="D29" s="35" t="n">
        <v>8970.66</v>
      </c>
      <c r="E29" s="40">
        <f>D29/1.16</f>
        <v/>
      </c>
      <c r="F29" s="40">
        <f>E29/J29</f>
        <v/>
      </c>
      <c r="G29" s="40">
        <f>F29/1.16</f>
        <v/>
      </c>
      <c r="H29" s="87" t="n">
        <v>0</v>
      </c>
      <c r="I29" s="42" t="n">
        <v>3</v>
      </c>
      <c r="J29" s="74" t="n">
        <v>3</v>
      </c>
      <c r="K29" s="43" t="n">
        <v>46204</v>
      </c>
      <c r="L29" s="38" t="inlineStr">
        <is>
          <t>SILVANA</t>
        </is>
      </c>
      <c r="M29" s="38" t="n"/>
      <c r="N29" s="91" t="inlineStr">
        <is>
          <t>GUILLERMO</t>
        </is>
      </c>
    </row>
    <row r="30">
      <c r="A30" s="53" t="inlineStr">
        <is>
          <t>7657729150953753365</t>
        </is>
      </c>
      <c r="B30" s="83" t="inlineStr">
        <is>
          <t>vaselinemx</t>
        </is>
      </c>
      <c r="C30" s="83" t="inlineStr">
        <is>
          <t>MX</t>
        </is>
      </c>
      <c r="D30" s="35" t="n">
        <v>9954.77</v>
      </c>
      <c r="E30" s="40">
        <f>D30/1.16</f>
        <v/>
      </c>
      <c r="F30" s="40">
        <f>E30/J30</f>
        <v/>
      </c>
      <c r="G30" s="40">
        <f>F30/1.16</f>
        <v/>
      </c>
      <c r="H30" s="87" t="n">
        <v>0</v>
      </c>
      <c r="I30" s="42" t="n">
        <v>3</v>
      </c>
      <c r="J30" s="74" t="n">
        <v>3</v>
      </c>
      <c r="K30" s="43" t="n">
        <v>46204</v>
      </c>
      <c r="L30" s="38" t="inlineStr">
        <is>
          <t>SILVANA</t>
        </is>
      </c>
      <c r="M30" s="38" t="n"/>
      <c r="N30" s="91" t="inlineStr">
        <is>
          <t>GUILLERMO</t>
        </is>
      </c>
    </row>
    <row r="31">
      <c r="A31" s="53" t="inlineStr">
        <is>
          <t>7658038253076892436</t>
        </is>
      </c>
      <c r="B31" s="83" t="inlineStr">
        <is>
          <t>vaselinemx</t>
        </is>
      </c>
      <c r="C31" s="83" t="inlineStr">
        <is>
          <t>MX</t>
        </is>
      </c>
      <c r="D31" s="35" t="n">
        <v>8020.5</v>
      </c>
      <c r="E31" s="40">
        <f>D31/1.16</f>
        <v/>
      </c>
      <c r="F31" s="40">
        <f>E31/J31</f>
        <v/>
      </c>
      <c r="G31" s="40">
        <f>F31/1.16</f>
        <v/>
      </c>
      <c r="H31" s="87" t="n">
        <v>0</v>
      </c>
      <c r="I31" s="42" t="n">
        <v>4</v>
      </c>
      <c r="J31" s="74" t="n">
        <v>3</v>
      </c>
      <c r="K31" s="43" t="n">
        <v>46205</v>
      </c>
      <c r="L31" s="38" t="inlineStr">
        <is>
          <t>SILVANA</t>
        </is>
      </c>
      <c r="M31" s="38" t="n"/>
      <c r="N31" s="91" t="inlineStr">
        <is>
          <t>GUILLERMO</t>
        </is>
      </c>
    </row>
    <row r="32">
      <c r="A32" s="53" t="inlineStr">
        <is>
          <t>7659523095640935188</t>
        </is>
      </c>
      <c r="B32" s="83" t="inlineStr">
        <is>
          <t>vaselinemx</t>
        </is>
      </c>
      <c r="C32" s="83" t="inlineStr">
        <is>
          <t>MX</t>
        </is>
      </c>
      <c r="D32" s="35" t="n">
        <v>10315.25</v>
      </c>
      <c r="E32" s="40">
        <f>D32/1.16</f>
        <v/>
      </c>
      <c r="F32" s="40">
        <f>E32/J32</f>
        <v/>
      </c>
      <c r="G32" s="40">
        <f>F32/1.16</f>
        <v/>
      </c>
      <c r="H32" s="87" t="n">
        <v>0</v>
      </c>
      <c r="I32" s="42" t="n">
        <v>4</v>
      </c>
      <c r="J32" s="74" t="n">
        <v>3</v>
      </c>
      <c r="K32" s="43" t="n">
        <v>46209</v>
      </c>
      <c r="L32" s="38" t="inlineStr">
        <is>
          <t>SILVANA</t>
        </is>
      </c>
      <c r="M32" s="38" t="n"/>
      <c r="N32" s="91" t="inlineStr">
        <is>
          <t>GUILLERMO</t>
        </is>
      </c>
    </row>
    <row r="33">
      <c r="A33" s="53" t="inlineStr">
        <is>
          <t>7660264928527928071</t>
        </is>
      </c>
      <c r="B33" s="83" t="inlineStr">
        <is>
          <t>vaselinemx</t>
        </is>
      </c>
      <c r="C33" s="83" t="inlineStr">
        <is>
          <t>MX</t>
        </is>
      </c>
      <c r="D33" s="35" t="n">
        <v>4099.68</v>
      </c>
      <c r="E33" s="40">
        <f>D33/1.16</f>
        <v/>
      </c>
      <c r="F33" s="40">
        <f>E33/J33</f>
        <v/>
      </c>
      <c r="G33" s="40">
        <f>F33/1.16</f>
        <v/>
      </c>
      <c r="H33" s="87" t="n">
        <v>0</v>
      </c>
      <c r="I33" s="42" t="n">
        <v>4</v>
      </c>
      <c r="J33" s="74" t="n">
        <v>3</v>
      </c>
      <c r="K33" s="43" t="n">
        <v>46211</v>
      </c>
      <c r="L33" s="38" t="inlineStr">
        <is>
          <t>SILVANA</t>
        </is>
      </c>
      <c r="M33" s="38" t="n"/>
      <c r="N33" s="91" t="inlineStr">
        <is>
          <t>GUILLERMO</t>
        </is>
      </c>
    </row>
    <row r="34">
      <c r="A34" s="53" t="inlineStr">
        <is>
          <t>7661008329409760020</t>
        </is>
      </c>
      <c r="B34" s="83" t="inlineStr">
        <is>
          <t>vaselinemx</t>
        </is>
      </c>
      <c r="C34" s="83" t="inlineStr">
        <is>
          <t>MX</t>
        </is>
      </c>
      <c r="D34" s="35" t="n">
        <v>5894.74</v>
      </c>
      <c r="E34" s="40">
        <f>D34/1.16</f>
        <v/>
      </c>
      <c r="F34" s="40">
        <f>E34/J34</f>
        <v/>
      </c>
      <c r="G34" s="40">
        <f>F34/1.16</f>
        <v/>
      </c>
      <c r="H34" s="87" t="n">
        <v>0</v>
      </c>
      <c r="I34" s="42" t="n">
        <v>4</v>
      </c>
      <c r="J34" s="74" t="n">
        <v>3</v>
      </c>
      <c r="K34" s="43" t="n">
        <v>46213</v>
      </c>
      <c r="L34" s="38" t="inlineStr">
        <is>
          <t>SILVANA</t>
        </is>
      </c>
      <c r="M34" s="38" t="inlineStr">
        <is>
          <t>MILLY</t>
        </is>
      </c>
      <c r="N34" s="91" t="inlineStr">
        <is>
          <t>GUILLERMO</t>
        </is>
      </c>
    </row>
    <row r="35">
      <c r="A35" s="53" t="inlineStr">
        <is>
          <t>7661749166008453895</t>
        </is>
      </c>
      <c r="B35" s="83" t="inlineStr">
        <is>
          <t>vaselinemx</t>
        </is>
      </c>
      <c r="C35" s="83" t="inlineStr">
        <is>
          <t>MX</t>
        </is>
      </c>
      <c r="D35" s="35" t="n">
        <v>10852.4</v>
      </c>
      <c r="E35" s="40">
        <f>D35/1.16</f>
        <v/>
      </c>
      <c r="F35" s="40">
        <f>E35/J35</f>
        <v/>
      </c>
      <c r="G35" s="40">
        <f>F35/1.16</f>
        <v/>
      </c>
      <c r="H35" s="87" t="n">
        <v>0</v>
      </c>
      <c r="I35" s="42" t="n">
        <v>4</v>
      </c>
      <c r="J35" s="74" t="n">
        <v>3</v>
      </c>
      <c r="K35" s="43" t="n">
        <v>46215</v>
      </c>
      <c r="L35" s="38" t="inlineStr">
        <is>
          <t>SILVANA</t>
        </is>
      </c>
      <c r="M35" s="38" t="n"/>
      <c r="N35" s="91" t="inlineStr">
        <is>
          <t>GUILLERMO</t>
        </is>
      </c>
    </row>
    <row r="36">
      <c r="A36" s="53" t="inlineStr">
        <is>
          <t>7662120789429537554</t>
        </is>
      </c>
      <c r="B36" s="83" t="inlineStr">
        <is>
          <t>vaselinemx</t>
        </is>
      </c>
      <c r="C36" s="83" t="inlineStr">
        <is>
          <t>MX</t>
        </is>
      </c>
      <c r="D36" s="35" t="n">
        <v>3728.3</v>
      </c>
      <c r="E36" s="40">
        <f>D36/1.16</f>
        <v/>
      </c>
      <c r="F36" s="40">
        <f>E36/J36</f>
        <v/>
      </c>
      <c r="G36" s="40">
        <f>F36/1.16</f>
        <v/>
      </c>
      <c r="H36" s="87" t="n">
        <v>0</v>
      </c>
      <c r="I36" s="42" t="n">
        <v>4</v>
      </c>
      <c r="J36" s="74" t="n">
        <v>3</v>
      </c>
      <c r="K36" s="43" t="n">
        <v>46216</v>
      </c>
      <c r="L36" s="38" t="inlineStr">
        <is>
          <t>MILLY</t>
        </is>
      </c>
      <c r="M36" s="38" t="n"/>
      <c r="N36" s="91" t="inlineStr">
        <is>
          <t>GUILLERMO</t>
        </is>
      </c>
    </row>
    <row r="37">
      <c r="A37" s="53" t="inlineStr">
        <is>
          <t>7662862331235978002</t>
        </is>
      </c>
      <c r="B37" s="83" t="inlineStr">
        <is>
          <t>vaselinemx</t>
        </is>
      </c>
      <c r="C37" s="83" t="inlineStr">
        <is>
          <t>MX</t>
        </is>
      </c>
      <c r="D37" s="35" t="n">
        <v>4252.46</v>
      </c>
      <c r="E37" s="40">
        <f>D37/1.16</f>
        <v/>
      </c>
      <c r="F37" s="40">
        <f>E37/J37</f>
        <v/>
      </c>
      <c r="G37" s="40">
        <f>F37/1.16</f>
        <v/>
      </c>
      <c r="H37" s="87" t="n">
        <v>0</v>
      </c>
      <c r="I37" s="42" t="n">
        <v>4</v>
      </c>
      <c r="J37" s="74" t="n">
        <v>3</v>
      </c>
      <c r="K37" s="43" t="n">
        <v>46218</v>
      </c>
      <c r="L37" s="38" t="inlineStr">
        <is>
          <t>MILLY</t>
        </is>
      </c>
      <c r="M37" s="38" t="inlineStr">
        <is>
          <t>SILVANA</t>
        </is>
      </c>
      <c r="N37" s="91" t="inlineStr">
        <is>
          <t>GUILLERMO</t>
        </is>
      </c>
    </row>
    <row r="38">
      <c r="K38" s="84" t="n"/>
    </row>
    <row r="39">
      <c r="K39" s="84" t="n"/>
    </row>
    <row r="40">
      <c r="K40" s="84" t="n"/>
    </row>
    <row r="41">
      <c r="K41" s="84" t="n"/>
    </row>
    <row r="42">
      <c r="K42" s="84" t="n"/>
    </row>
    <row r="43">
      <c r="K43" s="84" t="n"/>
    </row>
    <row r="44">
      <c r="K44" s="84" t="n"/>
    </row>
    <row r="45">
      <c r="K45" s="84" t="n"/>
    </row>
    <row r="46">
      <c r="K46" s="84" t="n"/>
    </row>
    <row r="47">
      <c r="K47" s="84" t="n"/>
    </row>
    <row r="48">
      <c r="K48" s="84" t="n"/>
    </row>
    <row r="49">
      <c r="K49" s="84" t="n"/>
    </row>
    <row r="50">
      <c r="K50" s="84" t="n"/>
    </row>
    <row r="51">
      <c r="K51" s="84" t="n"/>
    </row>
    <row r="52">
      <c r="K52" s="84" t="n"/>
    </row>
    <row r="53">
      <c r="K53" s="84" t="n"/>
    </row>
    <row r="54">
      <c r="K54" s="84" t="n"/>
    </row>
    <row r="55">
      <c r="K55" s="84" t="n"/>
    </row>
    <row r="56">
      <c r="K56" s="84" t="n"/>
    </row>
    <row r="57">
      <c r="K57" s="84" t="n"/>
    </row>
    <row r="58">
      <c r="K58" s="84" t="n"/>
    </row>
    <row r="59">
      <c r="K59" s="84" t="n"/>
    </row>
    <row r="60">
      <c r="K60" s="84" t="n"/>
    </row>
    <row r="61">
      <c r="K61" s="84" t="n"/>
    </row>
    <row r="62">
      <c r="K62" s="84" t="n"/>
    </row>
    <row r="63">
      <c r="K63" s="84" t="n"/>
    </row>
    <row r="64">
      <c r="K64" s="84" t="n"/>
    </row>
    <row r="65">
      <c r="K65" s="84" t="n"/>
    </row>
    <row r="66">
      <c r="K66" s="84" t="n"/>
    </row>
    <row r="67">
      <c r="K67" s="84" t="n"/>
    </row>
    <row r="68">
      <c r="K68" s="84" t="n"/>
    </row>
    <row r="69">
      <c r="K69" s="84" t="n"/>
    </row>
    <row r="70">
      <c r="K70" s="84" t="n"/>
    </row>
    <row r="71">
      <c r="K71" s="84" t="n"/>
    </row>
    <row r="72">
      <c r="K72" s="84" t="n"/>
    </row>
    <row r="73">
      <c r="K73" s="84" t="n"/>
    </row>
    <row r="74">
      <c r="K74" s="84" t="n"/>
    </row>
    <row r="75">
      <c r="K75" s="84" t="n"/>
    </row>
    <row r="76">
      <c r="K76" s="84" t="n"/>
    </row>
    <row r="77">
      <c r="K77" s="84" t="n"/>
    </row>
    <row r="78">
      <c r="K78" s="84" t="n"/>
    </row>
    <row r="79">
      <c r="K79" s="84" t="n"/>
    </row>
    <row r="80">
      <c r="K80" s="84" t="n"/>
    </row>
    <row r="81">
      <c r="K81" s="84" t="n"/>
    </row>
    <row r="82">
      <c r="K82" s="84" t="n"/>
    </row>
    <row r="83">
      <c r="K83" s="84" t="n"/>
    </row>
    <row r="84">
      <c r="K84" s="84" t="n"/>
    </row>
    <row r="85">
      <c r="K85" s="84" t="n"/>
    </row>
    <row r="86">
      <c r="K86" s="84" t="n"/>
    </row>
    <row r="87">
      <c r="K87" s="84" t="n"/>
    </row>
    <row r="88">
      <c r="K88" s="84" t="n"/>
    </row>
    <row r="89">
      <c r="K89" s="84" t="n"/>
    </row>
    <row r="90">
      <c r="K90" s="84" t="n"/>
    </row>
    <row r="91">
      <c r="K91" s="84" t="n"/>
    </row>
    <row r="92">
      <c r="K92" s="84" t="n"/>
    </row>
    <row r="93">
      <c r="K93" s="84" t="n"/>
    </row>
    <row r="94">
      <c r="K94" s="84" t="n"/>
    </row>
    <row r="95">
      <c r="K95" s="84" t="n"/>
    </row>
    <row r="96">
      <c r="K96" s="84" t="n"/>
    </row>
    <row r="97">
      <c r="K97" s="84" t="n"/>
    </row>
    <row r="98">
      <c r="K98" s="84" t="n"/>
    </row>
    <row r="99">
      <c r="K99" s="84" t="n"/>
    </row>
    <row r="100">
      <c r="K100" s="84" t="n"/>
    </row>
    <row r="101">
      <c r="K101" s="84" t="n"/>
    </row>
    <row r="102">
      <c r="K102" s="84" t="n"/>
    </row>
    <row r="103">
      <c r="K103" s="84" t="n"/>
    </row>
    <row r="104">
      <c r="K104" s="84" t="n"/>
    </row>
    <row r="105">
      <c r="K105" s="84" t="n"/>
    </row>
    <row r="106">
      <c r="K106" s="84" t="n"/>
    </row>
    <row r="107">
      <c r="K107" s="84" t="n"/>
    </row>
    <row r="108">
      <c r="K108" s="84" t="n"/>
    </row>
    <row r="109">
      <c r="K109" s="84" t="n"/>
    </row>
    <row r="110">
      <c r="K110" s="84" t="n"/>
    </row>
    <row r="111">
      <c r="K111" s="84" t="n"/>
    </row>
    <row r="112">
      <c r="K112" s="84" t="n"/>
    </row>
    <row r="113">
      <c r="K113" s="84" t="n"/>
    </row>
    <row r="114">
      <c r="K114" s="84" t="n"/>
    </row>
    <row r="115">
      <c r="K115" s="84" t="n"/>
    </row>
    <row r="116">
      <c r="K116" s="84" t="n"/>
    </row>
    <row r="117">
      <c r="K117" s="84" t="n"/>
    </row>
    <row r="118">
      <c r="K118" s="84" t="n"/>
    </row>
    <row r="119">
      <c r="K119" s="84" t="n"/>
    </row>
    <row r="120">
      <c r="K120" s="84" t="n"/>
    </row>
    <row r="121">
      <c r="K121" s="84" t="n"/>
    </row>
    <row r="122">
      <c r="K122" s="84" t="n"/>
    </row>
    <row r="123">
      <c r="K123" s="84" t="n"/>
    </row>
    <row r="124">
      <c r="K124" s="84" t="n"/>
    </row>
    <row r="125">
      <c r="K125" s="84" t="n"/>
    </row>
    <row r="126">
      <c r="K126" s="84" t="n"/>
    </row>
    <row r="127">
      <c r="K127" s="84" t="n"/>
    </row>
    <row r="128">
      <c r="K128" s="84" t="n"/>
    </row>
    <row r="129">
      <c r="K129" s="84" t="n"/>
    </row>
    <row r="130">
      <c r="K130" s="84" t="n"/>
    </row>
    <row r="131">
      <c r="K131" s="84" t="n"/>
    </row>
    <row r="132">
      <c r="K132" s="84" t="n"/>
    </row>
    <row r="133">
      <c r="K133" s="84" t="n"/>
    </row>
    <row r="134">
      <c r="K134" s="84" t="n"/>
    </row>
    <row r="135">
      <c r="K135" s="84" t="n"/>
    </row>
    <row r="136">
      <c r="K136" s="84" t="n"/>
    </row>
    <row r="137">
      <c r="K137" s="84" t="n"/>
    </row>
    <row r="138">
      <c r="K138" s="84" t="n"/>
    </row>
    <row r="139">
      <c r="K139" s="84" t="n"/>
    </row>
    <row r="140">
      <c r="K140" s="84" t="n"/>
    </row>
    <row r="141">
      <c r="K141" s="84" t="n"/>
    </row>
    <row r="142">
      <c r="K142" s="84" t="n"/>
    </row>
    <row r="143">
      <c r="K143" s="84" t="n"/>
    </row>
    <row r="144">
      <c r="K144" s="84" t="n"/>
    </row>
    <row r="145">
      <c r="K145" s="84" t="n"/>
    </row>
    <row r="146">
      <c r="K146" s="84" t="n"/>
    </row>
    <row r="147">
      <c r="K147" s="84" t="n"/>
    </row>
    <row r="148">
      <c r="K148" s="84" t="n"/>
    </row>
    <row r="149">
      <c r="K149" s="84" t="n"/>
    </row>
    <row r="150">
      <c r="K150" s="84" t="n"/>
    </row>
    <row r="151">
      <c r="K151" s="84" t="n"/>
    </row>
    <row r="152">
      <c r="K152" s="84" t="n"/>
    </row>
    <row r="153">
      <c r="K153" s="84" t="n"/>
    </row>
    <row r="154">
      <c r="K154" s="84" t="n"/>
    </row>
    <row r="155">
      <c r="K155" s="84" t="n"/>
    </row>
    <row r="156">
      <c r="K156" s="84" t="n"/>
    </row>
    <row r="157">
      <c r="K157" s="84" t="n"/>
    </row>
    <row r="158">
      <c r="K158" s="84" t="n"/>
    </row>
    <row r="159">
      <c r="K159" s="84" t="n"/>
    </row>
    <row r="160">
      <c r="K160" s="84" t="n"/>
    </row>
    <row r="161">
      <c r="K161" s="84" t="n"/>
    </row>
    <row r="162">
      <c r="K162" s="84" t="n"/>
    </row>
    <row r="163">
      <c r="K163" s="84" t="n"/>
    </row>
    <row r="164">
      <c r="K164" s="84" t="n"/>
    </row>
    <row r="165">
      <c r="K165" s="84" t="n"/>
    </row>
    <row r="166">
      <c r="K166" s="84" t="n"/>
    </row>
    <row r="167">
      <c r="K167" s="84" t="n"/>
    </row>
    <row r="168">
      <c r="K168" s="84" t="n"/>
    </row>
    <row r="169">
      <c r="K169" s="84" t="n"/>
    </row>
    <row r="170">
      <c r="K170" s="84" t="n"/>
    </row>
    <row r="171">
      <c r="K171" s="84" t="n"/>
    </row>
    <row r="172">
      <c r="K172" s="84" t="n"/>
    </row>
    <row r="173">
      <c r="K173" s="84" t="n"/>
    </row>
    <row r="174">
      <c r="K174" s="84" t="n"/>
    </row>
    <row r="175">
      <c r="K175" s="84" t="n"/>
    </row>
    <row r="176">
      <c r="K176" s="84" t="n"/>
    </row>
    <row r="177">
      <c r="K177" s="84" t="n"/>
    </row>
    <row r="178">
      <c r="K178" s="84" t="n"/>
    </row>
    <row r="179">
      <c r="K179" s="84" t="n"/>
    </row>
    <row r="180">
      <c r="K180" s="84" t="n"/>
    </row>
    <row r="181">
      <c r="K181" s="84" t="n"/>
    </row>
    <row r="182">
      <c r="K182" s="84" t="n"/>
    </row>
    <row r="183">
      <c r="K183" s="84" t="n"/>
    </row>
    <row r="184">
      <c r="K184" s="84" t="n"/>
    </row>
    <row r="185">
      <c r="K185" s="84" t="n"/>
    </row>
    <row r="186">
      <c r="K186" s="84" t="n"/>
    </row>
    <row r="187">
      <c r="K187" s="84" t="n"/>
    </row>
    <row r="188">
      <c r="K188" s="84" t="n"/>
    </row>
    <row r="189">
      <c r="K189" s="84" t="n"/>
    </row>
    <row r="190">
      <c r="K190" s="84" t="n"/>
    </row>
    <row r="191">
      <c r="K191" s="84" t="n"/>
    </row>
    <row r="192">
      <c r="K192" s="84" t="n"/>
    </row>
    <row r="193">
      <c r="K193" s="84" t="n"/>
    </row>
    <row r="194">
      <c r="K194" s="84" t="n"/>
    </row>
    <row r="195">
      <c r="K195" s="84" t="n"/>
    </row>
    <row r="196">
      <c r="K196" s="84" t="n"/>
    </row>
    <row r="197">
      <c r="K197" s="84" t="n"/>
    </row>
    <row r="198">
      <c r="K198" s="84" t="n"/>
    </row>
    <row r="199">
      <c r="K199" s="84" t="n"/>
    </row>
    <row r="200">
      <c r="K200" s="84" t="n"/>
    </row>
    <row r="201">
      <c r="K201" s="84" t="n"/>
    </row>
    <row r="202">
      <c r="K202" s="84" t="n"/>
    </row>
    <row r="203">
      <c r="K203" s="84" t="n"/>
    </row>
    <row r="204">
      <c r="K204" s="84" t="n"/>
    </row>
    <row r="205">
      <c r="K205" s="84" t="n"/>
    </row>
    <row r="206">
      <c r="K206" s="84" t="n"/>
    </row>
    <row r="207">
      <c r="K207" s="84" t="n"/>
    </row>
    <row r="208">
      <c r="K208" s="84" t="n"/>
    </row>
    <row r="209">
      <c r="K209" s="84" t="n"/>
    </row>
    <row r="210">
      <c r="K210" s="84" t="n"/>
    </row>
    <row r="211">
      <c r="K211" s="84" t="n"/>
    </row>
    <row r="212">
      <c r="K212" s="84" t="n"/>
    </row>
    <row r="213">
      <c r="K213" s="84" t="n"/>
    </row>
    <row r="214">
      <c r="K214" s="84" t="n"/>
    </row>
    <row r="215">
      <c r="K215" s="84" t="n"/>
    </row>
    <row r="216">
      <c r="K216" s="84" t="n"/>
    </row>
    <row r="217">
      <c r="K217" s="84" t="n"/>
    </row>
    <row r="218">
      <c r="K218" s="84" t="n"/>
    </row>
    <row r="219">
      <c r="K219" s="84" t="n"/>
    </row>
    <row r="220">
      <c r="K220" s="84" t="n"/>
    </row>
    <row r="221">
      <c r="K221" s="84" t="n"/>
    </row>
    <row r="222">
      <c r="K222" s="84" t="n"/>
    </row>
    <row r="223">
      <c r="K223" s="84" t="n"/>
    </row>
    <row r="224">
      <c r="K224" s="84" t="n"/>
    </row>
    <row r="225">
      <c r="K225" s="84" t="n"/>
    </row>
    <row r="226">
      <c r="K226" s="84" t="n"/>
    </row>
    <row r="227">
      <c r="K227" s="84" t="n"/>
    </row>
    <row r="228">
      <c r="K228" s="84" t="n"/>
    </row>
    <row r="229">
      <c r="K229" s="84" t="n"/>
    </row>
    <row r="230">
      <c r="K230" s="84" t="n"/>
    </row>
    <row r="231">
      <c r="K231" s="84" t="n"/>
    </row>
    <row r="232">
      <c r="K232" s="84" t="n"/>
    </row>
    <row r="233">
      <c r="K233" s="84" t="n"/>
    </row>
    <row r="234">
      <c r="K234" s="84" t="n"/>
    </row>
    <row r="235">
      <c r="K235" s="84" t="n"/>
    </row>
    <row r="236">
      <c r="K236" s="84" t="n"/>
    </row>
    <row r="237">
      <c r="K237" s="84" t="n"/>
    </row>
    <row r="238">
      <c r="K238" s="84" t="n"/>
    </row>
    <row r="239">
      <c r="K239" s="84" t="n"/>
    </row>
    <row r="240">
      <c r="K240" s="84" t="n"/>
    </row>
    <row r="241">
      <c r="K241" s="84" t="n"/>
    </row>
    <row r="242">
      <c r="K242" s="84" t="n"/>
    </row>
    <row r="243">
      <c r="K243" s="84" t="n"/>
    </row>
    <row r="244">
      <c r="K244" s="84" t="n"/>
    </row>
    <row r="245">
      <c r="K245" s="84" t="n"/>
    </row>
    <row r="246">
      <c r="K246" s="84" t="n"/>
    </row>
    <row r="247">
      <c r="K247" s="84" t="n"/>
    </row>
    <row r="248">
      <c r="K248" s="84" t="n"/>
    </row>
    <row r="249">
      <c r="K249" s="84" t="n"/>
    </row>
    <row r="250">
      <c r="K250" s="84" t="n"/>
    </row>
    <row r="251">
      <c r="K251" s="84" t="n"/>
    </row>
    <row r="252">
      <c r="K252" s="84" t="n"/>
    </row>
    <row r="253">
      <c r="K253" s="84" t="n"/>
    </row>
    <row r="254">
      <c r="K254" s="84" t="n"/>
    </row>
    <row r="255">
      <c r="K255" s="84" t="n"/>
    </row>
    <row r="256">
      <c r="K256" s="84" t="n"/>
    </row>
    <row r="257">
      <c r="K257" s="84" t="n"/>
    </row>
    <row r="258">
      <c r="K258" s="84" t="n"/>
    </row>
    <row r="259">
      <c r="K259" s="84" t="n"/>
    </row>
    <row r="260">
      <c r="K260" s="84" t="n"/>
    </row>
    <row r="261">
      <c r="K261" s="84" t="n"/>
    </row>
    <row r="262">
      <c r="K262" s="84" t="n"/>
    </row>
    <row r="263">
      <c r="K263" s="84" t="n"/>
    </row>
    <row r="264">
      <c r="K264" s="84" t="n"/>
    </row>
    <row r="265">
      <c r="K265" s="84" t="n"/>
    </row>
    <row r="266">
      <c r="K266" s="84" t="n"/>
    </row>
    <row r="267">
      <c r="K267" s="84" t="n"/>
    </row>
    <row r="268">
      <c r="K268" s="84" t="n"/>
    </row>
    <row r="269">
      <c r="K269" s="84" t="n"/>
    </row>
    <row r="270">
      <c r="K270" s="84" t="n"/>
    </row>
    <row r="271">
      <c r="K271" s="84" t="n"/>
    </row>
    <row r="272">
      <c r="K272" s="84" t="n"/>
    </row>
    <row r="273">
      <c r="K273" s="84" t="n"/>
    </row>
    <row r="274">
      <c r="K274" s="84" t="n"/>
    </row>
    <row r="275">
      <c r="K275" s="84" t="n"/>
    </row>
    <row r="276">
      <c r="K276" s="84" t="n"/>
    </row>
    <row r="277">
      <c r="K277" s="84" t="n"/>
    </row>
    <row r="278">
      <c r="K278" s="84" t="n"/>
    </row>
    <row r="279">
      <c r="K279" s="84" t="n"/>
    </row>
    <row r="280">
      <c r="K280" s="84" t="n"/>
    </row>
    <row r="281">
      <c r="K281" s="84" t="n"/>
    </row>
    <row r="282">
      <c r="K282" s="84" t="n"/>
    </row>
    <row r="283">
      <c r="K283" s="84" t="n"/>
    </row>
    <row r="284">
      <c r="K284" s="84" t="n"/>
    </row>
    <row r="285">
      <c r="K285" s="84" t="n"/>
    </row>
    <row r="286">
      <c r="K286" s="84" t="n"/>
    </row>
    <row r="287">
      <c r="K287" s="84" t="n"/>
    </row>
    <row r="288">
      <c r="K288" s="84" t="n"/>
    </row>
    <row r="289">
      <c r="K289" s="84" t="n"/>
    </row>
    <row r="290">
      <c r="K290" s="84" t="n"/>
    </row>
    <row r="291">
      <c r="K291" s="84" t="n"/>
    </row>
    <row r="292">
      <c r="K292" s="84" t="n"/>
    </row>
    <row r="293">
      <c r="K293" s="84" t="n"/>
    </row>
    <row r="294">
      <c r="K294" s="84" t="n"/>
    </row>
    <row r="295">
      <c r="K295" s="84" t="n"/>
    </row>
    <row r="296">
      <c r="K296" s="84" t="n"/>
    </row>
    <row r="297">
      <c r="K297" s="84" t="n"/>
    </row>
    <row r="298">
      <c r="K298" s="84" t="n"/>
    </row>
    <row r="299">
      <c r="K299" s="84" t="n"/>
    </row>
    <row r="300">
      <c r="K300" s="84" t="n"/>
    </row>
    <row r="301">
      <c r="K301" s="84" t="n"/>
    </row>
    <row r="302">
      <c r="K302" s="84" t="n"/>
    </row>
    <row r="303">
      <c r="K303" s="84" t="n"/>
    </row>
    <row r="304">
      <c r="K304" s="84" t="n"/>
    </row>
    <row r="305">
      <c r="K305" s="84" t="n"/>
    </row>
    <row r="306">
      <c r="K306" s="84" t="n"/>
    </row>
    <row r="307">
      <c r="K307" s="84" t="n"/>
    </row>
    <row r="308">
      <c r="K308" s="84" t="n"/>
    </row>
    <row r="309">
      <c r="K309" s="84" t="n"/>
    </row>
    <row r="310">
      <c r="K310" s="84" t="n"/>
    </row>
    <row r="311">
      <c r="K311" s="84" t="n"/>
    </row>
    <row r="312">
      <c r="K312" s="84" t="n"/>
    </row>
    <row r="313">
      <c r="K313" s="84" t="n"/>
    </row>
    <row r="314">
      <c r="K314" s="84" t="n"/>
    </row>
    <row r="315">
      <c r="K315" s="84" t="n"/>
    </row>
    <row r="316">
      <c r="K316" s="84" t="n"/>
    </row>
    <row r="317">
      <c r="K317" s="84" t="n"/>
    </row>
    <row r="318">
      <c r="K318" s="84" t="n"/>
    </row>
    <row r="319">
      <c r="K319" s="84" t="n"/>
    </row>
    <row r="320">
      <c r="K320" s="84" t="n"/>
    </row>
    <row r="321">
      <c r="K321" s="84" t="n"/>
    </row>
    <row r="322">
      <c r="K322" s="84" t="n"/>
    </row>
    <row r="323">
      <c r="K323" s="84" t="n"/>
    </row>
    <row r="324">
      <c r="K324" s="84" t="n"/>
    </row>
    <row r="325">
      <c r="K325" s="84" t="n"/>
    </row>
    <row r="326">
      <c r="K326" s="84" t="n"/>
    </row>
    <row r="327">
      <c r="K327" s="84" t="n"/>
    </row>
    <row r="328">
      <c r="K328" s="84" t="n"/>
    </row>
    <row r="329">
      <c r="K329" s="84" t="n"/>
    </row>
    <row r="330">
      <c r="K330" s="84" t="n"/>
    </row>
    <row r="331">
      <c r="K331" s="84" t="n"/>
    </row>
    <row r="332">
      <c r="K332" s="84" t="n"/>
    </row>
    <row r="333">
      <c r="K333" s="84" t="n"/>
    </row>
    <row r="334">
      <c r="K334" s="84" t="n"/>
    </row>
    <row r="335">
      <c r="K335" s="84" t="n"/>
    </row>
    <row r="336">
      <c r="K336" s="84" t="n"/>
    </row>
    <row r="337">
      <c r="K337" s="84" t="n"/>
    </row>
    <row r="338">
      <c r="K338" s="84" t="n"/>
    </row>
    <row r="339">
      <c r="K339" s="84" t="n"/>
    </row>
    <row r="340">
      <c r="K340" s="84" t="n"/>
    </row>
    <row r="341">
      <c r="K341" s="84" t="n"/>
    </row>
    <row r="342">
      <c r="K342" s="84" t="n"/>
    </row>
    <row r="343">
      <c r="K343" s="84" t="n"/>
    </row>
    <row r="344">
      <c r="K344" s="84" t="n"/>
    </row>
    <row r="345">
      <c r="K345" s="84" t="n"/>
    </row>
    <row r="346">
      <c r="K346" s="84" t="n"/>
    </row>
    <row r="347">
      <c r="K347" s="84" t="n"/>
    </row>
    <row r="348">
      <c r="K348" s="84" t="n"/>
    </row>
    <row r="349">
      <c r="K349" s="84" t="n"/>
    </row>
    <row r="350">
      <c r="K350" s="84" t="n"/>
    </row>
    <row r="351">
      <c r="K351" s="84" t="n"/>
    </row>
    <row r="352">
      <c r="K352" s="84" t="n"/>
    </row>
    <row r="353">
      <c r="K353" s="84" t="n"/>
    </row>
    <row r="354">
      <c r="K354" s="84" t="n"/>
    </row>
    <row r="355">
      <c r="K355" s="84" t="n"/>
    </row>
    <row r="356">
      <c r="K356" s="84" t="n"/>
    </row>
    <row r="357">
      <c r="K357" s="84" t="n"/>
    </row>
    <row r="358">
      <c r="K358" s="84" t="n"/>
    </row>
    <row r="359">
      <c r="K359" s="84" t="n"/>
    </row>
    <row r="360">
      <c r="K360" s="84" t="n"/>
    </row>
    <row r="361">
      <c r="K361" s="84" t="n"/>
    </row>
    <row r="362">
      <c r="K362" s="84" t="n"/>
    </row>
    <row r="363">
      <c r="K363" s="84" t="n"/>
    </row>
    <row r="364">
      <c r="K364" s="84" t="n"/>
    </row>
    <row r="365">
      <c r="K365" s="84" t="n"/>
    </row>
    <row r="366">
      <c r="K366" s="84" t="n"/>
    </row>
    <row r="367">
      <c r="K367" s="84" t="n"/>
    </row>
    <row r="368">
      <c r="K368" s="84" t="n"/>
    </row>
    <row r="369">
      <c r="K369" s="84" t="n"/>
    </row>
    <row r="370">
      <c r="K370" s="84" t="n"/>
    </row>
    <row r="371">
      <c r="K371" s="84" t="n"/>
    </row>
    <row r="372">
      <c r="K372" s="84" t="n"/>
    </row>
    <row r="373">
      <c r="K373" s="84" t="n"/>
    </row>
    <row r="374">
      <c r="K374" s="84" t="n"/>
    </row>
    <row r="375">
      <c r="K375" s="84" t="n"/>
    </row>
    <row r="376">
      <c r="K376" s="84" t="n"/>
    </row>
    <row r="377">
      <c r="K377" s="84" t="n"/>
    </row>
    <row r="378">
      <c r="K378" s="84" t="n"/>
    </row>
    <row r="379">
      <c r="K379" s="84" t="n"/>
    </row>
    <row r="380">
      <c r="K380" s="84" t="n"/>
    </row>
    <row r="381">
      <c r="K381" s="84" t="n"/>
    </row>
    <row r="382">
      <c r="K382" s="84" t="n"/>
    </row>
    <row r="383">
      <c r="K383" s="84" t="n"/>
    </row>
    <row r="384">
      <c r="K384" s="84" t="n"/>
    </row>
    <row r="385">
      <c r="K385" s="84" t="n"/>
    </row>
    <row r="386">
      <c r="K386" s="84" t="n"/>
    </row>
    <row r="387">
      <c r="K387" s="84" t="n"/>
    </row>
    <row r="388">
      <c r="K388" s="84" t="n"/>
    </row>
    <row r="389">
      <c r="K389" s="84" t="n"/>
    </row>
    <row r="390">
      <c r="K390" s="84" t="n"/>
    </row>
    <row r="391">
      <c r="K391" s="84" t="n"/>
    </row>
    <row r="392">
      <c r="K392" s="84" t="n"/>
    </row>
    <row r="393">
      <c r="K393" s="84" t="n"/>
    </row>
    <row r="394">
      <c r="K394" s="84" t="n"/>
    </row>
    <row r="395">
      <c r="K395" s="84" t="n"/>
    </row>
    <row r="396">
      <c r="K396" s="84" t="n"/>
    </row>
    <row r="397">
      <c r="K397" s="84" t="n"/>
    </row>
    <row r="398">
      <c r="K398" s="84" t="n"/>
    </row>
    <row r="399">
      <c r="K399" s="84" t="n"/>
    </row>
    <row r="400">
      <c r="K400" s="84" t="n"/>
    </row>
    <row r="401">
      <c r="K401" s="84" t="n"/>
    </row>
    <row r="402">
      <c r="K402" s="84" t="n"/>
    </row>
    <row r="403">
      <c r="K403" s="84" t="n"/>
    </row>
    <row r="404">
      <c r="K404" s="84" t="n"/>
    </row>
    <row r="405">
      <c r="K405" s="84" t="n"/>
    </row>
    <row r="406">
      <c r="K406" s="84" t="n"/>
    </row>
    <row r="407">
      <c r="K407" s="84" t="n"/>
    </row>
    <row r="408">
      <c r="K408" s="84" t="n"/>
    </row>
    <row r="409">
      <c r="K409" s="84" t="n"/>
    </row>
    <row r="410">
      <c r="K410" s="84" t="n"/>
    </row>
    <row r="411">
      <c r="K411" s="84" t="n"/>
    </row>
    <row r="412">
      <c r="K412" s="84" t="n"/>
    </row>
    <row r="413">
      <c r="K413" s="84" t="n"/>
    </row>
    <row r="414">
      <c r="K414" s="84" t="n"/>
    </row>
    <row r="415">
      <c r="K415" s="84" t="n"/>
    </row>
    <row r="416">
      <c r="K416" s="84" t="n"/>
    </row>
    <row r="417">
      <c r="K417" s="84" t="n"/>
    </row>
    <row r="418">
      <c r="K418" s="84" t="n"/>
    </row>
    <row r="419">
      <c r="K419" s="84" t="n"/>
    </row>
    <row r="420">
      <c r="K420" s="84" t="n"/>
    </row>
    <row r="421">
      <c r="K421" s="84" t="n"/>
    </row>
    <row r="422">
      <c r="K422" s="84" t="n"/>
    </row>
    <row r="423">
      <c r="K423" s="84" t="n"/>
    </row>
    <row r="424">
      <c r="K424" s="84" t="n"/>
    </row>
    <row r="425">
      <c r="K425" s="84" t="n"/>
    </row>
    <row r="426">
      <c r="K426" s="84" t="n"/>
    </row>
    <row r="427">
      <c r="K427" s="84" t="n"/>
    </row>
    <row r="428">
      <c r="K428" s="84" t="n"/>
    </row>
    <row r="429">
      <c r="K429" s="84" t="n"/>
    </row>
    <row r="430">
      <c r="K430" s="84" t="n"/>
    </row>
    <row r="431">
      <c r="K431" s="84" t="n"/>
    </row>
    <row r="432">
      <c r="K432" s="84" t="n"/>
    </row>
    <row r="433">
      <c r="K433" s="84" t="n"/>
    </row>
    <row r="434">
      <c r="K434" s="84" t="n"/>
    </row>
    <row r="435">
      <c r="K435" s="84" t="n"/>
    </row>
    <row r="436">
      <c r="K436" s="84" t="n"/>
    </row>
    <row r="437">
      <c r="K437" s="84" t="n"/>
    </row>
    <row r="438">
      <c r="K438" s="84" t="n"/>
    </row>
    <row r="439">
      <c r="K439" s="84" t="n"/>
    </row>
    <row r="440">
      <c r="K440" s="84" t="n"/>
    </row>
    <row r="441">
      <c r="K441" s="84" t="n"/>
    </row>
    <row r="442">
      <c r="K442" s="84" t="n"/>
    </row>
    <row r="443">
      <c r="K443" s="84" t="n"/>
    </row>
    <row r="444">
      <c r="K444" s="84" t="n"/>
    </row>
    <row r="445">
      <c r="K445" s="84" t="n"/>
    </row>
    <row r="446">
      <c r="K446" s="84" t="n"/>
    </row>
    <row r="447">
      <c r="K447" s="84" t="n"/>
    </row>
    <row r="448">
      <c r="K448" s="84" t="n"/>
    </row>
    <row r="449">
      <c r="K449" s="84" t="n"/>
    </row>
    <row r="450">
      <c r="K450" s="84" t="n"/>
    </row>
    <row r="451">
      <c r="K451" s="84" t="n"/>
    </row>
    <row r="452">
      <c r="K452" s="84" t="n"/>
    </row>
    <row r="453">
      <c r="K453" s="84" t="n"/>
    </row>
    <row r="454">
      <c r="K454" s="84" t="n"/>
    </row>
    <row r="455">
      <c r="K455" s="84" t="n"/>
    </row>
    <row r="456">
      <c r="K456" s="84" t="n"/>
    </row>
    <row r="457">
      <c r="K457" s="84" t="n"/>
    </row>
    <row r="458">
      <c r="K458" s="84" t="n"/>
    </row>
    <row r="459">
      <c r="K459" s="84" t="n"/>
    </row>
    <row r="460">
      <c r="K460" s="84" t="n"/>
    </row>
    <row r="461">
      <c r="K461" s="84" t="n"/>
    </row>
    <row r="462">
      <c r="K462" s="84" t="n"/>
    </row>
    <row r="463">
      <c r="K463" s="84" t="n"/>
    </row>
    <row r="464">
      <c r="K464" s="84" t="n"/>
    </row>
    <row r="465">
      <c r="K465" s="84" t="n"/>
    </row>
    <row r="466">
      <c r="K466" s="84" t="n"/>
    </row>
    <row r="467">
      <c r="K467" s="84" t="n"/>
    </row>
    <row r="468">
      <c r="K468" s="84" t="n"/>
    </row>
    <row r="469">
      <c r="K469" s="84" t="n"/>
    </row>
    <row r="470">
      <c r="K470" s="84" t="n"/>
    </row>
    <row r="471">
      <c r="K471" s="84" t="n"/>
    </row>
    <row r="472">
      <c r="K472" s="84" t="n"/>
    </row>
    <row r="473">
      <c r="K473" s="84" t="n"/>
    </row>
    <row r="474">
      <c r="K474" s="84" t="n"/>
    </row>
    <row r="475">
      <c r="K475" s="84" t="n"/>
    </row>
    <row r="476">
      <c r="K476" s="84" t="n"/>
    </row>
    <row r="477">
      <c r="K477" s="84" t="n"/>
    </row>
    <row r="478">
      <c r="K478" s="84" t="n"/>
    </row>
    <row r="479">
      <c r="K479" s="84" t="n"/>
    </row>
    <row r="480">
      <c r="K480" s="84" t="n"/>
    </row>
    <row r="481">
      <c r="K481" s="84" t="n"/>
    </row>
    <row r="482">
      <c r="K482" s="84" t="n"/>
    </row>
    <row r="483">
      <c r="K483" s="84" t="n"/>
    </row>
    <row r="484">
      <c r="K484" s="84" t="n"/>
    </row>
    <row r="485">
      <c r="K485" s="84" t="n"/>
    </row>
    <row r="486">
      <c r="K486" s="84" t="n"/>
    </row>
    <row r="487">
      <c r="K487" s="84" t="n"/>
    </row>
    <row r="488">
      <c r="K488" s="84" t="n"/>
    </row>
    <row r="489">
      <c r="K489" s="84" t="n"/>
    </row>
    <row r="490">
      <c r="K490" s="84" t="n"/>
    </row>
    <row r="491">
      <c r="K491" s="84" t="n"/>
    </row>
    <row r="492">
      <c r="K492" s="84" t="n"/>
    </row>
    <row r="493">
      <c r="K493" s="84" t="n"/>
    </row>
    <row r="494">
      <c r="K494" s="84" t="n"/>
    </row>
    <row r="495">
      <c r="K495" s="84" t="n"/>
    </row>
    <row r="496">
      <c r="K496" s="84" t="n"/>
    </row>
    <row r="497">
      <c r="K497" s="84" t="n"/>
    </row>
    <row r="498">
      <c r="K498" s="84" t="n"/>
    </row>
    <row r="499">
      <c r="K499" s="84" t="n"/>
    </row>
    <row r="500">
      <c r="K500" s="84" t="n"/>
    </row>
    <row r="501">
      <c r="K501" s="84" t="n"/>
    </row>
    <row r="502">
      <c r="K502" s="84" t="n"/>
    </row>
    <row r="503">
      <c r="K503" s="84" t="n"/>
    </row>
    <row r="504">
      <c r="K504" s="84" t="n"/>
    </row>
    <row r="505">
      <c r="K505" s="84" t="n"/>
    </row>
    <row r="506">
      <c r="K506" s="84" t="n"/>
    </row>
    <row r="507">
      <c r="K507" s="84" t="n"/>
    </row>
    <row r="508">
      <c r="K508" s="84" t="n"/>
    </row>
    <row r="509">
      <c r="K509" s="84" t="n"/>
    </row>
    <row r="510">
      <c r="K510" s="84" t="n"/>
    </row>
    <row r="511">
      <c r="K511" s="84" t="n"/>
    </row>
    <row r="512">
      <c r="K512" s="84" t="n"/>
    </row>
    <row r="513">
      <c r="K513" s="84" t="n"/>
    </row>
    <row r="514">
      <c r="K514" s="84" t="n"/>
    </row>
    <row r="515">
      <c r="K515" s="84" t="n"/>
    </row>
    <row r="516">
      <c r="K516" s="84" t="n"/>
    </row>
    <row r="517">
      <c r="K517" s="84" t="n"/>
    </row>
    <row r="518">
      <c r="K518" s="84" t="n"/>
    </row>
    <row r="519">
      <c r="K519" s="84" t="n"/>
    </row>
    <row r="520">
      <c r="K520" s="84" t="n"/>
    </row>
    <row r="521">
      <c r="K521" s="84" t="n"/>
    </row>
    <row r="522">
      <c r="K522" s="84" t="n"/>
    </row>
    <row r="523">
      <c r="K523" s="84" t="n"/>
    </row>
    <row r="524">
      <c r="K524" s="84" t="n"/>
    </row>
    <row r="525">
      <c r="K525" s="84" t="n"/>
    </row>
    <row r="526">
      <c r="K526" s="84" t="n"/>
    </row>
    <row r="527">
      <c r="K527" s="84" t="n"/>
    </row>
    <row r="528">
      <c r="K528" s="84" t="n"/>
    </row>
    <row r="529">
      <c r="K529" s="84" t="n"/>
    </row>
    <row r="530">
      <c r="K530" s="84" t="n"/>
    </row>
    <row r="531">
      <c r="K531" s="84" t="n"/>
    </row>
    <row r="532">
      <c r="K532" s="84" t="n"/>
    </row>
    <row r="533">
      <c r="K533" s="84" t="n"/>
    </row>
    <row r="534">
      <c r="K534" s="84" t="n"/>
    </row>
    <row r="535">
      <c r="K535" s="84" t="n"/>
    </row>
    <row r="536">
      <c r="K536" s="84" t="n"/>
    </row>
    <row r="537">
      <c r="K537" s="84" t="n"/>
    </row>
    <row r="538">
      <c r="K538" s="84" t="n"/>
    </row>
    <row r="539">
      <c r="K539" s="84" t="n"/>
    </row>
    <row r="540">
      <c r="K540" s="84" t="n"/>
    </row>
    <row r="541">
      <c r="K541" s="84" t="n"/>
    </row>
    <row r="542">
      <c r="K542" s="84" t="n"/>
    </row>
    <row r="543">
      <c r="K543" s="84" t="n"/>
    </row>
    <row r="544">
      <c r="K544" s="84" t="n"/>
    </row>
    <row r="545">
      <c r="K545" s="84" t="n"/>
    </row>
    <row r="546">
      <c r="K546" s="84" t="n"/>
    </row>
    <row r="547">
      <c r="K547" s="84" t="n"/>
    </row>
    <row r="548">
      <c r="K548" s="84" t="n"/>
    </row>
    <row r="549">
      <c r="K549" s="84" t="n"/>
    </row>
    <row r="550">
      <c r="K550" s="84" t="n"/>
    </row>
    <row r="551">
      <c r="K551" s="84" t="n"/>
    </row>
    <row r="552">
      <c r="K552" s="84" t="n"/>
    </row>
    <row r="553">
      <c r="K553" s="84" t="n"/>
    </row>
    <row r="554">
      <c r="K554" s="84" t="n"/>
    </row>
    <row r="555">
      <c r="K555" s="84" t="n"/>
    </row>
    <row r="556">
      <c r="K556" s="84" t="n"/>
    </row>
    <row r="557">
      <c r="K557" s="84" t="n"/>
    </row>
    <row r="558">
      <c r="K558" s="84" t="n"/>
    </row>
    <row r="559">
      <c r="K559" s="84" t="n"/>
    </row>
    <row r="560">
      <c r="K560" s="84" t="n"/>
    </row>
    <row r="561">
      <c r="K561" s="84" t="n"/>
    </row>
    <row r="562">
      <c r="K562" s="84" t="n"/>
    </row>
    <row r="563">
      <c r="K563" s="84" t="n"/>
    </row>
    <row r="564">
      <c r="K564" s="84" t="n"/>
    </row>
    <row r="565">
      <c r="K565" s="84" t="n"/>
    </row>
    <row r="566">
      <c r="K566" s="84" t="n"/>
    </row>
    <row r="567">
      <c r="K567" s="84" t="n"/>
    </row>
    <row r="568">
      <c r="K568" s="84" t="n"/>
    </row>
    <row r="569">
      <c r="K569" s="84" t="n"/>
    </row>
    <row r="570">
      <c r="K570" s="84" t="n"/>
    </row>
    <row r="571">
      <c r="K571" s="84" t="n"/>
    </row>
    <row r="572">
      <c r="K572" s="84" t="n"/>
    </row>
    <row r="573">
      <c r="K573" s="84" t="n"/>
    </row>
    <row r="574">
      <c r="K574" s="84" t="n"/>
    </row>
    <row r="575">
      <c r="K575" s="84" t="n"/>
    </row>
    <row r="576">
      <c r="K576" s="84" t="n"/>
    </row>
    <row r="577">
      <c r="K577" s="84" t="n"/>
    </row>
    <row r="578">
      <c r="K578" s="84" t="n"/>
    </row>
    <row r="579">
      <c r="K579" s="84" t="n"/>
    </row>
    <row r="580">
      <c r="K580" s="84" t="n"/>
    </row>
    <row r="581">
      <c r="K581" s="84" t="n"/>
    </row>
    <row r="582">
      <c r="K582" s="84" t="n"/>
    </row>
    <row r="583">
      <c r="K583" s="84" t="n"/>
    </row>
    <row r="584">
      <c r="K584" s="84" t="n"/>
    </row>
    <row r="585">
      <c r="K585" s="84" t="n"/>
    </row>
    <row r="586">
      <c r="K586" s="84" t="n"/>
    </row>
    <row r="587">
      <c r="K587" s="84" t="n"/>
    </row>
    <row r="588">
      <c r="K588" s="84" t="n"/>
    </row>
    <row r="589">
      <c r="K589" s="84" t="n"/>
    </row>
    <row r="590">
      <c r="K590" s="84" t="n"/>
    </row>
    <row r="591">
      <c r="K591" s="84" t="n"/>
    </row>
    <row r="592">
      <c r="K592" s="84" t="n"/>
    </row>
    <row r="593">
      <c r="K593" s="84" t="n"/>
    </row>
    <row r="594">
      <c r="K594" s="84" t="n"/>
    </row>
    <row r="595">
      <c r="K595" s="84" t="n"/>
    </row>
    <row r="596">
      <c r="K596" s="84" t="n"/>
    </row>
    <row r="597">
      <c r="K597" s="84" t="n"/>
    </row>
    <row r="598">
      <c r="K598" s="84" t="n"/>
    </row>
    <row r="599">
      <c r="K599" s="84" t="n"/>
    </row>
    <row r="600">
      <c r="K600" s="84" t="n"/>
    </row>
    <row r="601">
      <c r="K601" s="84" t="n"/>
    </row>
    <row r="602">
      <c r="K602" s="84" t="n"/>
    </row>
    <row r="603">
      <c r="K603" s="84" t="n"/>
    </row>
    <row r="604">
      <c r="K604" s="84" t="n"/>
    </row>
    <row r="605">
      <c r="K605" s="84" t="n"/>
    </row>
    <row r="606">
      <c r="K606" s="84" t="n"/>
    </row>
    <row r="607">
      <c r="K607" s="84" t="n"/>
    </row>
    <row r="608">
      <c r="K608" s="84" t="n"/>
    </row>
    <row r="609">
      <c r="K609" s="84" t="n"/>
    </row>
    <row r="610">
      <c r="K610" s="84" t="n"/>
    </row>
    <row r="611">
      <c r="K611" s="84" t="n"/>
    </row>
    <row r="612">
      <c r="K612" s="84" t="n"/>
    </row>
    <row r="613">
      <c r="K613" s="84" t="n"/>
    </row>
    <row r="614">
      <c r="K614" s="84" t="n"/>
    </row>
    <row r="615">
      <c r="K615" s="84" t="n"/>
    </row>
    <row r="616">
      <c r="K616" s="84" t="n"/>
    </row>
    <row r="617">
      <c r="K617" s="84" t="n"/>
    </row>
    <row r="618">
      <c r="K618" s="84" t="n"/>
    </row>
    <row r="619">
      <c r="K619" s="84" t="n"/>
    </row>
    <row r="620">
      <c r="K620" s="84" t="n"/>
    </row>
    <row r="621">
      <c r="K621" s="84" t="n"/>
    </row>
    <row r="622">
      <c r="K622" s="84" t="n"/>
    </row>
    <row r="623">
      <c r="K623" s="84" t="n"/>
    </row>
    <row r="624">
      <c r="K624" s="84" t="n"/>
    </row>
    <row r="625">
      <c r="K625" s="84" t="n"/>
    </row>
    <row r="626">
      <c r="K626" s="84" t="n"/>
    </row>
    <row r="627">
      <c r="K627" s="84" t="n"/>
    </row>
    <row r="628">
      <c r="K628" s="84" t="n"/>
    </row>
    <row r="629">
      <c r="K629" s="84" t="n"/>
    </row>
    <row r="630">
      <c r="K630" s="84" t="n"/>
    </row>
    <row r="631">
      <c r="K631" s="84" t="n"/>
    </row>
    <row r="632">
      <c r="K632" s="84" t="n"/>
    </row>
    <row r="633">
      <c r="K633" s="84" t="n"/>
    </row>
    <row r="634">
      <c r="K634" s="84" t="n"/>
    </row>
    <row r="635">
      <c r="K635" s="84" t="n"/>
    </row>
    <row r="636">
      <c r="K636" s="84" t="n"/>
    </row>
    <row r="637">
      <c r="K637" s="84" t="n"/>
    </row>
    <row r="638">
      <c r="K638" s="84" t="n"/>
    </row>
    <row r="639">
      <c r="K639" s="84" t="n"/>
    </row>
    <row r="640">
      <c r="K640" s="84" t="n"/>
    </row>
    <row r="641">
      <c r="K641" s="84" t="n"/>
    </row>
    <row r="642">
      <c r="K642" s="84" t="n"/>
    </row>
    <row r="643">
      <c r="K643" s="84" t="n"/>
    </row>
    <row r="644">
      <c r="K644" s="84" t="n"/>
    </row>
    <row r="645">
      <c r="K645" s="84" t="n"/>
    </row>
    <row r="646">
      <c r="K646" s="84" t="n"/>
    </row>
    <row r="647">
      <c r="K647" s="84" t="n"/>
    </row>
    <row r="648">
      <c r="K648" s="84" t="n"/>
    </row>
    <row r="649">
      <c r="K649" s="84" t="n"/>
    </row>
    <row r="650">
      <c r="K650" s="84" t="n"/>
    </row>
    <row r="651">
      <c r="K651" s="84" t="n"/>
    </row>
    <row r="652">
      <c r="K652" s="84" t="n"/>
    </row>
    <row r="653">
      <c r="K653" s="84" t="n"/>
    </row>
    <row r="654">
      <c r="K654" s="84" t="n"/>
    </row>
    <row r="655">
      <c r="K655" s="84" t="n"/>
    </row>
    <row r="656">
      <c r="K656" s="84" t="n"/>
    </row>
    <row r="657">
      <c r="K657" s="84" t="n"/>
    </row>
    <row r="658">
      <c r="K658" s="84" t="n"/>
    </row>
    <row r="659">
      <c r="K659" s="84" t="n"/>
    </row>
    <row r="660">
      <c r="K660" s="84" t="n"/>
    </row>
    <row r="661">
      <c r="K661" s="84" t="n"/>
    </row>
    <row r="662">
      <c r="K662" s="84" t="n"/>
    </row>
    <row r="663">
      <c r="K663" s="84" t="n"/>
    </row>
    <row r="664">
      <c r="K664" s="84" t="n"/>
    </row>
    <row r="665">
      <c r="K665" s="84" t="n"/>
    </row>
    <row r="666">
      <c r="K666" s="84" t="n"/>
    </row>
    <row r="667">
      <c r="K667" s="84" t="n"/>
    </row>
    <row r="668">
      <c r="K668" s="84" t="n"/>
    </row>
    <row r="669">
      <c r="K669" s="84" t="n"/>
    </row>
    <row r="670">
      <c r="K670" s="84" t="n"/>
    </row>
    <row r="671">
      <c r="K671" s="84" t="n"/>
    </row>
    <row r="672">
      <c r="K672" s="84" t="n"/>
    </row>
    <row r="673">
      <c r="K673" s="84" t="n"/>
    </row>
    <row r="674">
      <c r="K674" s="84" t="n"/>
    </row>
    <row r="675">
      <c r="K675" s="84" t="n"/>
    </row>
    <row r="676">
      <c r="K676" s="84" t="n"/>
    </row>
    <row r="677">
      <c r="K677" s="84" t="n"/>
    </row>
    <row r="678">
      <c r="K678" s="84" t="n"/>
    </row>
    <row r="679">
      <c r="K679" s="84" t="n"/>
    </row>
    <row r="680">
      <c r="K680" s="84" t="n"/>
    </row>
    <row r="681">
      <c r="K681" s="84" t="n"/>
    </row>
    <row r="682">
      <c r="K682" s="84" t="n"/>
    </row>
    <row r="683">
      <c r="K683" s="84" t="n"/>
    </row>
    <row r="684">
      <c r="K684" s="84" t="n"/>
    </row>
    <row r="685">
      <c r="K685" s="84" t="n"/>
    </row>
    <row r="686">
      <c r="K686" s="84" t="n"/>
    </row>
    <row r="687">
      <c r="K687" s="84" t="n"/>
    </row>
    <row r="688">
      <c r="K688" s="84" t="n"/>
    </row>
    <row r="689">
      <c r="K689" s="84" t="n"/>
    </row>
    <row r="690">
      <c r="K690" s="84" t="n"/>
    </row>
    <row r="691">
      <c r="K691" s="84" t="n"/>
    </row>
    <row r="692">
      <c r="K692" s="84" t="n"/>
    </row>
    <row r="693">
      <c r="K693" s="84" t="n"/>
    </row>
    <row r="694">
      <c r="K694" s="84" t="n"/>
    </row>
    <row r="695">
      <c r="K695" s="84" t="n"/>
    </row>
    <row r="696">
      <c r="K696" s="84" t="n"/>
    </row>
    <row r="697">
      <c r="K697" s="84" t="n"/>
    </row>
    <row r="698">
      <c r="K698" s="84" t="n"/>
    </row>
    <row r="699">
      <c r="K699" s="84" t="n"/>
    </row>
    <row r="700">
      <c r="K700" s="84" t="n"/>
    </row>
    <row r="701">
      <c r="K701" s="84" t="n"/>
    </row>
    <row r="702">
      <c r="K702" s="84" t="n"/>
    </row>
    <row r="703">
      <c r="K703" s="84" t="n"/>
    </row>
    <row r="704">
      <c r="K704" s="84" t="n"/>
    </row>
    <row r="705">
      <c r="K705" s="84" t="n"/>
    </row>
    <row r="706">
      <c r="K706" s="84" t="n"/>
    </row>
    <row r="707">
      <c r="K707" s="84" t="n"/>
    </row>
    <row r="708">
      <c r="K708" s="84" t="n"/>
    </row>
    <row r="709">
      <c r="K709" s="84" t="n"/>
    </row>
    <row r="710">
      <c r="K710" s="84" t="n"/>
    </row>
    <row r="711">
      <c r="K711" s="84" t="n"/>
    </row>
    <row r="712">
      <c r="K712" s="84" t="n"/>
    </row>
    <row r="713">
      <c r="K713" s="84" t="n"/>
    </row>
    <row r="714">
      <c r="K714" s="84" t="n"/>
    </row>
    <row r="715">
      <c r="K715" s="84" t="n"/>
    </row>
    <row r="716">
      <c r="K716" s="84" t="n"/>
    </row>
    <row r="717">
      <c r="K717" s="84" t="n"/>
    </row>
    <row r="718">
      <c r="K718" s="84" t="n"/>
    </row>
    <row r="719">
      <c r="K719" s="84" t="n"/>
    </row>
    <row r="720">
      <c r="K720" s="84" t="n"/>
    </row>
    <row r="721">
      <c r="K721" s="84" t="n"/>
    </row>
    <row r="722">
      <c r="K722" s="84" t="n"/>
    </row>
    <row r="723">
      <c r="K723" s="84" t="n"/>
    </row>
    <row r="724">
      <c r="K724" s="84" t="n"/>
    </row>
    <row r="725">
      <c r="K725" s="84" t="n"/>
    </row>
    <row r="726">
      <c r="K726" s="84" t="n"/>
    </row>
    <row r="727">
      <c r="K727" s="84" t="n"/>
    </row>
    <row r="728">
      <c r="K728" s="84" t="n"/>
    </row>
    <row r="729">
      <c r="K729" s="84" t="n"/>
    </row>
    <row r="730">
      <c r="K730" s="84" t="n"/>
    </row>
    <row r="731">
      <c r="K731" s="84" t="n"/>
    </row>
    <row r="732">
      <c r="K732" s="84" t="n"/>
    </row>
    <row r="733">
      <c r="K733" s="84" t="n"/>
    </row>
    <row r="734">
      <c r="K734" s="84" t="n"/>
    </row>
    <row r="735">
      <c r="K735" s="84" t="n"/>
    </row>
    <row r="736">
      <c r="K736" s="84" t="n"/>
    </row>
    <row r="737">
      <c r="K737" s="84" t="n"/>
    </row>
    <row r="738">
      <c r="K738" s="84" t="n"/>
    </row>
    <row r="739">
      <c r="K739" s="84" t="n"/>
    </row>
    <row r="740">
      <c r="K740" s="84" t="n"/>
    </row>
    <row r="741">
      <c r="K741" s="84" t="n"/>
    </row>
    <row r="742">
      <c r="K742" s="84" t="n"/>
    </row>
    <row r="743">
      <c r="K743" s="84" t="n"/>
    </row>
    <row r="744">
      <c r="K744" s="84" t="n"/>
    </row>
    <row r="745">
      <c r="K745" s="84" t="n"/>
    </row>
    <row r="746">
      <c r="K746" s="84" t="n"/>
    </row>
    <row r="747">
      <c r="K747" s="84" t="n"/>
    </row>
    <row r="748">
      <c r="K748" s="84" t="n"/>
    </row>
    <row r="749">
      <c r="K749" s="84" t="n"/>
    </row>
    <row r="750">
      <c r="K750" s="84" t="n"/>
    </row>
    <row r="751">
      <c r="K751" s="84" t="n"/>
    </row>
    <row r="752">
      <c r="K752" s="84" t="n"/>
    </row>
    <row r="753">
      <c r="K753" s="84" t="n"/>
    </row>
    <row r="754">
      <c r="K754" s="84" t="n"/>
    </row>
    <row r="755">
      <c r="K755" s="84" t="n"/>
    </row>
    <row r="756">
      <c r="K756" s="84" t="n"/>
    </row>
    <row r="757">
      <c r="K757" s="84" t="n"/>
    </row>
    <row r="758">
      <c r="K758" s="84" t="n"/>
    </row>
    <row r="759">
      <c r="K759" s="84" t="n"/>
    </row>
    <row r="760">
      <c r="K760" s="84" t="n"/>
    </row>
    <row r="761">
      <c r="K761" s="84" t="n"/>
    </row>
    <row r="762">
      <c r="K762" s="84" t="n"/>
    </row>
    <row r="763">
      <c r="K763" s="84" t="n"/>
    </row>
    <row r="764">
      <c r="K764" s="84" t="n"/>
    </row>
    <row r="765">
      <c r="K765" s="84" t="n"/>
    </row>
    <row r="766">
      <c r="K766" s="84" t="n"/>
    </row>
    <row r="767">
      <c r="K767" s="84" t="n"/>
    </row>
    <row r="768">
      <c r="K768" s="84" t="n"/>
    </row>
    <row r="769">
      <c r="K769" s="84" t="n"/>
    </row>
    <row r="770">
      <c r="K770" s="84" t="n"/>
    </row>
    <row r="771">
      <c r="K771" s="84" t="n"/>
    </row>
    <row r="772">
      <c r="K772" s="84" t="n"/>
    </row>
    <row r="773">
      <c r="K773" s="84" t="n"/>
    </row>
    <row r="774">
      <c r="K774" s="84" t="n"/>
    </row>
    <row r="775">
      <c r="K775" s="84" t="n"/>
    </row>
    <row r="776">
      <c r="K776" s="84" t="n"/>
    </row>
    <row r="777">
      <c r="K777" s="84" t="n"/>
    </row>
    <row r="778">
      <c r="K778" s="84" t="n"/>
    </row>
    <row r="779">
      <c r="K779" s="84" t="n"/>
    </row>
    <row r="780">
      <c r="K780" s="84" t="n"/>
    </row>
    <row r="781">
      <c r="K781" s="84" t="n"/>
    </row>
    <row r="782">
      <c r="K782" s="84" t="n"/>
    </row>
    <row r="783">
      <c r="K783" s="84" t="n"/>
    </row>
    <row r="784">
      <c r="K784" s="84" t="n"/>
    </row>
    <row r="785">
      <c r="K785" s="84" t="n"/>
    </row>
    <row r="786">
      <c r="K786" s="84" t="n"/>
    </row>
    <row r="787">
      <c r="K787" s="84" t="n"/>
    </row>
    <row r="788">
      <c r="K788" s="84" t="n"/>
    </row>
    <row r="789">
      <c r="K789" s="84" t="n"/>
    </row>
    <row r="790">
      <c r="K790" s="84" t="n"/>
    </row>
    <row r="791">
      <c r="K791" s="84" t="n"/>
    </row>
    <row r="792">
      <c r="K792" s="84" t="n"/>
    </row>
    <row r="793">
      <c r="K793" s="84" t="n"/>
    </row>
    <row r="794">
      <c r="K794" s="84" t="n"/>
    </row>
    <row r="795">
      <c r="K795" s="84" t="n"/>
    </row>
    <row r="796">
      <c r="K796" s="84" t="n"/>
    </row>
    <row r="797">
      <c r="K797" s="84" t="n"/>
    </row>
    <row r="798">
      <c r="K798" s="84" t="n"/>
    </row>
    <row r="799">
      <c r="K799" s="84" t="n"/>
    </row>
    <row r="800">
      <c r="K800" s="84" t="n"/>
    </row>
    <row r="801">
      <c r="K801" s="84" t="n"/>
    </row>
    <row r="802">
      <c r="K802" s="84" t="n"/>
    </row>
    <row r="803">
      <c r="K803" s="84" t="n"/>
    </row>
    <row r="804">
      <c r="K804" s="84" t="n"/>
    </row>
    <row r="805">
      <c r="K805" s="84" t="n"/>
    </row>
    <row r="806">
      <c r="K806" s="84" t="n"/>
    </row>
    <row r="807">
      <c r="K807" s="84" t="n"/>
    </row>
    <row r="808">
      <c r="K808" s="84" t="n"/>
    </row>
    <row r="809">
      <c r="K809" s="84" t="n"/>
    </row>
    <row r="810">
      <c r="K810" s="84" t="n"/>
    </row>
    <row r="811">
      <c r="K811" s="84" t="n"/>
    </row>
    <row r="812">
      <c r="K812" s="84" t="n"/>
    </row>
    <row r="813">
      <c r="K813" s="84" t="n"/>
    </row>
    <row r="814">
      <c r="K814" s="84" t="n"/>
    </row>
    <row r="815">
      <c r="K815" s="84" t="n"/>
    </row>
    <row r="816">
      <c r="K816" s="84" t="n"/>
    </row>
    <row r="817">
      <c r="K817" s="84" t="n"/>
    </row>
    <row r="818">
      <c r="K818" s="84" t="n"/>
    </row>
    <row r="819">
      <c r="K819" s="84" t="n"/>
    </row>
    <row r="820">
      <c r="K820" s="84" t="n"/>
    </row>
    <row r="821">
      <c r="K821" s="84" t="n"/>
    </row>
    <row r="822">
      <c r="K822" s="84" t="n"/>
    </row>
    <row r="823">
      <c r="K823" s="84" t="n"/>
    </row>
    <row r="824">
      <c r="K824" s="84" t="n"/>
    </row>
    <row r="825">
      <c r="K825" s="84" t="n"/>
    </row>
    <row r="826">
      <c r="K826" s="84" t="n"/>
    </row>
    <row r="827">
      <c r="K827" s="84" t="n"/>
    </row>
    <row r="828">
      <c r="K828" s="84" t="n"/>
    </row>
    <row r="829">
      <c r="K829" s="84" t="n"/>
    </row>
    <row r="830">
      <c r="K830" s="84" t="n"/>
    </row>
    <row r="831">
      <c r="K831" s="84" t="n"/>
    </row>
    <row r="832">
      <c r="K832" s="84" t="n"/>
    </row>
    <row r="833">
      <c r="K833" s="84" t="n"/>
    </row>
    <row r="834">
      <c r="K834" s="84" t="n"/>
    </row>
    <row r="835">
      <c r="K835" s="84" t="n"/>
    </row>
    <row r="836">
      <c r="K836" s="84" t="n"/>
    </row>
    <row r="837">
      <c r="K837" s="84" t="n"/>
    </row>
    <row r="838">
      <c r="K838" s="84" t="n"/>
    </row>
    <row r="839">
      <c r="K839" s="84" t="n"/>
    </row>
    <row r="840">
      <c r="K840" s="84" t="n"/>
    </row>
    <row r="841">
      <c r="K841" s="84" t="n"/>
    </row>
    <row r="842">
      <c r="K842" s="84" t="n"/>
    </row>
    <row r="843">
      <c r="K843" s="84" t="n"/>
    </row>
    <row r="844">
      <c r="K844" s="84" t="n"/>
    </row>
    <row r="845">
      <c r="K845" s="84" t="n"/>
    </row>
    <row r="846">
      <c r="K846" s="84" t="n"/>
    </row>
    <row r="847">
      <c r="K847" s="84" t="n"/>
    </row>
    <row r="848">
      <c r="K848" s="84" t="n"/>
    </row>
    <row r="849">
      <c r="K849" s="84" t="n"/>
    </row>
    <row r="850">
      <c r="K850" s="84" t="n"/>
    </row>
    <row r="851">
      <c r="K851" s="84" t="n"/>
    </row>
    <row r="852">
      <c r="K852" s="84" t="n"/>
    </row>
    <row r="853">
      <c r="K853" s="84" t="n"/>
    </row>
    <row r="854">
      <c r="K854" s="84" t="n"/>
    </row>
    <row r="855">
      <c r="K855" s="84" t="n"/>
    </row>
    <row r="856">
      <c r="K856" s="84" t="n"/>
    </row>
    <row r="857">
      <c r="K857" s="84" t="n"/>
    </row>
    <row r="858">
      <c r="K858" s="84" t="n"/>
    </row>
    <row r="859">
      <c r="K859" s="84" t="n"/>
    </row>
    <row r="860">
      <c r="K860" s="84" t="n"/>
    </row>
    <row r="861">
      <c r="K861" s="84" t="n"/>
    </row>
    <row r="862">
      <c r="K862" s="84" t="n"/>
    </row>
    <row r="863">
      <c r="K863" s="84" t="n"/>
    </row>
    <row r="864">
      <c r="K864" s="84" t="n"/>
    </row>
    <row r="865">
      <c r="K865" s="84" t="n"/>
    </row>
    <row r="866">
      <c r="K866" s="84" t="n"/>
    </row>
    <row r="867">
      <c r="K867" s="84" t="n"/>
    </row>
    <row r="868">
      <c r="K868" s="84" t="n"/>
    </row>
    <row r="869">
      <c r="K869" s="84" t="n"/>
    </row>
    <row r="870">
      <c r="K870" s="84" t="n"/>
    </row>
    <row r="871">
      <c r="K871" s="84" t="n"/>
    </row>
    <row r="872">
      <c r="K872" s="84" t="n"/>
    </row>
    <row r="873">
      <c r="K873" s="84" t="n"/>
    </row>
    <row r="874">
      <c r="K874" s="84" t="n"/>
    </row>
    <row r="875">
      <c r="K875" s="84" t="n"/>
    </row>
    <row r="876">
      <c r="K876" s="84" t="n"/>
    </row>
    <row r="877">
      <c r="K877" s="84" t="n"/>
    </row>
    <row r="878">
      <c r="K878" s="84" t="n"/>
    </row>
    <row r="879">
      <c r="K879" s="84" t="n"/>
    </row>
    <row r="880">
      <c r="K880" s="84" t="n"/>
    </row>
    <row r="881">
      <c r="K881" s="84" t="n"/>
    </row>
    <row r="882">
      <c r="K882" s="84" t="n"/>
    </row>
    <row r="883">
      <c r="K883" s="84" t="n"/>
    </row>
    <row r="884">
      <c r="K884" s="84" t="n"/>
    </row>
    <row r="885">
      <c r="K885" s="84" t="n"/>
    </row>
    <row r="886">
      <c r="K886" s="84" t="n"/>
    </row>
    <row r="887">
      <c r="K887" s="84" t="n"/>
    </row>
    <row r="888">
      <c r="K888" s="84" t="n"/>
    </row>
    <row r="889">
      <c r="K889" s="84" t="n"/>
    </row>
    <row r="890">
      <c r="K890" s="84" t="n"/>
    </row>
    <row r="891">
      <c r="K891" s="84" t="n"/>
    </row>
    <row r="892">
      <c r="K892" s="84" t="n"/>
    </row>
    <row r="893">
      <c r="K893" s="84" t="n"/>
    </row>
    <row r="894">
      <c r="K894" s="84" t="n"/>
    </row>
    <row r="895">
      <c r="K895" s="84" t="n"/>
    </row>
    <row r="896">
      <c r="K896" s="84" t="n"/>
    </row>
    <row r="897">
      <c r="K897" s="84" t="n"/>
    </row>
    <row r="898">
      <c r="K898" s="84" t="n"/>
    </row>
    <row r="899">
      <c r="K899" s="84" t="n"/>
    </row>
    <row r="900">
      <c r="K900" s="84" t="n"/>
    </row>
    <row r="901">
      <c r="K901" s="84" t="n"/>
    </row>
    <row r="902">
      <c r="K902" s="84" t="n"/>
    </row>
    <row r="903">
      <c r="K903" s="84" t="n"/>
    </row>
    <row r="904">
      <c r="K904" s="84" t="n"/>
    </row>
    <row r="905">
      <c r="K905" s="84" t="n"/>
    </row>
    <row r="906">
      <c r="K906" s="84" t="n"/>
    </row>
    <row r="907">
      <c r="K907" s="84" t="n"/>
    </row>
    <row r="908">
      <c r="K908" s="84" t="n"/>
    </row>
    <row r="909">
      <c r="K909" s="84" t="n"/>
    </row>
    <row r="910">
      <c r="K910" s="84" t="n"/>
    </row>
    <row r="911">
      <c r="K911" s="84" t="n"/>
    </row>
    <row r="912">
      <c r="K912" s="84" t="n"/>
    </row>
    <row r="913">
      <c r="K913" s="84" t="n"/>
    </row>
    <row r="914">
      <c r="K914" s="84" t="n"/>
    </row>
    <row r="915">
      <c r="K915" s="84" t="n"/>
    </row>
    <row r="916">
      <c r="K916" s="84" t="n"/>
    </row>
    <row r="917">
      <c r="K917" s="84" t="n"/>
    </row>
    <row r="918">
      <c r="K918" s="84" t="n"/>
    </row>
    <row r="919">
      <c r="K919" s="84" t="n"/>
    </row>
    <row r="920">
      <c r="K920" s="84" t="n"/>
    </row>
    <row r="921">
      <c r="K921" s="84" t="n"/>
    </row>
    <row r="922">
      <c r="K922" s="84" t="n"/>
    </row>
    <row r="923">
      <c r="K923" s="84" t="n"/>
    </row>
    <row r="924">
      <c r="K924" s="84" t="n"/>
    </row>
    <row r="925">
      <c r="K925" s="84" t="n"/>
    </row>
    <row r="926">
      <c r="K926" s="84" t="n"/>
    </row>
    <row r="927">
      <c r="K927" s="84" t="n"/>
    </row>
    <row r="928">
      <c r="K928" s="84" t="n"/>
    </row>
    <row r="929">
      <c r="K929" s="84" t="n"/>
    </row>
    <row r="930">
      <c r="K930" s="84" t="n"/>
    </row>
    <row r="931">
      <c r="K931" s="84" t="n"/>
    </row>
    <row r="932">
      <c r="K932" s="84" t="n"/>
    </row>
    <row r="933">
      <c r="K933" s="84" t="n"/>
    </row>
    <row r="934">
      <c r="K934" s="84" t="n"/>
    </row>
    <row r="935">
      <c r="K935" s="84" t="n"/>
    </row>
    <row r="936">
      <c r="K936" s="84" t="n"/>
    </row>
    <row r="937">
      <c r="K937" s="84" t="n"/>
    </row>
    <row r="938">
      <c r="K938" s="84" t="n"/>
    </row>
    <row r="939">
      <c r="K939" s="84" t="n"/>
    </row>
    <row r="940">
      <c r="K940" s="84" t="n"/>
    </row>
    <row r="941">
      <c r="K941" s="84" t="n"/>
    </row>
    <row r="942">
      <c r="K942" s="84" t="n"/>
    </row>
    <row r="943">
      <c r="K943" s="84" t="n"/>
    </row>
    <row r="944">
      <c r="K944" s="84" t="n"/>
    </row>
    <row r="945">
      <c r="K945" s="84" t="n"/>
    </row>
    <row r="946">
      <c r="K946" s="84" t="n"/>
    </row>
    <row r="947">
      <c r="K947" s="84" t="n"/>
    </row>
    <row r="948">
      <c r="K948" s="84" t="n"/>
    </row>
    <row r="949">
      <c r="K949" s="84" t="n"/>
    </row>
    <row r="950">
      <c r="K950" s="84" t="n"/>
    </row>
    <row r="951">
      <c r="K951" s="84" t="n"/>
    </row>
    <row r="952">
      <c r="K952" s="84" t="n"/>
    </row>
    <row r="953">
      <c r="K953" s="84" t="n"/>
    </row>
    <row r="954">
      <c r="K954" s="84" t="n"/>
    </row>
    <row r="955">
      <c r="K955" s="84" t="n"/>
    </row>
    <row r="956">
      <c r="K956" s="84" t="n"/>
    </row>
    <row r="957">
      <c r="K957" s="84" t="n"/>
    </row>
    <row r="958">
      <c r="K958" s="84" t="n"/>
    </row>
    <row r="959">
      <c r="K959" s="84" t="n"/>
    </row>
    <row r="960">
      <c r="K960" s="84" t="n"/>
    </row>
    <row r="961">
      <c r="K961" s="84" t="n"/>
    </row>
    <row r="962">
      <c r="K962" s="84" t="n"/>
    </row>
    <row r="963">
      <c r="K963" s="84" t="n"/>
    </row>
    <row r="964">
      <c r="K964" s="84" t="n"/>
    </row>
    <row r="965">
      <c r="K965" s="84" t="n"/>
    </row>
    <row r="966">
      <c r="K966" s="84" t="n"/>
    </row>
    <row r="967">
      <c r="K967" s="84" t="n"/>
    </row>
    <row r="968">
      <c r="K968" s="84" t="n"/>
    </row>
    <row r="969">
      <c r="K969" s="84" t="n"/>
    </row>
    <row r="970">
      <c r="K970" s="84" t="n"/>
    </row>
    <row r="971">
      <c r="K971" s="84" t="n"/>
    </row>
    <row r="972">
      <c r="K972" s="84" t="n"/>
    </row>
    <row r="973">
      <c r="K973" s="84" t="n"/>
    </row>
    <row r="974">
      <c r="K974" s="84" t="n"/>
    </row>
    <row r="975">
      <c r="K975" s="84" t="n"/>
    </row>
    <row r="976">
      <c r="K976" s="84" t="n"/>
    </row>
    <row r="977">
      <c r="K977" s="84" t="n"/>
    </row>
    <row r="978">
      <c r="K978" s="84" t="n"/>
    </row>
    <row r="979">
      <c r="K979" s="84" t="n"/>
    </row>
    <row r="980">
      <c r="K980" s="84" t="n"/>
    </row>
    <row r="981">
      <c r="K981" s="84" t="n"/>
    </row>
    <row r="982">
      <c r="K982" s="84" t="n"/>
    </row>
    <row r="983">
      <c r="K983" s="84" t="n"/>
    </row>
    <row r="984">
      <c r="K984" s="84" t="n"/>
    </row>
    <row r="985">
      <c r="K985" s="84" t="n"/>
    </row>
    <row r="986">
      <c r="K986" s="84" t="n"/>
    </row>
    <row r="987">
      <c r="K987" s="84" t="n"/>
    </row>
    <row r="988">
      <c r="K988" s="84" t="n"/>
    </row>
    <row r="989">
      <c r="K989" s="84" t="n"/>
    </row>
    <row r="990">
      <c r="K990" s="84" t="n"/>
    </row>
    <row r="991">
      <c r="K991" s="84" t="n"/>
    </row>
    <row r="992">
      <c r="K992" s="84" t="n"/>
    </row>
    <row r="993">
      <c r="K993" s="84" t="n"/>
    </row>
  </sheetData>
  <dataValidations count="1">
    <dataValidation sqref="L2:M8 L13:M25 L29:L33 L34:M34 L35:L36 L37:M37" showDropDown="0" showInputMessage="0" showErrorMessage="1" allowBlank="1" type="list">
      <formula1>"PAOLA,SILVANA,ANA PAO,MILLY"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T997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118" min="1" max="1"/>
  </cols>
  <sheetData>
    <row r="1">
      <c r="A1" s="27" t="inlineStr">
        <is>
          <t>Room ID</t>
        </is>
      </c>
      <c r="B1" s="27" t="inlineStr">
        <is>
          <t>TT Handle</t>
        </is>
      </c>
      <c r="C1" s="27" t="inlineStr">
        <is>
          <t>Country</t>
        </is>
      </c>
      <c r="D1" s="27" t="inlineStr">
        <is>
          <t>GMV</t>
        </is>
      </c>
      <c r="E1" s="27" t="inlineStr">
        <is>
          <t>GMV/sin EVA</t>
        </is>
      </c>
      <c r="F1" s="27" t="inlineStr">
        <is>
          <t>GMV PER HOUR</t>
        </is>
      </c>
      <c r="G1" s="27" t="inlineStr">
        <is>
          <t>GMV PER HOUR/sin EVA</t>
        </is>
      </c>
      <c r="H1" s="27" t="inlineStr">
        <is>
          <t>Ads Cost</t>
        </is>
      </c>
      <c r="I1" s="76" t="inlineStr">
        <is>
          <t>Duration (H)</t>
        </is>
      </c>
      <c r="J1" s="28" t="inlineStr">
        <is>
          <t>Duration （Formula）</t>
        </is>
      </c>
      <c r="K1" s="77" t="inlineStr">
        <is>
          <t>Start date</t>
        </is>
      </c>
      <c r="L1" s="30" t="inlineStr">
        <is>
          <t>HOST 1</t>
        </is>
      </c>
      <c r="M1" s="30" t="inlineStr">
        <is>
          <t xml:space="preserve">HOST 2 </t>
        </is>
      </c>
      <c r="N1" s="30" t="inlineStr">
        <is>
          <t>Operator</t>
        </is>
      </c>
    </row>
    <row r="2">
      <c r="A2" s="63" t="inlineStr">
        <is>
          <t>7636206828354931474</t>
        </is>
      </c>
      <c r="B2" s="91" t="inlineStr">
        <is>
          <t>flikmx</t>
        </is>
      </c>
      <c r="C2" s="91" t="inlineStr">
        <is>
          <t>MX</t>
        </is>
      </c>
      <c r="D2" s="78" t="n">
        <v>2930</v>
      </c>
      <c r="E2" s="40">
        <f>D2/1.16</f>
        <v/>
      </c>
      <c r="F2" s="79" t="n">
        <v>976.6666666666666</v>
      </c>
      <c r="G2" s="40">
        <f>F2/1.16</f>
        <v/>
      </c>
      <c r="H2" s="66" t="n">
        <v>0</v>
      </c>
      <c r="I2" s="74" t="n">
        <v>3</v>
      </c>
      <c r="J2" s="74" t="n">
        <v>3</v>
      </c>
      <c r="K2" s="93" t="n">
        <v>46146</v>
      </c>
      <c r="L2" s="63" t="inlineStr">
        <is>
          <t>NAHOMI</t>
        </is>
      </c>
      <c r="M2" s="38" t="n"/>
      <c r="N2" s="38" t="inlineStr">
        <is>
          <t>RODRIGO</t>
        </is>
      </c>
      <c r="R2" s="80" t="n"/>
      <c r="S2" s="81" t="n"/>
      <c r="T2" s="82" t="n"/>
    </row>
    <row r="3">
      <c r="A3" s="63" t="inlineStr">
        <is>
          <t>7636948179635735303</t>
        </is>
      </c>
      <c r="B3" s="91" t="inlineStr">
        <is>
          <t>flikmx</t>
        </is>
      </c>
      <c r="C3" s="91" t="inlineStr">
        <is>
          <t>MX</t>
        </is>
      </c>
      <c r="D3" s="78" t="n">
        <v>8010</v>
      </c>
      <c r="E3" s="40">
        <f>D3/1.16</f>
        <v/>
      </c>
      <c r="F3" s="79" t="n">
        <v>2670</v>
      </c>
      <c r="G3" s="40">
        <f>F3/1.16</f>
        <v/>
      </c>
      <c r="H3" s="66" t="n">
        <v>0</v>
      </c>
      <c r="I3" s="74" t="n">
        <v>3</v>
      </c>
      <c r="J3" s="74" t="n">
        <v>3</v>
      </c>
      <c r="K3" s="93" t="n">
        <v>46148</v>
      </c>
      <c r="L3" s="63" t="inlineStr">
        <is>
          <t>NAHOMI</t>
        </is>
      </c>
      <c r="M3" s="38" t="n"/>
      <c r="N3" s="38" t="inlineStr">
        <is>
          <t>RODRIGO</t>
        </is>
      </c>
      <c r="R3" s="80" t="n"/>
      <c r="S3" s="81" t="n"/>
      <c r="T3" s="82" t="n"/>
    </row>
    <row r="4">
      <c r="A4" s="91" t="inlineStr">
        <is>
          <t>7637319468800068359</t>
        </is>
      </c>
      <c r="B4" s="91" t="inlineStr">
        <is>
          <t>flikmx</t>
        </is>
      </c>
      <c r="C4" s="91" t="inlineStr">
        <is>
          <t>MX</t>
        </is>
      </c>
      <c r="D4" s="39" t="n">
        <v>0</v>
      </c>
      <c r="E4" s="40">
        <f>D4/1.16</f>
        <v/>
      </c>
      <c r="F4" s="79" t="n">
        <v>0</v>
      </c>
      <c r="G4" s="40">
        <f>F4/1.16</f>
        <v/>
      </c>
      <c r="H4" s="66" t="n">
        <v>0</v>
      </c>
      <c r="I4" s="74" t="n">
        <v>3</v>
      </c>
      <c r="J4" s="74" t="n">
        <v>3</v>
      </c>
      <c r="K4" s="93" t="n">
        <v>46149</v>
      </c>
      <c r="L4" s="63" t="inlineStr">
        <is>
          <t>NAHOMI</t>
        </is>
      </c>
      <c r="M4" s="38" t="n"/>
      <c r="N4" s="38" t="inlineStr">
        <is>
          <t>RODRIGO</t>
        </is>
      </c>
      <c r="R4" s="83" t="n"/>
      <c r="S4" s="81" t="n"/>
      <c r="T4" s="82" t="n"/>
    </row>
    <row r="5">
      <c r="A5" s="91" t="inlineStr">
        <is>
          <t>7639545967301790472</t>
        </is>
      </c>
      <c r="B5" s="91" t="inlineStr">
        <is>
          <t>flikmx</t>
        </is>
      </c>
      <c r="C5" s="91" t="inlineStr">
        <is>
          <t>MX</t>
        </is>
      </c>
      <c r="D5" s="39" t="n">
        <v>2970</v>
      </c>
      <c r="E5" s="40">
        <f>D5/1.16</f>
        <v/>
      </c>
      <c r="F5" s="79" t="n">
        <v>990</v>
      </c>
      <c r="G5" s="40">
        <f>F5/1.16</f>
        <v/>
      </c>
      <c r="H5" s="66" t="n">
        <v>0</v>
      </c>
      <c r="I5" s="74" t="n">
        <v>3</v>
      </c>
      <c r="J5" s="74" t="n">
        <v>3</v>
      </c>
      <c r="K5" s="93" t="n">
        <v>46153</v>
      </c>
      <c r="L5" s="63" t="inlineStr">
        <is>
          <t>NAHOMI</t>
        </is>
      </c>
      <c r="M5" s="38" t="n"/>
      <c r="N5" s="38" t="inlineStr">
        <is>
          <t>RODRIGO</t>
        </is>
      </c>
      <c r="R5" s="83" t="n"/>
      <c r="S5" s="81" t="n"/>
      <c r="T5" s="82" t="n"/>
    </row>
    <row r="6">
      <c r="A6" s="91" t="inlineStr">
        <is>
          <t>7639545967301790472</t>
        </is>
      </c>
      <c r="B6" s="91" t="inlineStr">
        <is>
          <t>flikmx</t>
        </is>
      </c>
      <c r="C6" s="91" t="inlineStr">
        <is>
          <t>MX</t>
        </is>
      </c>
      <c r="D6" s="39" t="n">
        <v>0</v>
      </c>
      <c r="E6" s="40">
        <f>D6/1.16</f>
        <v/>
      </c>
      <c r="F6" s="79" t="n">
        <v>0</v>
      </c>
      <c r="G6" s="40">
        <f>F6/1.16</f>
        <v/>
      </c>
      <c r="H6" s="66" t="n">
        <v>0</v>
      </c>
      <c r="I6" s="74" t="n">
        <v>3</v>
      </c>
      <c r="J6" s="74" t="n">
        <v>3</v>
      </c>
      <c r="K6" s="93" t="n">
        <v>46155</v>
      </c>
      <c r="L6" s="63" t="inlineStr">
        <is>
          <t>NAHOMI</t>
        </is>
      </c>
      <c r="M6" s="38" t="n"/>
      <c r="N6" s="38" t="inlineStr">
        <is>
          <t>RODRIGO</t>
        </is>
      </c>
      <c r="R6" s="83" t="n"/>
      <c r="S6" s="81" t="n"/>
      <c r="T6" s="82" t="n"/>
    </row>
    <row r="7">
      <c r="A7" s="91" t="inlineStr">
        <is>
          <t>7640272828911569671</t>
        </is>
      </c>
      <c r="B7" s="91" t="inlineStr">
        <is>
          <t>flikmx</t>
        </is>
      </c>
      <c r="C7" s="91" t="inlineStr">
        <is>
          <t>MX</t>
        </is>
      </c>
      <c r="D7" s="39" t="n">
        <v>5939.99</v>
      </c>
      <c r="E7" s="40">
        <f>D7/1.16</f>
        <v/>
      </c>
      <c r="F7" s="40" t="n">
        <v>1187.998</v>
      </c>
      <c r="G7" s="40">
        <f>F7/1.16</f>
        <v/>
      </c>
      <c r="H7" s="66" t="n">
        <v>0</v>
      </c>
      <c r="I7" s="74" t="n">
        <v>5</v>
      </c>
      <c r="J7" s="74" t="n">
        <v>5</v>
      </c>
      <c r="K7" s="93" t="n">
        <v>46157</v>
      </c>
      <c r="L7" s="63" t="inlineStr">
        <is>
          <t>NAHOMI</t>
        </is>
      </c>
      <c r="M7" s="38" t="n"/>
      <c r="N7" s="38" t="inlineStr">
        <is>
          <t>RODRIGO</t>
        </is>
      </c>
      <c r="R7" s="83" t="n"/>
      <c r="S7" s="81" t="n"/>
      <c r="T7" s="82" t="n"/>
    </row>
    <row r="8">
      <c r="A8" s="91" t="inlineStr">
        <is>
          <t>7641401284439886612</t>
        </is>
      </c>
      <c r="B8" s="91" t="inlineStr">
        <is>
          <t>flikmx</t>
        </is>
      </c>
      <c r="C8" s="91" t="inlineStr">
        <is>
          <t>MX</t>
        </is>
      </c>
      <c r="D8" s="39" t="n">
        <v>6309.99</v>
      </c>
      <c r="E8" s="40">
        <f>D8/1.16</f>
        <v/>
      </c>
      <c r="F8" s="79" t="n">
        <v>2103.33</v>
      </c>
      <c r="G8" s="40">
        <f>F8/1.16</f>
        <v/>
      </c>
      <c r="H8" s="66" t="n">
        <v>0</v>
      </c>
      <c r="I8" s="74" t="n">
        <v>3</v>
      </c>
      <c r="J8" s="74" t="n">
        <v>3</v>
      </c>
      <c r="K8" s="93" t="n">
        <v>46160</v>
      </c>
      <c r="L8" s="63" t="inlineStr">
        <is>
          <t>NAHOMI</t>
        </is>
      </c>
      <c r="M8" s="38" t="n"/>
      <c r="N8" s="38" t="inlineStr">
        <is>
          <t>RODRIGO</t>
        </is>
      </c>
    </row>
    <row r="9">
      <c r="A9" s="91" t="inlineStr">
        <is>
          <t>7642143484427258645</t>
        </is>
      </c>
      <c r="B9" s="91" t="inlineStr">
        <is>
          <t>flikmx</t>
        </is>
      </c>
      <c r="C9" s="91" t="inlineStr">
        <is>
          <t>MX</t>
        </is>
      </c>
      <c r="D9" s="39" t="n">
        <v>2930</v>
      </c>
      <c r="E9" s="40">
        <f>D9/1.16</f>
        <v/>
      </c>
      <c r="F9" s="79" t="n">
        <v>976.6666666666666</v>
      </c>
      <c r="G9" s="40">
        <f>F9/1.16</f>
        <v/>
      </c>
      <c r="H9" s="66" t="n">
        <v>0</v>
      </c>
      <c r="I9" s="74" t="n">
        <v>3</v>
      </c>
      <c r="J9" s="74" t="n">
        <v>3</v>
      </c>
      <c r="K9" s="93" t="n">
        <v>46162</v>
      </c>
      <c r="L9" s="63" t="inlineStr">
        <is>
          <t>DANIEL</t>
        </is>
      </c>
      <c r="M9" s="38" t="n"/>
      <c r="N9" s="38" t="inlineStr">
        <is>
          <t>RODRIGO</t>
        </is>
      </c>
    </row>
    <row r="10">
      <c r="A10" s="91" t="inlineStr">
        <is>
          <t>7644000039551519509</t>
        </is>
      </c>
      <c r="B10" s="91" t="inlineStr">
        <is>
          <t>flikmx</t>
        </is>
      </c>
      <c r="C10" s="91" t="inlineStr">
        <is>
          <t>MX</t>
        </is>
      </c>
      <c r="D10" s="39" t="n">
        <v>10039</v>
      </c>
      <c r="E10" s="40">
        <f>D10/1.16</f>
        <v/>
      </c>
      <c r="F10" s="79" t="n">
        <v>3346.333333333333</v>
      </c>
      <c r="G10" s="40">
        <f>F10/1.16</f>
        <v/>
      </c>
      <c r="H10" s="66" t="n">
        <v>0</v>
      </c>
      <c r="I10" s="74" t="n">
        <v>5</v>
      </c>
      <c r="J10" s="74" t="n">
        <v>5</v>
      </c>
      <c r="K10" s="93" t="n">
        <v>46167</v>
      </c>
      <c r="L10" s="63" t="inlineStr">
        <is>
          <t>DANIEL</t>
        </is>
      </c>
      <c r="M10" s="38" t="n"/>
      <c r="N10" s="38" t="inlineStr">
        <is>
          <t>RODRIGO</t>
        </is>
      </c>
    </row>
    <row r="11">
      <c r="K11" s="84" t="n"/>
    </row>
    <row r="12">
      <c r="K12" s="84" t="n"/>
    </row>
    <row r="13">
      <c r="K13" s="84" t="n"/>
    </row>
    <row r="14">
      <c r="K14" s="84" t="n"/>
    </row>
    <row r="15">
      <c r="K15" s="84" t="n"/>
    </row>
    <row r="16">
      <c r="K16" s="84" t="n"/>
    </row>
    <row r="17">
      <c r="K17" s="84" t="n"/>
    </row>
    <row r="18">
      <c r="K18" s="84" t="n"/>
    </row>
    <row r="19">
      <c r="K19" s="84" t="n"/>
    </row>
    <row r="20">
      <c r="K20" s="84" t="n"/>
    </row>
    <row r="21">
      <c r="K21" s="84" t="n"/>
    </row>
    <row r="22">
      <c r="K22" s="84" t="n"/>
    </row>
    <row r="23">
      <c r="K23" s="84" t="n"/>
    </row>
    <row r="24">
      <c r="K24" s="84" t="n"/>
    </row>
    <row r="25">
      <c r="K25" s="84" t="n"/>
    </row>
    <row r="26">
      <c r="K26" s="84" t="n"/>
    </row>
    <row r="27">
      <c r="K27" s="84" t="n"/>
    </row>
    <row r="28">
      <c r="K28" s="84" t="n"/>
    </row>
    <row r="29">
      <c r="K29" s="84" t="n"/>
    </row>
    <row r="30">
      <c r="K30" s="84" t="n"/>
    </row>
    <row r="31">
      <c r="K31" s="84" t="n"/>
    </row>
    <row r="32">
      <c r="K32" s="84" t="n"/>
    </row>
    <row r="33">
      <c r="K33" s="84" t="n"/>
    </row>
    <row r="34">
      <c r="K34" s="84" t="n"/>
    </row>
    <row r="35">
      <c r="K35" s="84" t="n"/>
    </row>
    <row r="36">
      <c r="K36" s="84" t="n"/>
    </row>
    <row r="37">
      <c r="K37" s="84" t="n"/>
    </row>
    <row r="38">
      <c r="K38" s="84" t="n"/>
    </row>
    <row r="39">
      <c r="K39" s="84" t="n"/>
    </row>
    <row r="40">
      <c r="K40" s="84" t="n"/>
    </row>
    <row r="41">
      <c r="K41" s="84" t="n"/>
    </row>
    <row r="42">
      <c r="K42" s="84" t="n"/>
    </row>
    <row r="43">
      <c r="K43" s="84" t="n"/>
    </row>
    <row r="44">
      <c r="K44" s="84" t="n"/>
    </row>
    <row r="45">
      <c r="K45" s="84" t="n"/>
    </row>
    <row r="46">
      <c r="K46" s="84" t="n"/>
    </row>
    <row r="47">
      <c r="K47" s="84" t="n"/>
    </row>
    <row r="48">
      <c r="K48" s="84" t="n"/>
    </row>
    <row r="49">
      <c r="K49" s="84" t="n"/>
    </row>
    <row r="50">
      <c r="K50" s="84" t="n"/>
    </row>
    <row r="51">
      <c r="K51" s="84" t="n"/>
    </row>
    <row r="52">
      <c r="K52" s="84" t="n"/>
    </row>
    <row r="53">
      <c r="K53" s="84" t="n"/>
    </row>
    <row r="54">
      <c r="K54" s="84" t="n"/>
    </row>
    <row r="55">
      <c r="K55" s="84" t="n"/>
    </row>
    <row r="56">
      <c r="K56" s="84" t="n"/>
    </row>
    <row r="57">
      <c r="K57" s="84" t="n"/>
    </row>
    <row r="58">
      <c r="K58" s="84" t="n"/>
    </row>
    <row r="59">
      <c r="K59" s="84" t="n"/>
    </row>
    <row r="60">
      <c r="K60" s="84" t="n"/>
    </row>
    <row r="61">
      <c r="K61" s="84" t="n"/>
    </row>
    <row r="62">
      <c r="K62" s="84" t="n"/>
    </row>
    <row r="63">
      <c r="K63" s="84" t="n"/>
    </row>
    <row r="64">
      <c r="K64" s="84" t="n"/>
    </row>
    <row r="65">
      <c r="K65" s="84" t="n"/>
    </row>
    <row r="66">
      <c r="K66" s="84" t="n"/>
    </row>
    <row r="67">
      <c r="K67" s="84" t="n"/>
    </row>
    <row r="68">
      <c r="K68" s="84" t="n"/>
    </row>
    <row r="69">
      <c r="K69" s="84" t="n"/>
    </row>
    <row r="70">
      <c r="K70" s="84" t="n"/>
    </row>
    <row r="71">
      <c r="K71" s="84" t="n"/>
    </row>
    <row r="72">
      <c r="K72" s="84" t="n"/>
    </row>
    <row r="73">
      <c r="K73" s="84" t="n"/>
    </row>
    <row r="74">
      <c r="K74" s="84" t="n"/>
    </row>
    <row r="75">
      <c r="K75" s="84" t="n"/>
    </row>
    <row r="76">
      <c r="K76" s="84" t="n"/>
    </row>
    <row r="77">
      <c r="K77" s="84" t="n"/>
    </row>
    <row r="78">
      <c r="K78" s="84" t="n"/>
    </row>
    <row r="79">
      <c r="K79" s="84" t="n"/>
    </row>
    <row r="80">
      <c r="K80" s="84" t="n"/>
    </row>
    <row r="81">
      <c r="K81" s="84" t="n"/>
    </row>
    <row r="82">
      <c r="K82" s="84" t="n"/>
    </row>
    <row r="83">
      <c r="K83" s="84" t="n"/>
    </row>
    <row r="84">
      <c r="K84" s="84" t="n"/>
    </row>
    <row r="85">
      <c r="K85" s="84" t="n"/>
    </row>
    <row r="86">
      <c r="K86" s="84" t="n"/>
    </row>
    <row r="87">
      <c r="K87" s="84" t="n"/>
    </row>
    <row r="88">
      <c r="K88" s="84" t="n"/>
    </row>
    <row r="89">
      <c r="K89" s="84" t="n"/>
    </row>
    <row r="90">
      <c r="K90" s="84" t="n"/>
    </row>
    <row r="91">
      <c r="K91" s="84" t="n"/>
    </row>
    <row r="92">
      <c r="K92" s="84" t="n"/>
    </row>
    <row r="93">
      <c r="K93" s="84" t="n"/>
    </row>
    <row r="94">
      <c r="K94" s="84" t="n"/>
    </row>
    <row r="95">
      <c r="K95" s="84" t="n"/>
    </row>
    <row r="96">
      <c r="K96" s="84" t="n"/>
    </row>
    <row r="97">
      <c r="K97" s="84" t="n"/>
    </row>
    <row r="98">
      <c r="K98" s="84" t="n"/>
    </row>
    <row r="99">
      <c r="K99" s="84" t="n"/>
    </row>
    <row r="100">
      <c r="K100" s="84" t="n"/>
    </row>
    <row r="101">
      <c r="K101" s="84" t="n"/>
    </row>
    <row r="102">
      <c r="K102" s="84" t="n"/>
    </row>
    <row r="103">
      <c r="K103" s="84" t="n"/>
    </row>
    <row r="104">
      <c r="K104" s="84" t="n"/>
    </row>
    <row r="105">
      <c r="K105" s="84" t="n"/>
    </row>
    <row r="106">
      <c r="K106" s="84" t="n"/>
    </row>
    <row r="107">
      <c r="K107" s="84" t="n"/>
    </row>
    <row r="108">
      <c r="K108" s="84" t="n"/>
    </row>
    <row r="109">
      <c r="K109" s="84" t="n"/>
    </row>
    <row r="110">
      <c r="K110" s="84" t="n"/>
    </row>
    <row r="111">
      <c r="K111" s="84" t="n"/>
    </row>
    <row r="112">
      <c r="K112" s="84" t="n"/>
    </row>
    <row r="113">
      <c r="K113" s="84" t="n"/>
    </row>
    <row r="114">
      <c r="K114" s="84" t="n"/>
    </row>
    <row r="115">
      <c r="K115" s="84" t="n"/>
    </row>
    <row r="116">
      <c r="K116" s="84" t="n"/>
    </row>
    <row r="117">
      <c r="K117" s="84" t="n"/>
    </row>
    <row r="118">
      <c r="K118" s="84" t="n"/>
    </row>
    <row r="119">
      <c r="K119" s="84" t="n"/>
    </row>
    <row r="120">
      <c r="K120" s="84" t="n"/>
    </row>
    <row r="121">
      <c r="K121" s="84" t="n"/>
    </row>
    <row r="122">
      <c r="K122" s="84" t="n"/>
    </row>
    <row r="123">
      <c r="K123" s="84" t="n"/>
    </row>
    <row r="124">
      <c r="K124" s="84" t="n"/>
    </row>
    <row r="125">
      <c r="K125" s="84" t="n"/>
    </row>
    <row r="126">
      <c r="K126" s="84" t="n"/>
    </row>
    <row r="127">
      <c r="K127" s="84" t="n"/>
    </row>
    <row r="128">
      <c r="K128" s="84" t="n"/>
    </row>
    <row r="129">
      <c r="K129" s="84" t="n"/>
    </row>
    <row r="130">
      <c r="K130" s="84" t="n"/>
    </row>
    <row r="131">
      <c r="K131" s="84" t="n"/>
    </row>
    <row r="132">
      <c r="K132" s="84" t="n"/>
    </row>
    <row r="133">
      <c r="K133" s="84" t="n"/>
    </row>
    <row r="134">
      <c r="K134" s="84" t="n"/>
    </row>
    <row r="135">
      <c r="K135" s="84" t="n"/>
    </row>
    <row r="136">
      <c r="K136" s="84" t="n"/>
    </row>
    <row r="137">
      <c r="K137" s="84" t="n"/>
    </row>
    <row r="138">
      <c r="K138" s="84" t="n"/>
    </row>
    <row r="139">
      <c r="K139" s="84" t="n"/>
    </row>
    <row r="140">
      <c r="K140" s="84" t="n"/>
    </row>
    <row r="141">
      <c r="K141" s="84" t="n"/>
    </row>
    <row r="142">
      <c r="K142" s="84" t="n"/>
    </row>
    <row r="143">
      <c r="K143" s="84" t="n"/>
    </row>
    <row r="144">
      <c r="K144" s="84" t="n"/>
    </row>
    <row r="145">
      <c r="K145" s="84" t="n"/>
    </row>
    <row r="146">
      <c r="K146" s="84" t="n"/>
    </row>
    <row r="147">
      <c r="K147" s="84" t="n"/>
    </row>
    <row r="148">
      <c r="K148" s="84" t="n"/>
    </row>
    <row r="149">
      <c r="K149" s="84" t="n"/>
    </row>
    <row r="150">
      <c r="K150" s="84" t="n"/>
    </row>
    <row r="151">
      <c r="K151" s="84" t="n"/>
    </row>
    <row r="152">
      <c r="K152" s="84" t="n"/>
    </row>
    <row r="153">
      <c r="K153" s="84" t="n"/>
    </row>
    <row r="154">
      <c r="K154" s="84" t="n"/>
    </row>
    <row r="155">
      <c r="K155" s="84" t="n"/>
    </row>
    <row r="156">
      <c r="K156" s="84" t="n"/>
    </row>
    <row r="157">
      <c r="K157" s="84" t="n"/>
    </row>
    <row r="158">
      <c r="K158" s="84" t="n"/>
    </row>
    <row r="159">
      <c r="K159" s="84" t="n"/>
    </row>
    <row r="160">
      <c r="K160" s="84" t="n"/>
    </row>
    <row r="161">
      <c r="K161" s="84" t="n"/>
    </row>
    <row r="162">
      <c r="K162" s="84" t="n"/>
    </row>
    <row r="163">
      <c r="K163" s="84" t="n"/>
    </row>
    <row r="164">
      <c r="K164" s="84" t="n"/>
    </row>
    <row r="165">
      <c r="K165" s="84" t="n"/>
    </row>
    <row r="166">
      <c r="K166" s="84" t="n"/>
    </row>
    <row r="167">
      <c r="K167" s="84" t="n"/>
    </row>
    <row r="168">
      <c r="K168" s="84" t="n"/>
    </row>
    <row r="169">
      <c r="K169" s="84" t="n"/>
    </row>
    <row r="170">
      <c r="K170" s="84" t="n"/>
    </row>
    <row r="171">
      <c r="K171" s="84" t="n"/>
    </row>
    <row r="172">
      <c r="K172" s="84" t="n"/>
    </row>
    <row r="173">
      <c r="K173" s="84" t="n"/>
    </row>
    <row r="174">
      <c r="K174" s="84" t="n"/>
    </row>
    <row r="175">
      <c r="K175" s="84" t="n"/>
    </row>
    <row r="176">
      <c r="K176" s="84" t="n"/>
    </row>
    <row r="177">
      <c r="K177" s="84" t="n"/>
    </row>
    <row r="178">
      <c r="K178" s="84" t="n"/>
    </row>
    <row r="179">
      <c r="K179" s="84" t="n"/>
    </row>
    <row r="180">
      <c r="K180" s="84" t="n"/>
    </row>
    <row r="181">
      <c r="K181" s="84" t="n"/>
    </row>
    <row r="182">
      <c r="K182" s="84" t="n"/>
    </row>
    <row r="183">
      <c r="K183" s="84" t="n"/>
    </row>
    <row r="184">
      <c r="K184" s="84" t="n"/>
    </row>
    <row r="185">
      <c r="K185" s="84" t="n"/>
    </row>
    <row r="186">
      <c r="K186" s="84" t="n"/>
    </row>
    <row r="187">
      <c r="K187" s="84" t="n"/>
    </row>
    <row r="188">
      <c r="K188" s="84" t="n"/>
    </row>
    <row r="189">
      <c r="K189" s="84" t="n"/>
    </row>
    <row r="190">
      <c r="K190" s="84" t="n"/>
    </row>
    <row r="191">
      <c r="K191" s="84" t="n"/>
    </row>
    <row r="192">
      <c r="K192" s="84" t="n"/>
    </row>
    <row r="193">
      <c r="K193" s="84" t="n"/>
    </row>
    <row r="194">
      <c r="K194" s="84" t="n"/>
    </row>
    <row r="195">
      <c r="K195" s="84" t="n"/>
    </row>
    <row r="196">
      <c r="K196" s="84" t="n"/>
    </row>
    <row r="197">
      <c r="K197" s="84" t="n"/>
    </row>
    <row r="198">
      <c r="K198" s="84" t="n"/>
    </row>
    <row r="199">
      <c r="K199" s="84" t="n"/>
    </row>
    <row r="200">
      <c r="K200" s="84" t="n"/>
    </row>
    <row r="201">
      <c r="K201" s="84" t="n"/>
    </row>
    <row r="202">
      <c r="K202" s="84" t="n"/>
    </row>
    <row r="203">
      <c r="K203" s="84" t="n"/>
    </row>
    <row r="204">
      <c r="K204" s="84" t="n"/>
    </row>
    <row r="205">
      <c r="K205" s="84" t="n"/>
    </row>
    <row r="206">
      <c r="K206" s="84" t="n"/>
    </row>
    <row r="207">
      <c r="K207" s="84" t="n"/>
    </row>
    <row r="208">
      <c r="K208" s="84" t="n"/>
    </row>
    <row r="209">
      <c r="K209" s="84" t="n"/>
    </row>
    <row r="210">
      <c r="K210" s="84" t="n"/>
    </row>
    <row r="211">
      <c r="K211" s="84" t="n"/>
    </row>
    <row r="212">
      <c r="K212" s="84" t="n"/>
    </row>
    <row r="213">
      <c r="K213" s="84" t="n"/>
    </row>
    <row r="214">
      <c r="K214" s="84" t="n"/>
    </row>
    <row r="215">
      <c r="K215" s="84" t="n"/>
    </row>
    <row r="216">
      <c r="K216" s="84" t="n"/>
    </row>
    <row r="217">
      <c r="K217" s="84" t="n"/>
    </row>
    <row r="218">
      <c r="K218" s="84" t="n"/>
    </row>
    <row r="219">
      <c r="K219" s="84" t="n"/>
    </row>
    <row r="220">
      <c r="K220" s="84" t="n"/>
    </row>
    <row r="221">
      <c r="K221" s="84" t="n"/>
    </row>
    <row r="222">
      <c r="K222" s="84" t="n"/>
    </row>
    <row r="223">
      <c r="K223" s="84" t="n"/>
    </row>
    <row r="224">
      <c r="K224" s="84" t="n"/>
    </row>
    <row r="225">
      <c r="K225" s="84" t="n"/>
    </row>
    <row r="226">
      <c r="K226" s="84" t="n"/>
    </row>
    <row r="227">
      <c r="K227" s="84" t="n"/>
    </row>
    <row r="228">
      <c r="K228" s="84" t="n"/>
    </row>
    <row r="229">
      <c r="K229" s="84" t="n"/>
    </row>
    <row r="230">
      <c r="K230" s="84" t="n"/>
    </row>
    <row r="231">
      <c r="K231" s="84" t="n"/>
    </row>
    <row r="232">
      <c r="K232" s="84" t="n"/>
    </row>
    <row r="233">
      <c r="K233" s="84" t="n"/>
    </row>
    <row r="234">
      <c r="K234" s="84" t="n"/>
    </row>
    <row r="235">
      <c r="K235" s="84" t="n"/>
    </row>
    <row r="236">
      <c r="K236" s="84" t="n"/>
    </row>
    <row r="237">
      <c r="K237" s="84" t="n"/>
    </row>
    <row r="238">
      <c r="K238" s="84" t="n"/>
    </row>
    <row r="239">
      <c r="K239" s="84" t="n"/>
    </row>
    <row r="240">
      <c r="K240" s="84" t="n"/>
    </row>
    <row r="241">
      <c r="K241" s="84" t="n"/>
    </row>
    <row r="242">
      <c r="K242" s="84" t="n"/>
    </row>
    <row r="243">
      <c r="K243" s="84" t="n"/>
    </row>
    <row r="244">
      <c r="K244" s="84" t="n"/>
    </row>
    <row r="245">
      <c r="K245" s="84" t="n"/>
    </row>
    <row r="246">
      <c r="K246" s="84" t="n"/>
    </row>
    <row r="247">
      <c r="K247" s="84" t="n"/>
    </row>
    <row r="248">
      <c r="K248" s="84" t="n"/>
    </row>
    <row r="249">
      <c r="K249" s="84" t="n"/>
    </row>
    <row r="250">
      <c r="K250" s="84" t="n"/>
    </row>
    <row r="251">
      <c r="K251" s="84" t="n"/>
    </row>
    <row r="252">
      <c r="K252" s="84" t="n"/>
    </row>
    <row r="253">
      <c r="K253" s="84" t="n"/>
    </row>
    <row r="254">
      <c r="K254" s="84" t="n"/>
    </row>
    <row r="255">
      <c r="K255" s="84" t="n"/>
    </row>
    <row r="256">
      <c r="K256" s="84" t="n"/>
    </row>
    <row r="257">
      <c r="K257" s="84" t="n"/>
    </row>
    <row r="258">
      <c r="K258" s="84" t="n"/>
    </row>
    <row r="259">
      <c r="K259" s="84" t="n"/>
    </row>
    <row r="260">
      <c r="K260" s="84" t="n"/>
    </row>
    <row r="261">
      <c r="K261" s="84" t="n"/>
    </row>
    <row r="262">
      <c r="K262" s="84" t="n"/>
    </row>
    <row r="263">
      <c r="K263" s="84" t="n"/>
    </row>
    <row r="264">
      <c r="K264" s="84" t="n"/>
    </row>
    <row r="265">
      <c r="K265" s="84" t="n"/>
    </row>
    <row r="266">
      <c r="K266" s="84" t="n"/>
    </row>
    <row r="267">
      <c r="K267" s="84" t="n"/>
    </row>
    <row r="268">
      <c r="K268" s="84" t="n"/>
    </row>
    <row r="269">
      <c r="K269" s="84" t="n"/>
    </row>
    <row r="270">
      <c r="K270" s="84" t="n"/>
    </row>
    <row r="271">
      <c r="K271" s="84" t="n"/>
    </row>
    <row r="272">
      <c r="K272" s="84" t="n"/>
    </row>
    <row r="273">
      <c r="K273" s="84" t="n"/>
    </row>
    <row r="274">
      <c r="K274" s="84" t="n"/>
    </row>
    <row r="275">
      <c r="K275" s="84" t="n"/>
    </row>
    <row r="276">
      <c r="K276" s="84" t="n"/>
    </row>
    <row r="277">
      <c r="K277" s="84" t="n"/>
    </row>
    <row r="278">
      <c r="K278" s="84" t="n"/>
    </row>
    <row r="279">
      <c r="K279" s="84" t="n"/>
    </row>
    <row r="280">
      <c r="K280" s="84" t="n"/>
    </row>
    <row r="281">
      <c r="K281" s="84" t="n"/>
    </row>
    <row r="282">
      <c r="K282" s="84" t="n"/>
    </row>
    <row r="283">
      <c r="K283" s="84" t="n"/>
    </row>
    <row r="284">
      <c r="K284" s="84" t="n"/>
    </row>
    <row r="285">
      <c r="K285" s="84" t="n"/>
    </row>
    <row r="286">
      <c r="K286" s="84" t="n"/>
    </row>
    <row r="287">
      <c r="K287" s="84" t="n"/>
    </row>
    <row r="288">
      <c r="K288" s="84" t="n"/>
    </row>
    <row r="289">
      <c r="K289" s="84" t="n"/>
    </row>
    <row r="290">
      <c r="K290" s="84" t="n"/>
    </row>
    <row r="291">
      <c r="K291" s="84" t="n"/>
    </row>
    <row r="292">
      <c r="K292" s="84" t="n"/>
    </row>
    <row r="293">
      <c r="K293" s="84" t="n"/>
    </row>
    <row r="294">
      <c r="K294" s="84" t="n"/>
    </row>
    <row r="295">
      <c r="K295" s="84" t="n"/>
    </row>
    <row r="296">
      <c r="K296" s="84" t="n"/>
    </row>
    <row r="297">
      <c r="K297" s="84" t="n"/>
    </row>
    <row r="298">
      <c r="K298" s="84" t="n"/>
    </row>
    <row r="299">
      <c r="K299" s="84" t="n"/>
    </row>
    <row r="300">
      <c r="K300" s="84" t="n"/>
    </row>
    <row r="301">
      <c r="K301" s="84" t="n"/>
    </row>
    <row r="302">
      <c r="K302" s="84" t="n"/>
    </row>
    <row r="303">
      <c r="K303" s="84" t="n"/>
    </row>
    <row r="304">
      <c r="K304" s="84" t="n"/>
    </row>
    <row r="305">
      <c r="K305" s="84" t="n"/>
    </row>
    <row r="306">
      <c r="K306" s="84" t="n"/>
    </row>
    <row r="307">
      <c r="K307" s="84" t="n"/>
    </row>
    <row r="308">
      <c r="K308" s="84" t="n"/>
    </row>
    <row r="309">
      <c r="K309" s="84" t="n"/>
    </row>
    <row r="310">
      <c r="K310" s="84" t="n"/>
    </row>
    <row r="311">
      <c r="K311" s="84" t="n"/>
    </row>
    <row r="312">
      <c r="K312" s="84" t="n"/>
    </row>
    <row r="313">
      <c r="K313" s="84" t="n"/>
    </row>
    <row r="314">
      <c r="K314" s="84" t="n"/>
    </row>
    <row r="315">
      <c r="K315" s="84" t="n"/>
    </row>
    <row r="316">
      <c r="K316" s="84" t="n"/>
    </row>
    <row r="317">
      <c r="K317" s="84" t="n"/>
    </row>
    <row r="318">
      <c r="K318" s="84" t="n"/>
    </row>
    <row r="319">
      <c r="K319" s="84" t="n"/>
    </row>
    <row r="320">
      <c r="K320" s="84" t="n"/>
    </row>
    <row r="321">
      <c r="K321" s="84" t="n"/>
    </row>
    <row r="322">
      <c r="K322" s="84" t="n"/>
    </row>
    <row r="323">
      <c r="K323" s="84" t="n"/>
    </row>
    <row r="324">
      <c r="K324" s="84" t="n"/>
    </row>
    <row r="325">
      <c r="K325" s="84" t="n"/>
    </row>
    <row r="326">
      <c r="K326" s="84" t="n"/>
    </row>
    <row r="327">
      <c r="K327" s="84" t="n"/>
    </row>
    <row r="328">
      <c r="K328" s="84" t="n"/>
    </row>
    <row r="329">
      <c r="K329" s="84" t="n"/>
    </row>
    <row r="330">
      <c r="K330" s="84" t="n"/>
    </row>
    <row r="331">
      <c r="K331" s="84" t="n"/>
    </row>
    <row r="332">
      <c r="K332" s="84" t="n"/>
    </row>
    <row r="333">
      <c r="K333" s="84" t="n"/>
    </row>
    <row r="334">
      <c r="K334" s="84" t="n"/>
    </row>
    <row r="335">
      <c r="K335" s="84" t="n"/>
    </row>
    <row r="336">
      <c r="K336" s="84" t="n"/>
    </row>
    <row r="337">
      <c r="K337" s="84" t="n"/>
    </row>
    <row r="338">
      <c r="K338" s="84" t="n"/>
    </row>
    <row r="339">
      <c r="K339" s="84" t="n"/>
    </row>
    <row r="340">
      <c r="K340" s="84" t="n"/>
    </row>
    <row r="341">
      <c r="K341" s="84" t="n"/>
    </row>
    <row r="342">
      <c r="K342" s="84" t="n"/>
    </row>
    <row r="343">
      <c r="K343" s="84" t="n"/>
    </row>
    <row r="344">
      <c r="K344" s="84" t="n"/>
    </row>
    <row r="345">
      <c r="K345" s="84" t="n"/>
    </row>
    <row r="346">
      <c r="K346" s="84" t="n"/>
    </row>
    <row r="347">
      <c r="K347" s="84" t="n"/>
    </row>
    <row r="348">
      <c r="K348" s="84" t="n"/>
    </row>
    <row r="349">
      <c r="K349" s="84" t="n"/>
    </row>
    <row r="350">
      <c r="K350" s="84" t="n"/>
    </row>
    <row r="351">
      <c r="K351" s="84" t="n"/>
    </row>
    <row r="352">
      <c r="K352" s="84" t="n"/>
    </row>
    <row r="353">
      <c r="K353" s="84" t="n"/>
    </row>
    <row r="354">
      <c r="K354" s="84" t="n"/>
    </row>
    <row r="355">
      <c r="K355" s="84" t="n"/>
    </row>
    <row r="356">
      <c r="K356" s="84" t="n"/>
    </row>
    <row r="357">
      <c r="K357" s="84" t="n"/>
    </row>
    <row r="358">
      <c r="K358" s="84" t="n"/>
    </row>
    <row r="359">
      <c r="K359" s="84" t="n"/>
    </row>
    <row r="360">
      <c r="K360" s="84" t="n"/>
    </row>
    <row r="361">
      <c r="K361" s="84" t="n"/>
    </row>
    <row r="362">
      <c r="K362" s="84" t="n"/>
    </row>
    <row r="363">
      <c r="K363" s="84" t="n"/>
    </row>
    <row r="364">
      <c r="K364" s="84" t="n"/>
    </row>
    <row r="365">
      <c r="K365" s="84" t="n"/>
    </row>
    <row r="366">
      <c r="K366" s="84" t="n"/>
    </row>
    <row r="367">
      <c r="K367" s="84" t="n"/>
    </row>
    <row r="368">
      <c r="K368" s="84" t="n"/>
    </row>
    <row r="369">
      <c r="K369" s="84" t="n"/>
    </row>
    <row r="370">
      <c r="K370" s="84" t="n"/>
    </row>
    <row r="371">
      <c r="K371" s="84" t="n"/>
    </row>
    <row r="372">
      <c r="K372" s="84" t="n"/>
    </row>
    <row r="373">
      <c r="K373" s="84" t="n"/>
    </row>
    <row r="374">
      <c r="K374" s="84" t="n"/>
    </row>
    <row r="375">
      <c r="K375" s="84" t="n"/>
    </row>
    <row r="376">
      <c r="K376" s="84" t="n"/>
    </row>
    <row r="377">
      <c r="K377" s="84" t="n"/>
    </row>
    <row r="378">
      <c r="K378" s="84" t="n"/>
    </row>
    <row r="379">
      <c r="K379" s="84" t="n"/>
    </row>
    <row r="380">
      <c r="K380" s="84" t="n"/>
    </row>
    <row r="381">
      <c r="K381" s="84" t="n"/>
    </row>
    <row r="382">
      <c r="K382" s="84" t="n"/>
    </row>
    <row r="383">
      <c r="K383" s="84" t="n"/>
    </row>
    <row r="384">
      <c r="K384" s="84" t="n"/>
    </row>
    <row r="385">
      <c r="K385" s="84" t="n"/>
    </row>
    <row r="386">
      <c r="K386" s="84" t="n"/>
    </row>
    <row r="387">
      <c r="K387" s="84" t="n"/>
    </row>
    <row r="388">
      <c r="K388" s="84" t="n"/>
    </row>
    <row r="389">
      <c r="K389" s="84" t="n"/>
    </row>
    <row r="390">
      <c r="K390" s="84" t="n"/>
    </row>
    <row r="391">
      <c r="K391" s="84" t="n"/>
    </row>
    <row r="392">
      <c r="K392" s="84" t="n"/>
    </row>
    <row r="393">
      <c r="K393" s="84" t="n"/>
    </row>
    <row r="394">
      <c r="K394" s="84" t="n"/>
    </row>
    <row r="395">
      <c r="K395" s="84" t="n"/>
    </row>
    <row r="396">
      <c r="K396" s="84" t="n"/>
    </row>
    <row r="397">
      <c r="K397" s="84" t="n"/>
    </row>
    <row r="398">
      <c r="K398" s="84" t="n"/>
    </row>
    <row r="399">
      <c r="K399" s="84" t="n"/>
    </row>
    <row r="400">
      <c r="K400" s="84" t="n"/>
    </row>
    <row r="401">
      <c r="K401" s="84" t="n"/>
    </row>
    <row r="402">
      <c r="K402" s="84" t="n"/>
    </row>
    <row r="403">
      <c r="K403" s="84" t="n"/>
    </row>
    <row r="404">
      <c r="K404" s="84" t="n"/>
    </row>
    <row r="405">
      <c r="K405" s="84" t="n"/>
    </row>
    <row r="406">
      <c r="K406" s="84" t="n"/>
    </row>
    <row r="407">
      <c r="K407" s="84" t="n"/>
    </row>
    <row r="408">
      <c r="K408" s="84" t="n"/>
    </row>
    <row r="409">
      <c r="K409" s="84" t="n"/>
    </row>
    <row r="410">
      <c r="K410" s="84" t="n"/>
    </row>
    <row r="411">
      <c r="K411" s="84" t="n"/>
    </row>
    <row r="412">
      <c r="K412" s="84" t="n"/>
    </row>
    <row r="413">
      <c r="K413" s="84" t="n"/>
    </row>
    <row r="414">
      <c r="K414" s="84" t="n"/>
    </row>
    <row r="415">
      <c r="K415" s="84" t="n"/>
    </row>
    <row r="416">
      <c r="K416" s="84" t="n"/>
    </row>
    <row r="417">
      <c r="K417" s="84" t="n"/>
    </row>
    <row r="418">
      <c r="K418" s="84" t="n"/>
    </row>
    <row r="419">
      <c r="K419" s="84" t="n"/>
    </row>
    <row r="420">
      <c r="K420" s="84" t="n"/>
    </row>
    <row r="421">
      <c r="K421" s="84" t="n"/>
    </row>
    <row r="422">
      <c r="K422" s="84" t="n"/>
    </row>
    <row r="423">
      <c r="K423" s="84" t="n"/>
    </row>
    <row r="424">
      <c r="K424" s="84" t="n"/>
    </row>
    <row r="425">
      <c r="K425" s="84" t="n"/>
    </row>
    <row r="426">
      <c r="K426" s="84" t="n"/>
    </row>
    <row r="427">
      <c r="K427" s="84" t="n"/>
    </row>
    <row r="428">
      <c r="K428" s="84" t="n"/>
    </row>
    <row r="429">
      <c r="K429" s="84" t="n"/>
    </row>
    <row r="430">
      <c r="K430" s="84" t="n"/>
    </row>
    <row r="431">
      <c r="K431" s="84" t="n"/>
    </row>
    <row r="432">
      <c r="K432" s="84" t="n"/>
    </row>
    <row r="433">
      <c r="K433" s="84" t="n"/>
    </row>
    <row r="434">
      <c r="K434" s="84" t="n"/>
    </row>
    <row r="435">
      <c r="K435" s="84" t="n"/>
    </row>
    <row r="436">
      <c r="K436" s="84" t="n"/>
    </row>
    <row r="437">
      <c r="K437" s="84" t="n"/>
    </row>
    <row r="438">
      <c r="K438" s="84" t="n"/>
    </row>
    <row r="439">
      <c r="K439" s="84" t="n"/>
    </row>
    <row r="440">
      <c r="K440" s="84" t="n"/>
    </row>
    <row r="441">
      <c r="K441" s="84" t="n"/>
    </row>
    <row r="442">
      <c r="K442" s="84" t="n"/>
    </row>
    <row r="443">
      <c r="K443" s="84" t="n"/>
    </row>
    <row r="444">
      <c r="K444" s="84" t="n"/>
    </row>
    <row r="445">
      <c r="K445" s="84" t="n"/>
    </row>
    <row r="446">
      <c r="K446" s="84" t="n"/>
    </row>
    <row r="447">
      <c r="K447" s="84" t="n"/>
    </row>
    <row r="448">
      <c r="K448" s="84" t="n"/>
    </row>
    <row r="449">
      <c r="K449" s="84" t="n"/>
    </row>
    <row r="450">
      <c r="K450" s="84" t="n"/>
    </row>
    <row r="451">
      <c r="K451" s="84" t="n"/>
    </row>
    <row r="452">
      <c r="K452" s="84" t="n"/>
    </row>
    <row r="453">
      <c r="K453" s="84" t="n"/>
    </row>
    <row r="454">
      <c r="K454" s="84" t="n"/>
    </row>
    <row r="455">
      <c r="K455" s="84" t="n"/>
    </row>
    <row r="456">
      <c r="K456" s="84" t="n"/>
    </row>
    <row r="457">
      <c r="K457" s="84" t="n"/>
    </row>
    <row r="458">
      <c r="K458" s="84" t="n"/>
    </row>
    <row r="459">
      <c r="K459" s="84" t="n"/>
    </row>
    <row r="460">
      <c r="K460" s="84" t="n"/>
    </row>
    <row r="461">
      <c r="K461" s="84" t="n"/>
    </row>
    <row r="462">
      <c r="K462" s="84" t="n"/>
    </row>
    <row r="463">
      <c r="K463" s="84" t="n"/>
    </row>
    <row r="464">
      <c r="K464" s="84" t="n"/>
    </row>
    <row r="465">
      <c r="K465" s="84" t="n"/>
    </row>
    <row r="466">
      <c r="K466" s="84" t="n"/>
    </row>
    <row r="467">
      <c r="K467" s="84" t="n"/>
    </row>
    <row r="468">
      <c r="K468" s="84" t="n"/>
    </row>
    <row r="469">
      <c r="K469" s="84" t="n"/>
    </row>
    <row r="470">
      <c r="K470" s="84" t="n"/>
    </row>
    <row r="471">
      <c r="K471" s="84" t="n"/>
    </row>
    <row r="472">
      <c r="K472" s="84" t="n"/>
    </row>
    <row r="473">
      <c r="K473" s="84" t="n"/>
    </row>
    <row r="474">
      <c r="K474" s="84" t="n"/>
    </row>
    <row r="475">
      <c r="K475" s="84" t="n"/>
    </row>
    <row r="476">
      <c r="K476" s="84" t="n"/>
    </row>
    <row r="477">
      <c r="K477" s="84" t="n"/>
    </row>
    <row r="478">
      <c r="K478" s="84" t="n"/>
    </row>
    <row r="479">
      <c r="K479" s="84" t="n"/>
    </row>
    <row r="480">
      <c r="K480" s="84" t="n"/>
    </row>
    <row r="481">
      <c r="K481" s="84" t="n"/>
    </row>
    <row r="482">
      <c r="K482" s="84" t="n"/>
    </row>
    <row r="483">
      <c r="K483" s="84" t="n"/>
    </row>
    <row r="484">
      <c r="K484" s="84" t="n"/>
    </row>
    <row r="485">
      <c r="K485" s="84" t="n"/>
    </row>
    <row r="486">
      <c r="K486" s="84" t="n"/>
    </row>
    <row r="487">
      <c r="K487" s="84" t="n"/>
    </row>
    <row r="488">
      <c r="K488" s="84" t="n"/>
    </row>
    <row r="489">
      <c r="K489" s="84" t="n"/>
    </row>
    <row r="490">
      <c r="K490" s="84" t="n"/>
    </row>
    <row r="491">
      <c r="K491" s="84" t="n"/>
    </row>
    <row r="492">
      <c r="K492" s="84" t="n"/>
    </row>
    <row r="493">
      <c r="K493" s="84" t="n"/>
    </row>
    <row r="494">
      <c r="K494" s="84" t="n"/>
    </row>
    <row r="495">
      <c r="K495" s="84" t="n"/>
    </row>
    <row r="496">
      <c r="K496" s="84" t="n"/>
    </row>
    <row r="497">
      <c r="K497" s="84" t="n"/>
    </row>
    <row r="498">
      <c r="K498" s="84" t="n"/>
    </row>
    <row r="499">
      <c r="K499" s="84" t="n"/>
    </row>
    <row r="500">
      <c r="K500" s="84" t="n"/>
    </row>
    <row r="501">
      <c r="K501" s="84" t="n"/>
    </row>
    <row r="502">
      <c r="K502" s="84" t="n"/>
    </row>
    <row r="503">
      <c r="K503" s="84" t="n"/>
    </row>
    <row r="504">
      <c r="K504" s="84" t="n"/>
    </row>
    <row r="505">
      <c r="K505" s="84" t="n"/>
    </row>
    <row r="506">
      <c r="K506" s="84" t="n"/>
    </row>
    <row r="507">
      <c r="K507" s="84" t="n"/>
    </row>
    <row r="508">
      <c r="K508" s="84" t="n"/>
    </row>
    <row r="509">
      <c r="K509" s="84" t="n"/>
    </row>
    <row r="510">
      <c r="K510" s="84" t="n"/>
    </row>
    <row r="511">
      <c r="K511" s="84" t="n"/>
    </row>
    <row r="512">
      <c r="K512" s="84" t="n"/>
    </row>
    <row r="513">
      <c r="K513" s="84" t="n"/>
    </row>
    <row r="514">
      <c r="K514" s="84" t="n"/>
    </row>
    <row r="515">
      <c r="K515" s="84" t="n"/>
    </row>
    <row r="516">
      <c r="K516" s="84" t="n"/>
    </row>
    <row r="517">
      <c r="K517" s="84" t="n"/>
    </row>
    <row r="518">
      <c r="K518" s="84" t="n"/>
    </row>
    <row r="519">
      <c r="K519" s="84" t="n"/>
    </row>
    <row r="520">
      <c r="K520" s="84" t="n"/>
    </row>
    <row r="521">
      <c r="K521" s="84" t="n"/>
    </row>
    <row r="522">
      <c r="K522" s="84" t="n"/>
    </row>
    <row r="523">
      <c r="K523" s="84" t="n"/>
    </row>
    <row r="524">
      <c r="K524" s="84" t="n"/>
    </row>
    <row r="525">
      <c r="K525" s="84" t="n"/>
    </row>
    <row r="526">
      <c r="K526" s="84" t="n"/>
    </row>
    <row r="527">
      <c r="K527" s="84" t="n"/>
    </row>
    <row r="528">
      <c r="K528" s="84" t="n"/>
    </row>
    <row r="529">
      <c r="K529" s="84" t="n"/>
    </row>
    <row r="530">
      <c r="K530" s="84" t="n"/>
    </row>
    <row r="531">
      <c r="K531" s="84" t="n"/>
    </row>
    <row r="532">
      <c r="K532" s="84" t="n"/>
    </row>
    <row r="533">
      <c r="K533" s="84" t="n"/>
    </row>
    <row r="534">
      <c r="K534" s="84" t="n"/>
    </row>
    <row r="535">
      <c r="K535" s="84" t="n"/>
    </row>
    <row r="536">
      <c r="K536" s="84" t="n"/>
    </row>
    <row r="537">
      <c r="K537" s="84" t="n"/>
    </row>
    <row r="538">
      <c r="K538" s="84" t="n"/>
    </row>
    <row r="539">
      <c r="K539" s="84" t="n"/>
    </row>
    <row r="540">
      <c r="K540" s="84" t="n"/>
    </row>
    <row r="541">
      <c r="K541" s="84" t="n"/>
    </row>
    <row r="542">
      <c r="K542" s="84" t="n"/>
    </row>
    <row r="543">
      <c r="K543" s="84" t="n"/>
    </row>
    <row r="544">
      <c r="K544" s="84" t="n"/>
    </row>
    <row r="545">
      <c r="K545" s="84" t="n"/>
    </row>
    <row r="546">
      <c r="K546" s="84" t="n"/>
    </row>
    <row r="547">
      <c r="K547" s="84" t="n"/>
    </row>
    <row r="548">
      <c r="K548" s="84" t="n"/>
    </row>
    <row r="549">
      <c r="K549" s="84" t="n"/>
    </row>
    <row r="550">
      <c r="K550" s="84" t="n"/>
    </row>
    <row r="551">
      <c r="K551" s="84" t="n"/>
    </row>
    <row r="552">
      <c r="K552" s="84" t="n"/>
    </row>
    <row r="553">
      <c r="K553" s="84" t="n"/>
    </row>
    <row r="554">
      <c r="K554" s="84" t="n"/>
    </row>
    <row r="555">
      <c r="K555" s="84" t="n"/>
    </row>
    <row r="556">
      <c r="K556" s="84" t="n"/>
    </row>
    <row r="557">
      <c r="K557" s="84" t="n"/>
    </row>
    <row r="558">
      <c r="K558" s="84" t="n"/>
    </row>
    <row r="559">
      <c r="K559" s="84" t="n"/>
    </row>
    <row r="560">
      <c r="K560" s="84" t="n"/>
    </row>
    <row r="561">
      <c r="K561" s="84" t="n"/>
    </row>
    <row r="562">
      <c r="K562" s="84" t="n"/>
    </row>
    <row r="563">
      <c r="K563" s="84" t="n"/>
    </row>
    <row r="564">
      <c r="K564" s="84" t="n"/>
    </row>
    <row r="565">
      <c r="K565" s="84" t="n"/>
    </row>
    <row r="566">
      <c r="K566" s="84" t="n"/>
    </row>
    <row r="567">
      <c r="K567" s="84" t="n"/>
    </row>
    <row r="568">
      <c r="K568" s="84" t="n"/>
    </row>
    <row r="569">
      <c r="K569" s="84" t="n"/>
    </row>
    <row r="570">
      <c r="K570" s="84" t="n"/>
    </row>
    <row r="571">
      <c r="K571" s="84" t="n"/>
    </row>
    <row r="572">
      <c r="K572" s="84" t="n"/>
    </row>
    <row r="573">
      <c r="K573" s="84" t="n"/>
    </row>
    <row r="574">
      <c r="K574" s="84" t="n"/>
    </row>
    <row r="575">
      <c r="K575" s="84" t="n"/>
    </row>
    <row r="576">
      <c r="K576" s="84" t="n"/>
    </row>
    <row r="577">
      <c r="K577" s="84" t="n"/>
    </row>
    <row r="578">
      <c r="K578" s="84" t="n"/>
    </row>
    <row r="579">
      <c r="K579" s="84" t="n"/>
    </row>
    <row r="580">
      <c r="K580" s="84" t="n"/>
    </row>
    <row r="581">
      <c r="K581" s="84" t="n"/>
    </row>
    <row r="582">
      <c r="K582" s="84" t="n"/>
    </row>
    <row r="583">
      <c r="K583" s="84" t="n"/>
    </row>
    <row r="584">
      <c r="K584" s="84" t="n"/>
    </row>
    <row r="585">
      <c r="K585" s="84" t="n"/>
    </row>
    <row r="586">
      <c r="K586" s="84" t="n"/>
    </row>
    <row r="587">
      <c r="K587" s="84" t="n"/>
    </row>
    <row r="588">
      <c r="K588" s="84" t="n"/>
    </row>
    <row r="589">
      <c r="K589" s="84" t="n"/>
    </row>
    <row r="590">
      <c r="K590" s="84" t="n"/>
    </row>
    <row r="591">
      <c r="K591" s="84" t="n"/>
    </row>
    <row r="592">
      <c r="K592" s="84" t="n"/>
    </row>
    <row r="593">
      <c r="K593" s="84" t="n"/>
    </row>
    <row r="594">
      <c r="K594" s="84" t="n"/>
    </row>
    <row r="595">
      <c r="K595" s="84" t="n"/>
    </row>
    <row r="596">
      <c r="K596" s="84" t="n"/>
    </row>
    <row r="597">
      <c r="K597" s="84" t="n"/>
    </row>
    <row r="598">
      <c r="K598" s="84" t="n"/>
    </row>
    <row r="599">
      <c r="K599" s="84" t="n"/>
    </row>
    <row r="600">
      <c r="K600" s="84" t="n"/>
    </row>
    <row r="601">
      <c r="K601" s="84" t="n"/>
    </row>
    <row r="602">
      <c r="K602" s="84" t="n"/>
    </row>
    <row r="603">
      <c r="K603" s="84" t="n"/>
    </row>
    <row r="604">
      <c r="K604" s="84" t="n"/>
    </row>
    <row r="605">
      <c r="K605" s="84" t="n"/>
    </row>
    <row r="606">
      <c r="K606" s="84" t="n"/>
    </row>
    <row r="607">
      <c r="K607" s="84" t="n"/>
    </row>
    <row r="608">
      <c r="K608" s="84" t="n"/>
    </row>
    <row r="609">
      <c r="K609" s="84" t="n"/>
    </row>
    <row r="610">
      <c r="K610" s="84" t="n"/>
    </row>
    <row r="611">
      <c r="K611" s="84" t="n"/>
    </row>
    <row r="612">
      <c r="K612" s="84" t="n"/>
    </row>
    <row r="613">
      <c r="K613" s="84" t="n"/>
    </row>
    <row r="614">
      <c r="K614" s="84" t="n"/>
    </row>
    <row r="615">
      <c r="K615" s="84" t="n"/>
    </row>
    <row r="616">
      <c r="K616" s="84" t="n"/>
    </row>
    <row r="617">
      <c r="K617" s="84" t="n"/>
    </row>
    <row r="618">
      <c r="K618" s="84" t="n"/>
    </row>
    <row r="619">
      <c r="K619" s="84" t="n"/>
    </row>
    <row r="620">
      <c r="K620" s="84" t="n"/>
    </row>
    <row r="621">
      <c r="K621" s="84" t="n"/>
    </row>
    <row r="622">
      <c r="K622" s="84" t="n"/>
    </row>
    <row r="623">
      <c r="K623" s="84" t="n"/>
    </row>
    <row r="624">
      <c r="K624" s="84" t="n"/>
    </row>
    <row r="625">
      <c r="K625" s="84" t="n"/>
    </row>
    <row r="626">
      <c r="K626" s="84" t="n"/>
    </row>
    <row r="627">
      <c r="K627" s="84" t="n"/>
    </row>
    <row r="628">
      <c r="K628" s="84" t="n"/>
    </row>
    <row r="629">
      <c r="K629" s="84" t="n"/>
    </row>
    <row r="630">
      <c r="K630" s="84" t="n"/>
    </row>
    <row r="631">
      <c r="K631" s="84" t="n"/>
    </row>
    <row r="632">
      <c r="K632" s="84" t="n"/>
    </row>
    <row r="633">
      <c r="K633" s="84" t="n"/>
    </row>
    <row r="634">
      <c r="K634" s="84" t="n"/>
    </row>
    <row r="635">
      <c r="K635" s="84" t="n"/>
    </row>
    <row r="636">
      <c r="K636" s="84" t="n"/>
    </row>
    <row r="637">
      <c r="K637" s="84" t="n"/>
    </row>
    <row r="638">
      <c r="K638" s="84" t="n"/>
    </row>
    <row r="639">
      <c r="K639" s="84" t="n"/>
    </row>
    <row r="640">
      <c r="K640" s="84" t="n"/>
    </row>
    <row r="641">
      <c r="K641" s="84" t="n"/>
    </row>
    <row r="642">
      <c r="K642" s="84" t="n"/>
    </row>
    <row r="643">
      <c r="K643" s="84" t="n"/>
    </row>
    <row r="644">
      <c r="K644" s="84" t="n"/>
    </row>
    <row r="645">
      <c r="K645" s="84" t="n"/>
    </row>
    <row r="646">
      <c r="K646" s="84" t="n"/>
    </row>
    <row r="647">
      <c r="K647" s="84" t="n"/>
    </row>
    <row r="648">
      <c r="K648" s="84" t="n"/>
    </row>
    <row r="649">
      <c r="K649" s="84" t="n"/>
    </row>
    <row r="650">
      <c r="K650" s="84" t="n"/>
    </row>
    <row r="651">
      <c r="K651" s="84" t="n"/>
    </row>
    <row r="652">
      <c r="K652" s="84" t="n"/>
    </row>
    <row r="653">
      <c r="K653" s="84" t="n"/>
    </row>
    <row r="654">
      <c r="K654" s="84" t="n"/>
    </row>
    <row r="655">
      <c r="K655" s="84" t="n"/>
    </row>
    <row r="656">
      <c r="K656" s="84" t="n"/>
    </row>
    <row r="657">
      <c r="K657" s="84" t="n"/>
    </row>
    <row r="658">
      <c r="K658" s="84" t="n"/>
    </row>
    <row r="659">
      <c r="K659" s="84" t="n"/>
    </row>
    <row r="660">
      <c r="K660" s="84" t="n"/>
    </row>
    <row r="661">
      <c r="K661" s="84" t="n"/>
    </row>
    <row r="662">
      <c r="K662" s="84" t="n"/>
    </row>
    <row r="663">
      <c r="K663" s="84" t="n"/>
    </row>
    <row r="664">
      <c r="K664" s="84" t="n"/>
    </row>
    <row r="665">
      <c r="K665" s="84" t="n"/>
    </row>
    <row r="666">
      <c r="K666" s="84" t="n"/>
    </row>
    <row r="667">
      <c r="K667" s="84" t="n"/>
    </row>
    <row r="668">
      <c r="K668" s="84" t="n"/>
    </row>
    <row r="669">
      <c r="K669" s="84" t="n"/>
    </row>
    <row r="670">
      <c r="K670" s="84" t="n"/>
    </row>
    <row r="671">
      <c r="K671" s="84" t="n"/>
    </row>
    <row r="672">
      <c r="K672" s="84" t="n"/>
    </row>
    <row r="673">
      <c r="K673" s="84" t="n"/>
    </row>
    <row r="674">
      <c r="K674" s="84" t="n"/>
    </row>
    <row r="675">
      <c r="K675" s="84" t="n"/>
    </row>
    <row r="676">
      <c r="K676" s="84" t="n"/>
    </row>
    <row r="677">
      <c r="K677" s="84" t="n"/>
    </row>
    <row r="678">
      <c r="K678" s="84" t="n"/>
    </row>
    <row r="679">
      <c r="K679" s="84" t="n"/>
    </row>
    <row r="680">
      <c r="K680" s="84" t="n"/>
    </row>
    <row r="681">
      <c r="K681" s="84" t="n"/>
    </row>
    <row r="682">
      <c r="K682" s="84" t="n"/>
    </row>
    <row r="683">
      <c r="K683" s="84" t="n"/>
    </row>
    <row r="684">
      <c r="K684" s="84" t="n"/>
    </row>
    <row r="685">
      <c r="K685" s="84" t="n"/>
    </row>
    <row r="686">
      <c r="K686" s="84" t="n"/>
    </row>
    <row r="687">
      <c r="K687" s="84" t="n"/>
    </row>
    <row r="688">
      <c r="K688" s="84" t="n"/>
    </row>
    <row r="689">
      <c r="K689" s="84" t="n"/>
    </row>
    <row r="690">
      <c r="K690" s="84" t="n"/>
    </row>
    <row r="691">
      <c r="K691" s="84" t="n"/>
    </row>
    <row r="692">
      <c r="K692" s="84" t="n"/>
    </row>
    <row r="693">
      <c r="K693" s="84" t="n"/>
    </row>
    <row r="694">
      <c r="K694" s="84" t="n"/>
    </row>
    <row r="695">
      <c r="K695" s="84" t="n"/>
    </row>
    <row r="696">
      <c r="K696" s="84" t="n"/>
    </row>
    <row r="697">
      <c r="K697" s="84" t="n"/>
    </row>
    <row r="698">
      <c r="K698" s="84" t="n"/>
    </row>
    <row r="699">
      <c r="K699" s="84" t="n"/>
    </row>
    <row r="700">
      <c r="K700" s="84" t="n"/>
    </row>
    <row r="701">
      <c r="K701" s="84" t="n"/>
    </row>
    <row r="702">
      <c r="K702" s="84" t="n"/>
    </row>
    <row r="703">
      <c r="K703" s="84" t="n"/>
    </row>
    <row r="704">
      <c r="K704" s="84" t="n"/>
    </row>
    <row r="705">
      <c r="K705" s="84" t="n"/>
    </row>
    <row r="706">
      <c r="K706" s="84" t="n"/>
    </row>
    <row r="707">
      <c r="K707" s="84" t="n"/>
    </row>
    <row r="708">
      <c r="K708" s="84" t="n"/>
    </row>
    <row r="709">
      <c r="K709" s="84" t="n"/>
    </row>
    <row r="710">
      <c r="K710" s="84" t="n"/>
    </row>
    <row r="711">
      <c r="K711" s="84" t="n"/>
    </row>
    <row r="712">
      <c r="K712" s="84" t="n"/>
    </row>
    <row r="713">
      <c r="K713" s="84" t="n"/>
    </row>
    <row r="714">
      <c r="K714" s="84" t="n"/>
    </row>
    <row r="715">
      <c r="K715" s="84" t="n"/>
    </row>
    <row r="716">
      <c r="K716" s="84" t="n"/>
    </row>
    <row r="717">
      <c r="K717" s="84" t="n"/>
    </row>
    <row r="718">
      <c r="K718" s="84" t="n"/>
    </row>
    <row r="719">
      <c r="K719" s="84" t="n"/>
    </row>
    <row r="720">
      <c r="K720" s="84" t="n"/>
    </row>
    <row r="721">
      <c r="K721" s="84" t="n"/>
    </row>
    <row r="722">
      <c r="K722" s="84" t="n"/>
    </row>
    <row r="723">
      <c r="K723" s="84" t="n"/>
    </row>
    <row r="724">
      <c r="K724" s="84" t="n"/>
    </row>
    <row r="725">
      <c r="K725" s="84" t="n"/>
    </row>
    <row r="726">
      <c r="K726" s="84" t="n"/>
    </row>
    <row r="727">
      <c r="K727" s="84" t="n"/>
    </row>
    <row r="728">
      <c r="K728" s="84" t="n"/>
    </row>
    <row r="729">
      <c r="K729" s="84" t="n"/>
    </row>
    <row r="730">
      <c r="K730" s="84" t="n"/>
    </row>
    <row r="731">
      <c r="K731" s="84" t="n"/>
    </row>
    <row r="732">
      <c r="K732" s="84" t="n"/>
    </row>
    <row r="733">
      <c r="K733" s="84" t="n"/>
    </row>
    <row r="734">
      <c r="K734" s="84" t="n"/>
    </row>
    <row r="735">
      <c r="K735" s="84" t="n"/>
    </row>
    <row r="736">
      <c r="K736" s="84" t="n"/>
    </row>
    <row r="737">
      <c r="K737" s="84" t="n"/>
    </row>
    <row r="738">
      <c r="K738" s="84" t="n"/>
    </row>
    <row r="739">
      <c r="K739" s="84" t="n"/>
    </row>
    <row r="740">
      <c r="K740" s="84" t="n"/>
    </row>
    <row r="741">
      <c r="K741" s="84" t="n"/>
    </row>
    <row r="742">
      <c r="K742" s="84" t="n"/>
    </row>
    <row r="743">
      <c r="K743" s="84" t="n"/>
    </row>
    <row r="744">
      <c r="K744" s="84" t="n"/>
    </row>
    <row r="745">
      <c r="K745" s="84" t="n"/>
    </row>
    <row r="746">
      <c r="K746" s="84" t="n"/>
    </row>
    <row r="747">
      <c r="K747" s="84" t="n"/>
    </row>
    <row r="748">
      <c r="K748" s="84" t="n"/>
    </row>
    <row r="749">
      <c r="K749" s="84" t="n"/>
    </row>
    <row r="750">
      <c r="K750" s="84" t="n"/>
    </row>
    <row r="751">
      <c r="K751" s="84" t="n"/>
    </row>
    <row r="752">
      <c r="K752" s="84" t="n"/>
    </row>
    <row r="753">
      <c r="K753" s="84" t="n"/>
    </row>
    <row r="754">
      <c r="K754" s="84" t="n"/>
    </row>
    <row r="755">
      <c r="K755" s="84" t="n"/>
    </row>
    <row r="756">
      <c r="K756" s="84" t="n"/>
    </row>
    <row r="757">
      <c r="K757" s="84" t="n"/>
    </row>
    <row r="758">
      <c r="K758" s="84" t="n"/>
    </row>
    <row r="759">
      <c r="K759" s="84" t="n"/>
    </row>
    <row r="760">
      <c r="K760" s="84" t="n"/>
    </row>
    <row r="761">
      <c r="K761" s="84" t="n"/>
    </row>
    <row r="762">
      <c r="K762" s="84" t="n"/>
    </row>
    <row r="763">
      <c r="K763" s="84" t="n"/>
    </row>
    <row r="764">
      <c r="K764" s="84" t="n"/>
    </row>
    <row r="765">
      <c r="K765" s="84" t="n"/>
    </row>
    <row r="766">
      <c r="K766" s="84" t="n"/>
    </row>
    <row r="767">
      <c r="K767" s="84" t="n"/>
    </row>
    <row r="768">
      <c r="K768" s="84" t="n"/>
    </row>
    <row r="769">
      <c r="K769" s="84" t="n"/>
    </row>
    <row r="770">
      <c r="K770" s="84" t="n"/>
    </row>
    <row r="771">
      <c r="K771" s="84" t="n"/>
    </row>
    <row r="772">
      <c r="K772" s="84" t="n"/>
    </row>
    <row r="773">
      <c r="K773" s="84" t="n"/>
    </row>
    <row r="774">
      <c r="K774" s="84" t="n"/>
    </row>
    <row r="775">
      <c r="K775" s="84" t="n"/>
    </row>
    <row r="776">
      <c r="K776" s="84" t="n"/>
    </row>
    <row r="777">
      <c r="K777" s="84" t="n"/>
    </row>
    <row r="778">
      <c r="K778" s="84" t="n"/>
    </row>
    <row r="779">
      <c r="K779" s="84" t="n"/>
    </row>
    <row r="780">
      <c r="K780" s="84" t="n"/>
    </row>
    <row r="781">
      <c r="K781" s="84" t="n"/>
    </row>
    <row r="782">
      <c r="K782" s="84" t="n"/>
    </row>
    <row r="783">
      <c r="K783" s="84" t="n"/>
    </row>
    <row r="784">
      <c r="K784" s="84" t="n"/>
    </row>
    <row r="785">
      <c r="K785" s="84" t="n"/>
    </row>
    <row r="786">
      <c r="K786" s="84" t="n"/>
    </row>
    <row r="787">
      <c r="K787" s="84" t="n"/>
    </row>
    <row r="788">
      <c r="K788" s="84" t="n"/>
    </row>
    <row r="789">
      <c r="K789" s="84" t="n"/>
    </row>
    <row r="790">
      <c r="K790" s="84" t="n"/>
    </row>
    <row r="791">
      <c r="K791" s="84" t="n"/>
    </row>
    <row r="792">
      <c r="K792" s="84" t="n"/>
    </row>
    <row r="793">
      <c r="K793" s="84" t="n"/>
    </row>
    <row r="794">
      <c r="K794" s="84" t="n"/>
    </row>
    <row r="795">
      <c r="K795" s="84" t="n"/>
    </row>
    <row r="796">
      <c r="K796" s="84" t="n"/>
    </row>
    <row r="797">
      <c r="K797" s="84" t="n"/>
    </row>
    <row r="798">
      <c r="K798" s="84" t="n"/>
    </row>
    <row r="799">
      <c r="K799" s="84" t="n"/>
    </row>
    <row r="800">
      <c r="K800" s="84" t="n"/>
    </row>
    <row r="801">
      <c r="K801" s="84" t="n"/>
    </row>
    <row r="802">
      <c r="K802" s="84" t="n"/>
    </row>
    <row r="803">
      <c r="K803" s="84" t="n"/>
    </row>
    <row r="804">
      <c r="K804" s="84" t="n"/>
    </row>
    <row r="805">
      <c r="K805" s="84" t="n"/>
    </row>
    <row r="806">
      <c r="K806" s="84" t="n"/>
    </row>
    <row r="807">
      <c r="K807" s="84" t="n"/>
    </row>
    <row r="808">
      <c r="K808" s="84" t="n"/>
    </row>
    <row r="809">
      <c r="K809" s="84" t="n"/>
    </row>
    <row r="810">
      <c r="K810" s="84" t="n"/>
    </row>
    <row r="811">
      <c r="K811" s="84" t="n"/>
    </row>
    <row r="812">
      <c r="K812" s="84" t="n"/>
    </row>
    <row r="813">
      <c r="K813" s="84" t="n"/>
    </row>
    <row r="814">
      <c r="K814" s="84" t="n"/>
    </row>
    <row r="815">
      <c r="K815" s="84" t="n"/>
    </row>
    <row r="816">
      <c r="K816" s="84" t="n"/>
    </row>
    <row r="817">
      <c r="K817" s="84" t="n"/>
    </row>
    <row r="818">
      <c r="K818" s="84" t="n"/>
    </row>
    <row r="819">
      <c r="K819" s="84" t="n"/>
    </row>
    <row r="820">
      <c r="K820" s="84" t="n"/>
    </row>
    <row r="821">
      <c r="K821" s="84" t="n"/>
    </row>
    <row r="822">
      <c r="K822" s="84" t="n"/>
    </row>
    <row r="823">
      <c r="K823" s="84" t="n"/>
    </row>
    <row r="824">
      <c r="K824" s="84" t="n"/>
    </row>
    <row r="825">
      <c r="K825" s="84" t="n"/>
    </row>
    <row r="826">
      <c r="K826" s="84" t="n"/>
    </row>
    <row r="827">
      <c r="K827" s="84" t="n"/>
    </row>
    <row r="828">
      <c r="K828" s="84" t="n"/>
    </row>
    <row r="829">
      <c r="K829" s="84" t="n"/>
    </row>
    <row r="830">
      <c r="K830" s="84" t="n"/>
    </row>
    <row r="831">
      <c r="K831" s="84" t="n"/>
    </row>
    <row r="832">
      <c r="K832" s="84" t="n"/>
    </row>
    <row r="833">
      <c r="K833" s="84" t="n"/>
    </row>
    <row r="834">
      <c r="K834" s="84" t="n"/>
    </row>
    <row r="835">
      <c r="K835" s="84" t="n"/>
    </row>
    <row r="836">
      <c r="K836" s="84" t="n"/>
    </row>
    <row r="837">
      <c r="K837" s="84" t="n"/>
    </row>
    <row r="838">
      <c r="K838" s="84" t="n"/>
    </row>
    <row r="839">
      <c r="K839" s="84" t="n"/>
    </row>
    <row r="840">
      <c r="K840" s="84" t="n"/>
    </row>
    <row r="841">
      <c r="K841" s="84" t="n"/>
    </row>
    <row r="842">
      <c r="K842" s="84" t="n"/>
    </row>
    <row r="843">
      <c r="K843" s="84" t="n"/>
    </row>
    <row r="844">
      <c r="K844" s="84" t="n"/>
    </row>
    <row r="845">
      <c r="K845" s="84" t="n"/>
    </row>
    <row r="846">
      <c r="K846" s="84" t="n"/>
    </row>
    <row r="847">
      <c r="K847" s="84" t="n"/>
    </row>
    <row r="848">
      <c r="K848" s="84" t="n"/>
    </row>
    <row r="849">
      <c r="K849" s="84" t="n"/>
    </row>
    <row r="850">
      <c r="K850" s="84" t="n"/>
    </row>
    <row r="851">
      <c r="K851" s="84" t="n"/>
    </row>
    <row r="852">
      <c r="K852" s="84" t="n"/>
    </row>
    <row r="853">
      <c r="K853" s="84" t="n"/>
    </row>
    <row r="854">
      <c r="K854" s="84" t="n"/>
    </row>
    <row r="855">
      <c r="K855" s="84" t="n"/>
    </row>
    <row r="856">
      <c r="K856" s="84" t="n"/>
    </row>
    <row r="857">
      <c r="K857" s="84" t="n"/>
    </row>
    <row r="858">
      <c r="K858" s="84" t="n"/>
    </row>
    <row r="859">
      <c r="K859" s="84" t="n"/>
    </row>
    <row r="860">
      <c r="K860" s="84" t="n"/>
    </row>
    <row r="861">
      <c r="K861" s="84" t="n"/>
    </row>
    <row r="862">
      <c r="K862" s="84" t="n"/>
    </row>
    <row r="863">
      <c r="K863" s="84" t="n"/>
    </row>
    <row r="864">
      <c r="K864" s="84" t="n"/>
    </row>
    <row r="865">
      <c r="K865" s="84" t="n"/>
    </row>
    <row r="866">
      <c r="K866" s="84" t="n"/>
    </row>
    <row r="867">
      <c r="K867" s="84" t="n"/>
    </row>
    <row r="868">
      <c r="K868" s="84" t="n"/>
    </row>
    <row r="869">
      <c r="K869" s="84" t="n"/>
    </row>
    <row r="870">
      <c r="K870" s="84" t="n"/>
    </row>
    <row r="871">
      <c r="K871" s="84" t="n"/>
    </row>
    <row r="872">
      <c r="K872" s="84" t="n"/>
    </row>
    <row r="873">
      <c r="K873" s="84" t="n"/>
    </row>
    <row r="874">
      <c r="K874" s="84" t="n"/>
    </row>
    <row r="875">
      <c r="K875" s="84" t="n"/>
    </row>
    <row r="876">
      <c r="K876" s="84" t="n"/>
    </row>
    <row r="877">
      <c r="K877" s="84" t="n"/>
    </row>
    <row r="878">
      <c r="K878" s="84" t="n"/>
    </row>
    <row r="879">
      <c r="K879" s="84" t="n"/>
    </row>
    <row r="880">
      <c r="K880" s="84" t="n"/>
    </row>
    <row r="881">
      <c r="K881" s="84" t="n"/>
    </row>
    <row r="882">
      <c r="K882" s="84" t="n"/>
    </row>
    <row r="883">
      <c r="K883" s="84" t="n"/>
    </row>
    <row r="884">
      <c r="K884" s="84" t="n"/>
    </row>
    <row r="885">
      <c r="K885" s="84" t="n"/>
    </row>
    <row r="886">
      <c r="K886" s="84" t="n"/>
    </row>
    <row r="887">
      <c r="K887" s="84" t="n"/>
    </row>
    <row r="888">
      <c r="K888" s="84" t="n"/>
    </row>
    <row r="889">
      <c r="K889" s="84" t="n"/>
    </row>
    <row r="890">
      <c r="K890" s="84" t="n"/>
    </row>
    <row r="891">
      <c r="K891" s="84" t="n"/>
    </row>
    <row r="892">
      <c r="K892" s="84" t="n"/>
    </row>
    <row r="893">
      <c r="K893" s="84" t="n"/>
    </row>
    <row r="894">
      <c r="K894" s="84" t="n"/>
    </row>
    <row r="895">
      <c r="K895" s="84" t="n"/>
    </row>
    <row r="896">
      <c r="K896" s="84" t="n"/>
    </row>
    <row r="897">
      <c r="K897" s="84" t="n"/>
    </row>
    <row r="898">
      <c r="K898" s="84" t="n"/>
    </row>
    <row r="899">
      <c r="K899" s="84" t="n"/>
    </row>
    <row r="900">
      <c r="K900" s="84" t="n"/>
    </row>
    <row r="901">
      <c r="K901" s="84" t="n"/>
    </row>
    <row r="902">
      <c r="K902" s="84" t="n"/>
    </row>
    <row r="903">
      <c r="K903" s="84" t="n"/>
    </row>
    <row r="904">
      <c r="K904" s="84" t="n"/>
    </row>
    <row r="905">
      <c r="K905" s="84" t="n"/>
    </row>
    <row r="906">
      <c r="K906" s="84" t="n"/>
    </row>
    <row r="907">
      <c r="K907" s="84" t="n"/>
    </row>
    <row r="908">
      <c r="K908" s="84" t="n"/>
    </row>
    <row r="909">
      <c r="K909" s="84" t="n"/>
    </row>
    <row r="910">
      <c r="K910" s="84" t="n"/>
    </row>
    <row r="911">
      <c r="K911" s="84" t="n"/>
    </row>
    <row r="912">
      <c r="K912" s="84" t="n"/>
    </row>
    <row r="913">
      <c r="K913" s="84" t="n"/>
    </row>
    <row r="914">
      <c r="K914" s="84" t="n"/>
    </row>
    <row r="915">
      <c r="K915" s="84" t="n"/>
    </row>
    <row r="916">
      <c r="K916" s="84" t="n"/>
    </row>
    <row r="917">
      <c r="K917" s="84" t="n"/>
    </row>
    <row r="918">
      <c r="K918" s="84" t="n"/>
    </row>
    <row r="919">
      <c r="K919" s="84" t="n"/>
    </row>
    <row r="920">
      <c r="K920" s="84" t="n"/>
    </row>
    <row r="921">
      <c r="K921" s="84" t="n"/>
    </row>
    <row r="922">
      <c r="K922" s="84" t="n"/>
    </row>
    <row r="923">
      <c r="K923" s="84" t="n"/>
    </row>
    <row r="924">
      <c r="K924" s="84" t="n"/>
    </row>
    <row r="925">
      <c r="K925" s="84" t="n"/>
    </row>
    <row r="926">
      <c r="K926" s="84" t="n"/>
    </row>
    <row r="927">
      <c r="K927" s="84" t="n"/>
    </row>
    <row r="928">
      <c r="K928" s="84" t="n"/>
    </row>
    <row r="929">
      <c r="K929" s="84" t="n"/>
    </row>
    <row r="930">
      <c r="K930" s="84" t="n"/>
    </row>
    <row r="931">
      <c r="K931" s="84" t="n"/>
    </row>
    <row r="932">
      <c r="K932" s="84" t="n"/>
    </row>
    <row r="933">
      <c r="K933" s="84" t="n"/>
    </row>
    <row r="934">
      <c r="K934" s="84" t="n"/>
    </row>
    <row r="935">
      <c r="K935" s="84" t="n"/>
    </row>
    <row r="936">
      <c r="K936" s="84" t="n"/>
    </row>
    <row r="937">
      <c r="K937" s="84" t="n"/>
    </row>
    <row r="938">
      <c r="K938" s="84" t="n"/>
    </row>
    <row r="939">
      <c r="K939" s="84" t="n"/>
    </row>
    <row r="940">
      <c r="K940" s="84" t="n"/>
    </row>
    <row r="941">
      <c r="K941" s="84" t="n"/>
    </row>
    <row r="942">
      <c r="K942" s="84" t="n"/>
    </row>
    <row r="943">
      <c r="K943" s="84" t="n"/>
    </row>
    <row r="944">
      <c r="K944" s="84" t="n"/>
    </row>
    <row r="945">
      <c r="K945" s="84" t="n"/>
    </row>
    <row r="946">
      <c r="K946" s="84" t="n"/>
    </row>
    <row r="947">
      <c r="K947" s="84" t="n"/>
    </row>
    <row r="948">
      <c r="K948" s="84" t="n"/>
    </row>
    <row r="949">
      <c r="K949" s="84" t="n"/>
    </row>
    <row r="950">
      <c r="K950" s="84" t="n"/>
    </row>
    <row r="951">
      <c r="K951" s="84" t="n"/>
    </row>
    <row r="952">
      <c r="K952" s="84" t="n"/>
    </row>
    <row r="953">
      <c r="K953" s="84" t="n"/>
    </row>
    <row r="954">
      <c r="K954" s="84" t="n"/>
    </row>
    <row r="955">
      <c r="K955" s="84" t="n"/>
    </row>
    <row r="956">
      <c r="K956" s="84" t="n"/>
    </row>
    <row r="957">
      <c r="K957" s="84" t="n"/>
    </row>
    <row r="958">
      <c r="K958" s="84" t="n"/>
    </row>
    <row r="959">
      <c r="K959" s="84" t="n"/>
    </row>
    <row r="960">
      <c r="K960" s="84" t="n"/>
    </row>
    <row r="961">
      <c r="K961" s="84" t="n"/>
    </row>
    <row r="962">
      <c r="K962" s="84" t="n"/>
    </row>
    <row r="963">
      <c r="K963" s="84" t="n"/>
    </row>
    <row r="964">
      <c r="K964" s="84" t="n"/>
    </row>
    <row r="965">
      <c r="K965" s="84" t="n"/>
    </row>
    <row r="966">
      <c r="K966" s="84" t="n"/>
    </row>
    <row r="967">
      <c r="K967" s="84" t="n"/>
    </row>
    <row r="968">
      <c r="K968" s="84" t="n"/>
    </row>
    <row r="969">
      <c r="K969" s="84" t="n"/>
    </row>
    <row r="970">
      <c r="K970" s="84" t="n"/>
    </row>
    <row r="971">
      <c r="K971" s="84" t="n"/>
    </row>
    <row r="972">
      <c r="K972" s="84" t="n"/>
    </row>
    <row r="973">
      <c r="K973" s="84" t="n"/>
    </row>
    <row r="974">
      <c r="K974" s="84" t="n"/>
    </row>
    <row r="975">
      <c r="K975" s="84" t="n"/>
    </row>
    <row r="976">
      <c r="K976" s="84" t="n"/>
    </row>
    <row r="977">
      <c r="K977" s="84" t="n"/>
    </row>
    <row r="978">
      <c r="K978" s="84" t="n"/>
    </row>
    <row r="979">
      <c r="K979" s="84" t="n"/>
    </row>
    <row r="980">
      <c r="K980" s="84" t="n"/>
    </row>
    <row r="981">
      <c r="K981" s="84" t="n"/>
    </row>
    <row r="982">
      <c r="K982" s="84" t="n"/>
    </row>
    <row r="983">
      <c r="K983" s="84" t="n"/>
    </row>
    <row r="984">
      <c r="K984" s="84" t="n"/>
    </row>
    <row r="985">
      <c r="K985" s="84" t="n"/>
    </row>
    <row r="986">
      <c r="K986" s="84" t="n"/>
    </row>
    <row r="987">
      <c r="K987" s="84" t="n"/>
    </row>
    <row r="988">
      <c r="K988" s="84" t="n"/>
    </row>
    <row r="989">
      <c r="K989" s="84" t="n"/>
    </row>
    <row r="990">
      <c r="K990" s="84" t="n"/>
    </row>
    <row r="991">
      <c r="K991" s="84" t="n"/>
    </row>
    <row r="992">
      <c r="K992" s="84" t="n"/>
    </row>
    <row r="993">
      <c r="K993" s="84" t="n"/>
    </row>
    <row r="994">
      <c r="K994" s="84" t="n"/>
    </row>
    <row r="995">
      <c r="K995" s="84" t="n"/>
    </row>
    <row r="996">
      <c r="K996" s="84" t="n"/>
    </row>
    <row r="997">
      <c r="K997" s="84" t="n"/>
    </row>
  </sheetData>
  <dataValidations count="1">
    <dataValidation sqref="L2:L10" showDropDown="0" showInputMessage="0" showErrorMessage="1" allowBlank="1" type="list">
      <formula1>"NAHOMI,DANIEL"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C994"/>
  <sheetViews>
    <sheetView workbookViewId="0">
      <selection activeCell="A1" sqref="A1"/>
    </sheetView>
  </sheetViews>
  <sheetFormatPr baseColWidth="8" defaultColWidth="12.63" defaultRowHeight="15.75" customHeight="1"/>
  <cols>
    <col width="23.13" customWidth="1" style="118" min="1" max="1"/>
    <col width="28.25" customWidth="1" style="118" min="2" max="2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70" t="inlineStr">
        <is>
          <t>Duration （Formula）</t>
        </is>
      </c>
      <c r="K1" s="58" t="inlineStr">
        <is>
          <t>Start date</t>
        </is>
      </c>
      <c r="L1" s="71" t="inlineStr">
        <is>
          <t>HOST 1</t>
        </is>
      </c>
      <c r="M1" s="71" t="inlineStr">
        <is>
          <t xml:space="preserve">HOST 2 </t>
        </is>
      </c>
      <c r="N1" s="71" t="inlineStr">
        <is>
          <t>Operator</t>
        </is>
      </c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  <c r="AC1" s="59" t="n"/>
    </row>
    <row r="2">
      <c r="A2" s="85" t="inlineStr">
        <is>
          <t>7636128823712811784</t>
        </is>
      </c>
      <c r="B2" s="85" t="inlineStr">
        <is>
          <t>miamiwireless_</t>
        </is>
      </c>
      <c r="C2" s="85" t="inlineStr">
        <is>
          <t>MX</t>
        </is>
      </c>
      <c r="D2" s="86" t="n">
        <v>569.55</v>
      </c>
      <c r="E2" s="40">
        <f>D2/1.16</f>
        <v/>
      </c>
      <c r="F2" s="86">
        <f>E2/I2</f>
        <v/>
      </c>
      <c r="G2" s="40">
        <f>F2/1.16</f>
        <v/>
      </c>
      <c r="H2" s="87" t="n">
        <v>0</v>
      </c>
      <c r="I2" s="88" t="n">
        <v>3</v>
      </c>
      <c r="J2" s="89">
        <f>LET(dec, I2-INT(I2), IF(dec&lt;0.1, INT(I2), IF(dec&lt;=0.7, INT(I2)+0.5, INT(I2)+1)))</f>
        <v/>
      </c>
      <c r="K2" s="90" t="n">
        <v>46146</v>
      </c>
      <c r="L2" s="63" t="inlineStr">
        <is>
          <t>NAHOMI</t>
        </is>
      </c>
      <c r="M2" s="89" t="n"/>
      <c r="N2" s="85" t="inlineStr">
        <is>
          <t>RODRIGO</t>
        </is>
      </c>
    </row>
    <row r="3">
      <c r="A3" s="85" t="inlineStr">
        <is>
          <t>7636871499937499911</t>
        </is>
      </c>
      <c r="B3" s="85" t="inlineStr">
        <is>
          <t>miamiwireless_</t>
        </is>
      </c>
      <c r="C3" s="85" t="inlineStr">
        <is>
          <t>MX</t>
        </is>
      </c>
      <c r="D3" s="86" t="n">
        <v>0</v>
      </c>
      <c r="E3" s="40">
        <f>D3/1.16</f>
        <v/>
      </c>
      <c r="F3" s="86">
        <f>E3/I3</f>
        <v/>
      </c>
      <c r="G3" s="40">
        <f>F3/1.16</f>
        <v/>
      </c>
      <c r="H3" s="87" t="n">
        <v>0</v>
      </c>
      <c r="I3" s="88" t="n">
        <v>3</v>
      </c>
      <c r="J3" s="89">
        <f>LET(dec, I3-INT(I3), IF(dec&lt;0.1, INT(I3), IF(dec&lt;=0.7, INT(I3)+0.5, INT(I3)+1)))</f>
        <v/>
      </c>
      <c r="K3" s="90" t="n">
        <v>46148</v>
      </c>
      <c r="L3" s="63" t="inlineStr">
        <is>
          <t>NAHOMI</t>
        </is>
      </c>
      <c r="M3" s="85" t="n"/>
      <c r="N3" s="85" t="inlineStr">
        <is>
          <t>RODRIGO</t>
        </is>
      </c>
    </row>
    <row r="4">
      <c r="A4" s="85" t="inlineStr">
        <is>
          <t>7637242120017496840</t>
        </is>
      </c>
      <c r="B4" s="85" t="inlineStr">
        <is>
          <t>miamiwireless_</t>
        </is>
      </c>
      <c r="C4" s="85" t="inlineStr">
        <is>
          <t>MX</t>
        </is>
      </c>
      <c r="D4" s="86" t="n">
        <v>539.75</v>
      </c>
      <c r="E4" s="40">
        <f>D4/1.16</f>
        <v/>
      </c>
      <c r="F4" s="86">
        <f>E4/I4</f>
        <v/>
      </c>
      <c r="G4" s="40">
        <f>F4/1.16</f>
        <v/>
      </c>
      <c r="H4" s="87" t="n">
        <v>0</v>
      </c>
      <c r="I4" s="88" t="n">
        <v>3</v>
      </c>
      <c r="J4" s="89">
        <f>LET(dec, I4-INT(I4), IF(dec&lt;0.1, INT(I4), IF(dec&lt;=0.7, INT(I4)+0.5, INT(I4)+1)))</f>
        <v/>
      </c>
      <c r="K4" s="90" t="n">
        <v>46149</v>
      </c>
      <c r="L4" s="63" t="inlineStr">
        <is>
          <t>NAHOMI</t>
        </is>
      </c>
      <c r="M4" s="85" t="n"/>
      <c r="N4" s="85" t="inlineStr">
        <is>
          <t>RODRIGO</t>
        </is>
      </c>
    </row>
    <row r="5">
      <c r="A5" s="85" t="inlineStr">
        <is>
          <t>7638726363326892808</t>
        </is>
      </c>
      <c r="B5" s="85" t="inlineStr">
        <is>
          <t>miamiwireless_</t>
        </is>
      </c>
      <c r="C5" s="85" t="inlineStr">
        <is>
          <t>MX</t>
        </is>
      </c>
      <c r="D5" s="86" t="n">
        <v>554.1</v>
      </c>
      <c r="E5" s="40">
        <f>D5/1.16</f>
        <v/>
      </c>
      <c r="F5" s="86">
        <f>E5/I5</f>
        <v/>
      </c>
      <c r="G5" s="40">
        <f>F5/1.16</f>
        <v/>
      </c>
      <c r="H5" s="87" t="n">
        <v>0</v>
      </c>
      <c r="I5" s="88" t="n">
        <v>3</v>
      </c>
      <c r="J5" s="89">
        <f>LET(dec, I5-INT(I5), IF(dec&lt;0.1, INT(I5), IF(dec&lt;=0.7, INT(I5)+0.5, INT(I5)+1)))</f>
        <v/>
      </c>
      <c r="K5" s="90" t="n">
        <v>46153</v>
      </c>
      <c r="L5" s="63" t="inlineStr">
        <is>
          <t>NAHOMI</t>
        </is>
      </c>
      <c r="M5" s="85" t="n"/>
      <c r="N5" s="85" t="inlineStr">
        <is>
          <t>RODRIGO</t>
        </is>
      </c>
    </row>
    <row r="6">
      <c r="A6" s="85" t="inlineStr">
        <is>
          <t>7639468678706219784</t>
        </is>
      </c>
      <c r="B6" s="85" t="inlineStr">
        <is>
          <t>miamiwireless_</t>
        </is>
      </c>
      <c r="C6" s="85" t="inlineStr">
        <is>
          <t>MX</t>
        </is>
      </c>
      <c r="D6" s="86" t="n">
        <v>0</v>
      </c>
      <c r="E6" s="40">
        <f>D6/1.16</f>
        <v/>
      </c>
      <c r="F6" s="86">
        <f>E6/I6</f>
        <v/>
      </c>
      <c r="G6" s="40">
        <f>F6/1.16</f>
        <v/>
      </c>
      <c r="H6" s="87" t="n">
        <v>0</v>
      </c>
      <c r="I6" s="88" t="n">
        <v>3</v>
      </c>
      <c r="J6" s="89">
        <f>LET(dec, I6-INT(I6), IF(dec&lt;0.1, INT(I6), IF(dec&lt;=0.7, INT(I6)+0.5, INT(I6)+1)))</f>
        <v/>
      </c>
      <c r="K6" s="90" t="n">
        <v>46155</v>
      </c>
      <c r="L6" s="63" t="inlineStr">
        <is>
          <t>NAHOMI</t>
        </is>
      </c>
      <c r="M6" s="85" t="n"/>
      <c r="N6" s="85" t="inlineStr">
        <is>
          <t>RODRIGO</t>
        </is>
      </c>
    </row>
    <row r="7">
      <c r="A7" s="85" t="inlineStr">
        <is>
          <t>7641679968838552327</t>
        </is>
      </c>
      <c r="B7" s="85" t="inlineStr">
        <is>
          <t>miamiwireless_</t>
        </is>
      </c>
      <c r="C7" s="85" t="inlineStr">
        <is>
          <t>MX</t>
        </is>
      </c>
      <c r="D7" s="86" t="n">
        <v>2986.39</v>
      </c>
      <c r="E7" s="40">
        <f>D7/1.16</f>
        <v/>
      </c>
      <c r="F7" s="86">
        <f>E7/I7</f>
        <v/>
      </c>
      <c r="G7" s="40">
        <f>F7/1.16</f>
        <v/>
      </c>
      <c r="H7" s="87" t="n">
        <v>0</v>
      </c>
      <c r="I7" s="88" t="n">
        <v>3</v>
      </c>
      <c r="J7" s="89">
        <f>LET(dec, I7-INT(I7), IF(dec&lt;0.1, INT(I7), IF(dec&lt;=0.7, INT(I7)+0.5, INT(I7)+1)))</f>
        <v/>
      </c>
      <c r="K7" s="90" t="n">
        <v>46161</v>
      </c>
      <c r="L7" s="63" t="inlineStr">
        <is>
          <t>NAHOMI</t>
        </is>
      </c>
      <c r="M7" s="85" t="n"/>
      <c r="N7" s="85" t="inlineStr">
        <is>
          <t>RODRIGO</t>
        </is>
      </c>
    </row>
    <row r="8">
      <c r="K8" s="84" t="n"/>
    </row>
    <row r="9">
      <c r="K9" s="84" t="n"/>
    </row>
    <row r="10">
      <c r="K10" s="84" t="n"/>
    </row>
    <row r="11">
      <c r="K11" s="84" t="n"/>
    </row>
    <row r="12">
      <c r="K12" s="84" t="n"/>
    </row>
    <row r="13">
      <c r="K13" s="84" t="n"/>
    </row>
    <row r="14">
      <c r="E14" s="68">
        <f>sum(E2:E7)</f>
        <v/>
      </c>
      <c r="K14" s="84" t="n"/>
    </row>
    <row r="15">
      <c r="K15" s="84" t="n"/>
    </row>
    <row r="16">
      <c r="K16" s="84" t="n"/>
    </row>
    <row r="17">
      <c r="K17" s="84" t="n"/>
    </row>
    <row r="18">
      <c r="K18" s="84" t="n"/>
    </row>
    <row r="19">
      <c r="K19" s="84" t="n"/>
    </row>
    <row r="20">
      <c r="K20" s="84" t="n"/>
    </row>
    <row r="21">
      <c r="K21" s="84" t="n"/>
    </row>
    <row r="22">
      <c r="K22" s="84" t="n"/>
    </row>
    <row r="23">
      <c r="K23" s="84" t="n"/>
    </row>
    <row r="24">
      <c r="K24" s="84" t="n"/>
    </row>
    <row r="25">
      <c r="K25" s="84" t="n"/>
    </row>
    <row r="26">
      <c r="K26" s="84" t="n"/>
    </row>
    <row r="27">
      <c r="K27" s="84" t="n"/>
    </row>
    <row r="28">
      <c r="K28" s="84" t="n"/>
    </row>
    <row r="29">
      <c r="K29" s="84" t="n"/>
    </row>
    <row r="30">
      <c r="K30" s="84" t="n"/>
    </row>
    <row r="31">
      <c r="K31" s="84" t="n"/>
    </row>
    <row r="32">
      <c r="K32" s="84" t="n"/>
    </row>
    <row r="33">
      <c r="K33" s="84" t="n"/>
    </row>
    <row r="34">
      <c r="K34" s="84" t="n"/>
    </row>
    <row r="35">
      <c r="K35" s="84" t="n"/>
    </row>
    <row r="36">
      <c r="K36" s="84" t="n"/>
    </row>
    <row r="37">
      <c r="K37" s="84" t="n"/>
    </row>
    <row r="38">
      <c r="K38" s="84" t="n"/>
    </row>
    <row r="39">
      <c r="K39" s="84" t="n"/>
    </row>
    <row r="40">
      <c r="K40" s="84" t="n"/>
    </row>
    <row r="41">
      <c r="K41" s="84" t="n"/>
    </row>
    <row r="42">
      <c r="K42" s="84" t="n"/>
    </row>
    <row r="43">
      <c r="K43" s="84" t="n"/>
    </row>
    <row r="44">
      <c r="K44" s="84" t="n"/>
    </row>
    <row r="45">
      <c r="K45" s="84" t="n"/>
    </row>
    <row r="46">
      <c r="K46" s="84" t="n"/>
    </row>
    <row r="47">
      <c r="K47" s="84" t="n"/>
    </row>
    <row r="48">
      <c r="K48" s="84" t="n"/>
    </row>
    <row r="49">
      <c r="K49" s="84" t="n"/>
    </row>
    <row r="50">
      <c r="K50" s="84" t="n"/>
    </row>
    <row r="51">
      <c r="K51" s="84" t="n"/>
    </row>
    <row r="52">
      <c r="K52" s="84" t="n"/>
    </row>
    <row r="53">
      <c r="K53" s="84" t="n"/>
    </row>
    <row r="54">
      <c r="K54" s="84" t="n"/>
    </row>
    <row r="55">
      <c r="K55" s="84" t="n"/>
    </row>
    <row r="56">
      <c r="K56" s="84" t="n"/>
    </row>
    <row r="57">
      <c r="K57" s="84" t="n"/>
    </row>
    <row r="58">
      <c r="K58" s="84" t="n"/>
    </row>
    <row r="59">
      <c r="K59" s="84" t="n"/>
    </row>
    <row r="60">
      <c r="K60" s="84" t="n"/>
    </row>
    <row r="61">
      <c r="K61" s="84" t="n"/>
    </row>
    <row r="62">
      <c r="K62" s="84" t="n"/>
    </row>
    <row r="63">
      <c r="K63" s="84" t="n"/>
    </row>
    <row r="64">
      <c r="K64" s="84" t="n"/>
    </row>
    <row r="65">
      <c r="K65" s="84" t="n"/>
    </row>
    <row r="66">
      <c r="K66" s="84" t="n"/>
    </row>
    <row r="67">
      <c r="K67" s="84" t="n"/>
    </row>
    <row r="68">
      <c r="K68" s="84" t="n"/>
    </row>
    <row r="69">
      <c r="K69" s="84" t="n"/>
    </row>
    <row r="70">
      <c r="K70" s="84" t="n"/>
    </row>
    <row r="71">
      <c r="K71" s="84" t="n"/>
    </row>
    <row r="72">
      <c r="K72" s="84" t="n"/>
    </row>
    <row r="73">
      <c r="K73" s="84" t="n"/>
    </row>
    <row r="74">
      <c r="K74" s="84" t="n"/>
    </row>
    <row r="75">
      <c r="K75" s="84" t="n"/>
    </row>
    <row r="76">
      <c r="K76" s="84" t="n"/>
    </row>
    <row r="77">
      <c r="K77" s="84" t="n"/>
    </row>
    <row r="78">
      <c r="K78" s="84" t="n"/>
    </row>
    <row r="79">
      <c r="K79" s="84" t="n"/>
    </row>
    <row r="80">
      <c r="K80" s="84" t="n"/>
    </row>
    <row r="81">
      <c r="K81" s="84" t="n"/>
    </row>
    <row r="82">
      <c r="K82" s="84" t="n"/>
    </row>
    <row r="83">
      <c r="K83" s="84" t="n"/>
    </row>
    <row r="84">
      <c r="K84" s="84" t="n"/>
    </row>
    <row r="85">
      <c r="K85" s="84" t="n"/>
    </row>
    <row r="86">
      <c r="K86" s="84" t="n"/>
    </row>
    <row r="87">
      <c r="K87" s="84" t="n"/>
    </row>
    <row r="88">
      <c r="K88" s="84" t="n"/>
    </row>
    <row r="89">
      <c r="K89" s="84" t="n"/>
    </row>
    <row r="90">
      <c r="K90" s="84" t="n"/>
    </row>
    <row r="91">
      <c r="K91" s="84" t="n"/>
    </row>
    <row r="92">
      <c r="K92" s="84" t="n"/>
    </row>
    <row r="93">
      <c r="K93" s="84" t="n"/>
    </row>
    <row r="94">
      <c r="K94" s="84" t="n"/>
    </row>
    <row r="95">
      <c r="K95" s="84" t="n"/>
    </row>
    <row r="96">
      <c r="K96" s="84" t="n"/>
    </row>
    <row r="97">
      <c r="K97" s="84" t="n"/>
    </row>
    <row r="98">
      <c r="K98" s="84" t="n"/>
    </row>
    <row r="99">
      <c r="K99" s="84" t="n"/>
    </row>
    <row r="100">
      <c r="K100" s="84" t="n"/>
    </row>
    <row r="101">
      <c r="K101" s="84" t="n"/>
    </row>
    <row r="102">
      <c r="K102" s="84" t="n"/>
    </row>
    <row r="103">
      <c r="K103" s="84" t="n"/>
    </row>
    <row r="104">
      <c r="K104" s="84" t="n"/>
    </row>
    <row r="105">
      <c r="K105" s="84" t="n"/>
    </row>
    <row r="106">
      <c r="K106" s="84" t="n"/>
    </row>
    <row r="107">
      <c r="K107" s="84" t="n"/>
    </row>
    <row r="108">
      <c r="K108" s="84" t="n"/>
    </row>
    <row r="109">
      <c r="K109" s="84" t="n"/>
    </row>
    <row r="110">
      <c r="K110" s="84" t="n"/>
    </row>
    <row r="111">
      <c r="K111" s="84" t="n"/>
    </row>
    <row r="112">
      <c r="K112" s="84" t="n"/>
    </row>
    <row r="113">
      <c r="K113" s="84" t="n"/>
    </row>
    <row r="114">
      <c r="K114" s="84" t="n"/>
    </row>
    <row r="115">
      <c r="K115" s="84" t="n"/>
    </row>
    <row r="116">
      <c r="K116" s="84" t="n"/>
    </row>
    <row r="117">
      <c r="K117" s="84" t="n"/>
    </row>
    <row r="118">
      <c r="K118" s="84" t="n"/>
    </row>
    <row r="119">
      <c r="K119" s="84" t="n"/>
    </row>
    <row r="120">
      <c r="K120" s="84" t="n"/>
    </row>
    <row r="121">
      <c r="K121" s="84" t="n"/>
    </row>
    <row r="122">
      <c r="K122" s="84" t="n"/>
    </row>
    <row r="123">
      <c r="K123" s="84" t="n"/>
    </row>
    <row r="124">
      <c r="K124" s="84" t="n"/>
    </row>
    <row r="125">
      <c r="K125" s="84" t="n"/>
    </row>
    <row r="126">
      <c r="K126" s="84" t="n"/>
    </row>
    <row r="127">
      <c r="K127" s="84" t="n"/>
    </row>
    <row r="128">
      <c r="K128" s="84" t="n"/>
    </row>
    <row r="129">
      <c r="K129" s="84" t="n"/>
    </row>
    <row r="130">
      <c r="K130" s="84" t="n"/>
    </row>
    <row r="131">
      <c r="K131" s="84" t="n"/>
    </row>
    <row r="132">
      <c r="K132" s="84" t="n"/>
    </row>
    <row r="133">
      <c r="K133" s="84" t="n"/>
    </row>
    <row r="134">
      <c r="K134" s="84" t="n"/>
    </row>
    <row r="135">
      <c r="K135" s="84" t="n"/>
    </row>
    <row r="136">
      <c r="K136" s="84" t="n"/>
    </row>
    <row r="137">
      <c r="K137" s="84" t="n"/>
    </row>
    <row r="138">
      <c r="K138" s="84" t="n"/>
    </row>
    <row r="139">
      <c r="K139" s="84" t="n"/>
    </row>
    <row r="140">
      <c r="K140" s="84" t="n"/>
    </row>
    <row r="141">
      <c r="K141" s="84" t="n"/>
    </row>
    <row r="142">
      <c r="K142" s="84" t="n"/>
    </row>
    <row r="143">
      <c r="K143" s="84" t="n"/>
    </row>
    <row r="144">
      <c r="K144" s="84" t="n"/>
    </row>
    <row r="145">
      <c r="K145" s="84" t="n"/>
    </row>
    <row r="146">
      <c r="K146" s="84" t="n"/>
    </row>
    <row r="147">
      <c r="K147" s="84" t="n"/>
    </row>
    <row r="148">
      <c r="K148" s="84" t="n"/>
    </row>
    <row r="149">
      <c r="K149" s="84" t="n"/>
    </row>
    <row r="150">
      <c r="K150" s="84" t="n"/>
    </row>
    <row r="151">
      <c r="K151" s="84" t="n"/>
    </row>
    <row r="152">
      <c r="K152" s="84" t="n"/>
    </row>
    <row r="153">
      <c r="K153" s="84" t="n"/>
    </row>
    <row r="154">
      <c r="K154" s="84" t="n"/>
    </row>
    <row r="155">
      <c r="K155" s="84" t="n"/>
    </row>
    <row r="156">
      <c r="K156" s="84" t="n"/>
    </row>
    <row r="157">
      <c r="K157" s="84" t="n"/>
    </row>
    <row r="158">
      <c r="K158" s="84" t="n"/>
    </row>
    <row r="159">
      <c r="K159" s="84" t="n"/>
    </row>
    <row r="160">
      <c r="K160" s="84" t="n"/>
    </row>
    <row r="161">
      <c r="K161" s="84" t="n"/>
    </row>
    <row r="162">
      <c r="K162" s="84" t="n"/>
    </row>
    <row r="163">
      <c r="K163" s="84" t="n"/>
    </row>
    <row r="164">
      <c r="K164" s="84" t="n"/>
    </row>
    <row r="165">
      <c r="K165" s="84" t="n"/>
    </row>
    <row r="166">
      <c r="K166" s="84" t="n"/>
    </row>
    <row r="167">
      <c r="K167" s="84" t="n"/>
    </row>
    <row r="168">
      <c r="K168" s="84" t="n"/>
    </row>
    <row r="169">
      <c r="K169" s="84" t="n"/>
    </row>
    <row r="170">
      <c r="K170" s="84" t="n"/>
    </row>
    <row r="171">
      <c r="K171" s="84" t="n"/>
    </row>
    <row r="172">
      <c r="K172" s="84" t="n"/>
    </row>
    <row r="173">
      <c r="K173" s="84" t="n"/>
    </row>
    <row r="174">
      <c r="K174" s="84" t="n"/>
    </row>
    <row r="175">
      <c r="K175" s="84" t="n"/>
    </row>
    <row r="176">
      <c r="K176" s="84" t="n"/>
    </row>
    <row r="177">
      <c r="K177" s="84" t="n"/>
    </row>
    <row r="178">
      <c r="K178" s="84" t="n"/>
    </row>
    <row r="179">
      <c r="K179" s="84" t="n"/>
    </row>
    <row r="180">
      <c r="K180" s="84" t="n"/>
    </row>
    <row r="181">
      <c r="K181" s="84" t="n"/>
    </row>
    <row r="182">
      <c r="K182" s="84" t="n"/>
    </row>
    <row r="183">
      <c r="K183" s="84" t="n"/>
    </row>
    <row r="184">
      <c r="K184" s="84" t="n"/>
    </row>
    <row r="185">
      <c r="K185" s="84" t="n"/>
    </row>
    <row r="186">
      <c r="K186" s="84" t="n"/>
    </row>
    <row r="187">
      <c r="K187" s="84" t="n"/>
    </row>
    <row r="188">
      <c r="K188" s="84" t="n"/>
    </row>
    <row r="189">
      <c r="K189" s="84" t="n"/>
    </row>
    <row r="190">
      <c r="K190" s="84" t="n"/>
    </row>
    <row r="191">
      <c r="K191" s="84" t="n"/>
    </row>
    <row r="192">
      <c r="K192" s="84" t="n"/>
    </row>
    <row r="193">
      <c r="K193" s="84" t="n"/>
    </row>
    <row r="194">
      <c r="K194" s="84" t="n"/>
    </row>
    <row r="195">
      <c r="K195" s="84" t="n"/>
    </row>
    <row r="196">
      <c r="K196" s="84" t="n"/>
    </row>
    <row r="197">
      <c r="K197" s="84" t="n"/>
    </row>
    <row r="198">
      <c r="K198" s="84" t="n"/>
    </row>
    <row r="199">
      <c r="K199" s="84" t="n"/>
    </row>
    <row r="200">
      <c r="K200" s="84" t="n"/>
    </row>
    <row r="201">
      <c r="K201" s="84" t="n"/>
    </row>
    <row r="202">
      <c r="K202" s="84" t="n"/>
    </row>
    <row r="203">
      <c r="K203" s="84" t="n"/>
    </row>
    <row r="204">
      <c r="K204" s="84" t="n"/>
    </row>
    <row r="205">
      <c r="K205" s="84" t="n"/>
    </row>
    <row r="206">
      <c r="K206" s="84" t="n"/>
    </row>
    <row r="207">
      <c r="K207" s="84" t="n"/>
    </row>
    <row r="208">
      <c r="K208" s="84" t="n"/>
    </row>
    <row r="209">
      <c r="K209" s="84" t="n"/>
    </row>
    <row r="210">
      <c r="K210" s="84" t="n"/>
    </row>
    <row r="211">
      <c r="K211" s="84" t="n"/>
    </row>
    <row r="212">
      <c r="K212" s="84" t="n"/>
    </row>
    <row r="213">
      <c r="K213" s="84" t="n"/>
    </row>
    <row r="214">
      <c r="K214" s="84" t="n"/>
    </row>
    <row r="215">
      <c r="K215" s="84" t="n"/>
    </row>
    <row r="216">
      <c r="K216" s="84" t="n"/>
    </row>
    <row r="217">
      <c r="K217" s="84" t="n"/>
    </row>
    <row r="218">
      <c r="K218" s="84" t="n"/>
    </row>
    <row r="219">
      <c r="K219" s="84" t="n"/>
    </row>
    <row r="220">
      <c r="K220" s="84" t="n"/>
    </row>
    <row r="221">
      <c r="K221" s="84" t="n"/>
    </row>
    <row r="222">
      <c r="K222" s="84" t="n"/>
    </row>
    <row r="223">
      <c r="K223" s="84" t="n"/>
    </row>
    <row r="224">
      <c r="K224" s="84" t="n"/>
    </row>
    <row r="225">
      <c r="K225" s="84" t="n"/>
    </row>
    <row r="226">
      <c r="K226" s="84" t="n"/>
    </row>
    <row r="227">
      <c r="K227" s="84" t="n"/>
    </row>
    <row r="228">
      <c r="K228" s="84" t="n"/>
    </row>
    <row r="229">
      <c r="K229" s="84" t="n"/>
    </row>
    <row r="230">
      <c r="K230" s="84" t="n"/>
    </row>
    <row r="231">
      <c r="K231" s="84" t="n"/>
    </row>
    <row r="232">
      <c r="K232" s="84" t="n"/>
    </row>
    <row r="233">
      <c r="K233" s="84" t="n"/>
    </row>
    <row r="234">
      <c r="K234" s="84" t="n"/>
    </row>
    <row r="235">
      <c r="K235" s="84" t="n"/>
    </row>
    <row r="236">
      <c r="K236" s="84" t="n"/>
    </row>
    <row r="237">
      <c r="K237" s="84" t="n"/>
    </row>
    <row r="238">
      <c r="K238" s="84" t="n"/>
    </row>
    <row r="239">
      <c r="K239" s="84" t="n"/>
    </row>
    <row r="240">
      <c r="K240" s="84" t="n"/>
    </row>
    <row r="241">
      <c r="K241" s="84" t="n"/>
    </row>
    <row r="242">
      <c r="K242" s="84" t="n"/>
    </row>
    <row r="243">
      <c r="K243" s="84" t="n"/>
    </row>
    <row r="244">
      <c r="K244" s="84" t="n"/>
    </row>
    <row r="245">
      <c r="K245" s="84" t="n"/>
    </row>
    <row r="246">
      <c r="K246" s="84" t="n"/>
    </row>
    <row r="247">
      <c r="K247" s="84" t="n"/>
    </row>
    <row r="248">
      <c r="K248" s="84" t="n"/>
    </row>
    <row r="249">
      <c r="K249" s="84" t="n"/>
    </row>
    <row r="250">
      <c r="K250" s="84" t="n"/>
    </row>
    <row r="251">
      <c r="K251" s="84" t="n"/>
    </row>
    <row r="252">
      <c r="K252" s="84" t="n"/>
    </row>
    <row r="253">
      <c r="K253" s="84" t="n"/>
    </row>
    <row r="254">
      <c r="K254" s="84" t="n"/>
    </row>
    <row r="255">
      <c r="K255" s="84" t="n"/>
    </row>
    <row r="256">
      <c r="K256" s="84" t="n"/>
    </row>
    <row r="257">
      <c r="K257" s="84" t="n"/>
    </row>
    <row r="258">
      <c r="K258" s="84" t="n"/>
    </row>
    <row r="259">
      <c r="K259" s="84" t="n"/>
    </row>
    <row r="260">
      <c r="K260" s="84" t="n"/>
    </row>
    <row r="261">
      <c r="K261" s="84" t="n"/>
    </row>
    <row r="262">
      <c r="K262" s="84" t="n"/>
    </row>
    <row r="263">
      <c r="K263" s="84" t="n"/>
    </row>
    <row r="264">
      <c r="K264" s="84" t="n"/>
    </row>
    <row r="265">
      <c r="K265" s="84" t="n"/>
    </row>
    <row r="266">
      <c r="K266" s="84" t="n"/>
    </row>
    <row r="267">
      <c r="K267" s="84" t="n"/>
    </row>
    <row r="268">
      <c r="K268" s="84" t="n"/>
    </row>
    <row r="269">
      <c r="K269" s="84" t="n"/>
    </row>
    <row r="270">
      <c r="K270" s="84" t="n"/>
    </row>
    <row r="271">
      <c r="K271" s="84" t="n"/>
    </row>
    <row r="272">
      <c r="K272" s="84" t="n"/>
    </row>
    <row r="273">
      <c r="K273" s="84" t="n"/>
    </row>
    <row r="274">
      <c r="K274" s="84" t="n"/>
    </row>
    <row r="275">
      <c r="K275" s="84" t="n"/>
    </row>
    <row r="276">
      <c r="K276" s="84" t="n"/>
    </row>
    <row r="277">
      <c r="K277" s="84" t="n"/>
    </row>
    <row r="278">
      <c r="K278" s="84" t="n"/>
    </row>
    <row r="279">
      <c r="K279" s="84" t="n"/>
    </row>
    <row r="280">
      <c r="K280" s="84" t="n"/>
    </row>
    <row r="281">
      <c r="K281" s="84" t="n"/>
    </row>
    <row r="282">
      <c r="K282" s="84" t="n"/>
    </row>
    <row r="283">
      <c r="K283" s="84" t="n"/>
    </row>
    <row r="284">
      <c r="K284" s="84" t="n"/>
    </row>
    <row r="285">
      <c r="K285" s="84" t="n"/>
    </row>
    <row r="286">
      <c r="K286" s="84" t="n"/>
    </row>
    <row r="287">
      <c r="K287" s="84" t="n"/>
    </row>
    <row r="288">
      <c r="K288" s="84" t="n"/>
    </row>
    <row r="289">
      <c r="K289" s="84" t="n"/>
    </row>
    <row r="290">
      <c r="K290" s="84" t="n"/>
    </row>
    <row r="291">
      <c r="K291" s="84" t="n"/>
    </row>
    <row r="292">
      <c r="K292" s="84" t="n"/>
    </row>
    <row r="293">
      <c r="K293" s="84" t="n"/>
    </row>
    <row r="294">
      <c r="K294" s="84" t="n"/>
    </row>
    <row r="295">
      <c r="K295" s="84" t="n"/>
    </row>
    <row r="296">
      <c r="K296" s="84" t="n"/>
    </row>
    <row r="297">
      <c r="K297" s="84" t="n"/>
    </row>
    <row r="298">
      <c r="K298" s="84" t="n"/>
    </row>
    <row r="299">
      <c r="K299" s="84" t="n"/>
    </row>
    <row r="300">
      <c r="K300" s="84" t="n"/>
    </row>
    <row r="301">
      <c r="K301" s="84" t="n"/>
    </row>
    <row r="302">
      <c r="K302" s="84" t="n"/>
    </row>
    <row r="303">
      <c r="K303" s="84" t="n"/>
    </row>
    <row r="304">
      <c r="K304" s="84" t="n"/>
    </row>
    <row r="305">
      <c r="K305" s="84" t="n"/>
    </row>
    <row r="306">
      <c r="K306" s="84" t="n"/>
    </row>
    <row r="307">
      <c r="K307" s="84" t="n"/>
    </row>
    <row r="308">
      <c r="K308" s="84" t="n"/>
    </row>
    <row r="309">
      <c r="K309" s="84" t="n"/>
    </row>
    <row r="310">
      <c r="K310" s="84" t="n"/>
    </row>
    <row r="311">
      <c r="K311" s="84" t="n"/>
    </row>
    <row r="312">
      <c r="K312" s="84" t="n"/>
    </row>
    <row r="313">
      <c r="K313" s="84" t="n"/>
    </row>
    <row r="314">
      <c r="K314" s="84" t="n"/>
    </row>
    <row r="315">
      <c r="K315" s="84" t="n"/>
    </row>
    <row r="316">
      <c r="K316" s="84" t="n"/>
    </row>
    <row r="317">
      <c r="K317" s="84" t="n"/>
    </row>
    <row r="318">
      <c r="K318" s="84" t="n"/>
    </row>
    <row r="319">
      <c r="K319" s="84" t="n"/>
    </row>
    <row r="320">
      <c r="K320" s="84" t="n"/>
    </row>
    <row r="321">
      <c r="K321" s="84" t="n"/>
    </row>
    <row r="322">
      <c r="K322" s="84" t="n"/>
    </row>
    <row r="323">
      <c r="K323" s="84" t="n"/>
    </row>
    <row r="324">
      <c r="K324" s="84" t="n"/>
    </row>
    <row r="325">
      <c r="K325" s="84" t="n"/>
    </row>
    <row r="326">
      <c r="K326" s="84" t="n"/>
    </row>
    <row r="327">
      <c r="K327" s="84" t="n"/>
    </row>
    <row r="328">
      <c r="K328" s="84" t="n"/>
    </row>
    <row r="329">
      <c r="K329" s="84" t="n"/>
    </row>
    <row r="330">
      <c r="K330" s="84" t="n"/>
    </row>
    <row r="331">
      <c r="K331" s="84" t="n"/>
    </row>
    <row r="332">
      <c r="K332" s="84" t="n"/>
    </row>
    <row r="333">
      <c r="K333" s="84" t="n"/>
    </row>
    <row r="334">
      <c r="K334" s="84" t="n"/>
    </row>
    <row r="335">
      <c r="K335" s="84" t="n"/>
    </row>
    <row r="336">
      <c r="K336" s="84" t="n"/>
    </row>
    <row r="337">
      <c r="K337" s="84" t="n"/>
    </row>
    <row r="338">
      <c r="K338" s="84" t="n"/>
    </row>
    <row r="339">
      <c r="K339" s="84" t="n"/>
    </row>
    <row r="340">
      <c r="K340" s="84" t="n"/>
    </row>
    <row r="341">
      <c r="K341" s="84" t="n"/>
    </row>
    <row r="342">
      <c r="K342" s="84" t="n"/>
    </row>
    <row r="343">
      <c r="K343" s="84" t="n"/>
    </row>
    <row r="344">
      <c r="K344" s="84" t="n"/>
    </row>
    <row r="345">
      <c r="K345" s="84" t="n"/>
    </row>
    <row r="346">
      <c r="K346" s="84" t="n"/>
    </row>
    <row r="347">
      <c r="K347" s="84" t="n"/>
    </row>
    <row r="348">
      <c r="K348" s="84" t="n"/>
    </row>
    <row r="349">
      <c r="K349" s="84" t="n"/>
    </row>
    <row r="350">
      <c r="K350" s="84" t="n"/>
    </row>
    <row r="351">
      <c r="K351" s="84" t="n"/>
    </row>
    <row r="352">
      <c r="K352" s="84" t="n"/>
    </row>
    <row r="353">
      <c r="K353" s="84" t="n"/>
    </row>
    <row r="354">
      <c r="K354" s="84" t="n"/>
    </row>
    <row r="355">
      <c r="K355" s="84" t="n"/>
    </row>
    <row r="356">
      <c r="K356" s="84" t="n"/>
    </row>
    <row r="357">
      <c r="K357" s="84" t="n"/>
    </row>
    <row r="358">
      <c r="K358" s="84" t="n"/>
    </row>
    <row r="359">
      <c r="K359" s="84" t="n"/>
    </row>
    <row r="360">
      <c r="K360" s="84" t="n"/>
    </row>
    <row r="361">
      <c r="K361" s="84" t="n"/>
    </row>
    <row r="362">
      <c r="K362" s="84" t="n"/>
    </row>
    <row r="363">
      <c r="K363" s="84" t="n"/>
    </row>
    <row r="364">
      <c r="K364" s="84" t="n"/>
    </row>
    <row r="365">
      <c r="K365" s="84" t="n"/>
    </row>
    <row r="366">
      <c r="K366" s="84" t="n"/>
    </row>
    <row r="367">
      <c r="K367" s="84" t="n"/>
    </row>
    <row r="368">
      <c r="K368" s="84" t="n"/>
    </row>
    <row r="369">
      <c r="K369" s="84" t="n"/>
    </row>
    <row r="370">
      <c r="K370" s="84" t="n"/>
    </row>
    <row r="371">
      <c r="K371" s="84" t="n"/>
    </row>
    <row r="372">
      <c r="K372" s="84" t="n"/>
    </row>
    <row r="373">
      <c r="K373" s="84" t="n"/>
    </row>
    <row r="374">
      <c r="K374" s="84" t="n"/>
    </row>
    <row r="375">
      <c r="K375" s="84" t="n"/>
    </row>
    <row r="376">
      <c r="K376" s="84" t="n"/>
    </row>
    <row r="377">
      <c r="K377" s="84" t="n"/>
    </row>
    <row r="378">
      <c r="K378" s="84" t="n"/>
    </row>
    <row r="379">
      <c r="K379" s="84" t="n"/>
    </row>
    <row r="380">
      <c r="K380" s="84" t="n"/>
    </row>
    <row r="381">
      <c r="K381" s="84" t="n"/>
    </row>
    <row r="382">
      <c r="K382" s="84" t="n"/>
    </row>
    <row r="383">
      <c r="K383" s="84" t="n"/>
    </row>
    <row r="384">
      <c r="K384" s="84" t="n"/>
    </row>
    <row r="385">
      <c r="K385" s="84" t="n"/>
    </row>
    <row r="386">
      <c r="K386" s="84" t="n"/>
    </row>
    <row r="387">
      <c r="K387" s="84" t="n"/>
    </row>
    <row r="388">
      <c r="K388" s="84" t="n"/>
    </row>
    <row r="389">
      <c r="K389" s="84" t="n"/>
    </row>
    <row r="390">
      <c r="K390" s="84" t="n"/>
    </row>
    <row r="391">
      <c r="K391" s="84" t="n"/>
    </row>
    <row r="392">
      <c r="K392" s="84" t="n"/>
    </row>
    <row r="393">
      <c r="K393" s="84" t="n"/>
    </row>
    <row r="394">
      <c r="K394" s="84" t="n"/>
    </row>
    <row r="395">
      <c r="K395" s="84" t="n"/>
    </row>
    <row r="396">
      <c r="K396" s="84" t="n"/>
    </row>
    <row r="397">
      <c r="K397" s="84" t="n"/>
    </row>
    <row r="398">
      <c r="K398" s="84" t="n"/>
    </row>
    <row r="399">
      <c r="K399" s="84" t="n"/>
    </row>
    <row r="400">
      <c r="K400" s="84" t="n"/>
    </row>
    <row r="401">
      <c r="K401" s="84" t="n"/>
    </row>
    <row r="402">
      <c r="K402" s="84" t="n"/>
    </row>
    <row r="403">
      <c r="K403" s="84" t="n"/>
    </row>
    <row r="404">
      <c r="K404" s="84" t="n"/>
    </row>
    <row r="405">
      <c r="K405" s="84" t="n"/>
    </row>
    <row r="406">
      <c r="K406" s="84" t="n"/>
    </row>
    <row r="407">
      <c r="K407" s="84" t="n"/>
    </row>
    <row r="408">
      <c r="K408" s="84" t="n"/>
    </row>
    <row r="409">
      <c r="K409" s="84" t="n"/>
    </row>
    <row r="410">
      <c r="K410" s="84" t="n"/>
    </row>
    <row r="411">
      <c r="K411" s="84" t="n"/>
    </row>
    <row r="412">
      <c r="K412" s="84" t="n"/>
    </row>
    <row r="413">
      <c r="K413" s="84" t="n"/>
    </row>
    <row r="414">
      <c r="K414" s="84" t="n"/>
    </row>
    <row r="415">
      <c r="K415" s="84" t="n"/>
    </row>
    <row r="416">
      <c r="K416" s="84" t="n"/>
    </row>
    <row r="417">
      <c r="K417" s="84" t="n"/>
    </row>
    <row r="418">
      <c r="K418" s="84" t="n"/>
    </row>
    <row r="419">
      <c r="K419" s="84" t="n"/>
    </row>
    <row r="420">
      <c r="K420" s="84" t="n"/>
    </row>
    <row r="421">
      <c r="K421" s="84" t="n"/>
    </row>
    <row r="422">
      <c r="K422" s="84" t="n"/>
    </row>
    <row r="423">
      <c r="K423" s="84" t="n"/>
    </row>
    <row r="424">
      <c r="K424" s="84" t="n"/>
    </row>
    <row r="425">
      <c r="K425" s="84" t="n"/>
    </row>
    <row r="426">
      <c r="K426" s="84" t="n"/>
    </row>
    <row r="427">
      <c r="K427" s="84" t="n"/>
    </row>
    <row r="428">
      <c r="K428" s="84" t="n"/>
    </row>
    <row r="429">
      <c r="K429" s="84" t="n"/>
    </row>
    <row r="430">
      <c r="K430" s="84" t="n"/>
    </row>
    <row r="431">
      <c r="K431" s="84" t="n"/>
    </row>
    <row r="432">
      <c r="K432" s="84" t="n"/>
    </row>
    <row r="433">
      <c r="K433" s="84" t="n"/>
    </row>
    <row r="434">
      <c r="K434" s="84" t="n"/>
    </row>
    <row r="435">
      <c r="K435" s="84" t="n"/>
    </row>
    <row r="436">
      <c r="K436" s="84" t="n"/>
    </row>
    <row r="437">
      <c r="K437" s="84" t="n"/>
    </row>
    <row r="438">
      <c r="K438" s="84" t="n"/>
    </row>
    <row r="439">
      <c r="K439" s="84" t="n"/>
    </row>
    <row r="440">
      <c r="K440" s="84" t="n"/>
    </row>
    <row r="441">
      <c r="K441" s="84" t="n"/>
    </row>
    <row r="442">
      <c r="K442" s="84" t="n"/>
    </row>
    <row r="443">
      <c r="K443" s="84" t="n"/>
    </row>
    <row r="444">
      <c r="K444" s="84" t="n"/>
    </row>
    <row r="445">
      <c r="K445" s="84" t="n"/>
    </row>
    <row r="446">
      <c r="K446" s="84" t="n"/>
    </row>
    <row r="447">
      <c r="K447" s="84" t="n"/>
    </row>
    <row r="448">
      <c r="K448" s="84" t="n"/>
    </row>
    <row r="449">
      <c r="K449" s="84" t="n"/>
    </row>
    <row r="450">
      <c r="K450" s="84" t="n"/>
    </row>
    <row r="451">
      <c r="K451" s="84" t="n"/>
    </row>
    <row r="452">
      <c r="K452" s="84" t="n"/>
    </row>
    <row r="453">
      <c r="K453" s="84" t="n"/>
    </row>
    <row r="454">
      <c r="K454" s="84" t="n"/>
    </row>
    <row r="455">
      <c r="K455" s="84" t="n"/>
    </row>
    <row r="456">
      <c r="K456" s="84" t="n"/>
    </row>
    <row r="457">
      <c r="K457" s="84" t="n"/>
    </row>
    <row r="458">
      <c r="K458" s="84" t="n"/>
    </row>
    <row r="459">
      <c r="K459" s="84" t="n"/>
    </row>
    <row r="460">
      <c r="K460" s="84" t="n"/>
    </row>
    <row r="461">
      <c r="K461" s="84" t="n"/>
    </row>
    <row r="462">
      <c r="K462" s="84" t="n"/>
    </row>
    <row r="463">
      <c r="K463" s="84" t="n"/>
    </row>
    <row r="464">
      <c r="K464" s="84" t="n"/>
    </row>
    <row r="465">
      <c r="K465" s="84" t="n"/>
    </row>
    <row r="466">
      <c r="K466" s="84" t="n"/>
    </row>
    <row r="467">
      <c r="K467" s="84" t="n"/>
    </row>
    <row r="468">
      <c r="K468" s="84" t="n"/>
    </row>
    <row r="469">
      <c r="K469" s="84" t="n"/>
    </row>
    <row r="470">
      <c r="K470" s="84" t="n"/>
    </row>
    <row r="471">
      <c r="K471" s="84" t="n"/>
    </row>
    <row r="472">
      <c r="K472" s="84" t="n"/>
    </row>
    <row r="473">
      <c r="K473" s="84" t="n"/>
    </row>
    <row r="474">
      <c r="K474" s="84" t="n"/>
    </row>
    <row r="475">
      <c r="K475" s="84" t="n"/>
    </row>
    <row r="476">
      <c r="K476" s="84" t="n"/>
    </row>
    <row r="477">
      <c r="K477" s="84" t="n"/>
    </row>
    <row r="478">
      <c r="K478" s="84" t="n"/>
    </row>
    <row r="479">
      <c r="K479" s="84" t="n"/>
    </row>
    <row r="480">
      <c r="K480" s="84" t="n"/>
    </row>
    <row r="481">
      <c r="K481" s="84" t="n"/>
    </row>
    <row r="482">
      <c r="K482" s="84" t="n"/>
    </row>
    <row r="483">
      <c r="K483" s="84" t="n"/>
    </row>
    <row r="484">
      <c r="K484" s="84" t="n"/>
    </row>
    <row r="485">
      <c r="K485" s="84" t="n"/>
    </row>
    <row r="486">
      <c r="K486" s="84" t="n"/>
    </row>
    <row r="487">
      <c r="K487" s="84" t="n"/>
    </row>
    <row r="488">
      <c r="K488" s="84" t="n"/>
    </row>
    <row r="489">
      <c r="K489" s="84" t="n"/>
    </row>
    <row r="490">
      <c r="K490" s="84" t="n"/>
    </row>
    <row r="491">
      <c r="K491" s="84" t="n"/>
    </row>
    <row r="492">
      <c r="K492" s="84" t="n"/>
    </row>
    <row r="493">
      <c r="K493" s="84" t="n"/>
    </row>
    <row r="494">
      <c r="K494" s="84" t="n"/>
    </row>
    <row r="495">
      <c r="K495" s="84" t="n"/>
    </row>
    <row r="496">
      <c r="K496" s="84" t="n"/>
    </row>
    <row r="497">
      <c r="K497" s="84" t="n"/>
    </row>
    <row r="498">
      <c r="K498" s="84" t="n"/>
    </row>
    <row r="499">
      <c r="K499" s="84" t="n"/>
    </row>
    <row r="500">
      <c r="K500" s="84" t="n"/>
    </row>
    <row r="501">
      <c r="K501" s="84" t="n"/>
    </row>
    <row r="502">
      <c r="K502" s="84" t="n"/>
    </row>
    <row r="503">
      <c r="K503" s="84" t="n"/>
    </row>
    <row r="504">
      <c r="K504" s="84" t="n"/>
    </row>
    <row r="505">
      <c r="K505" s="84" t="n"/>
    </row>
    <row r="506">
      <c r="K506" s="84" t="n"/>
    </row>
    <row r="507">
      <c r="K507" s="84" t="n"/>
    </row>
    <row r="508">
      <c r="K508" s="84" t="n"/>
    </row>
    <row r="509">
      <c r="K509" s="84" t="n"/>
    </row>
    <row r="510">
      <c r="K510" s="84" t="n"/>
    </row>
    <row r="511">
      <c r="K511" s="84" t="n"/>
    </row>
    <row r="512">
      <c r="K512" s="84" t="n"/>
    </row>
    <row r="513">
      <c r="K513" s="84" t="n"/>
    </row>
    <row r="514">
      <c r="K514" s="84" t="n"/>
    </row>
    <row r="515">
      <c r="K515" s="84" t="n"/>
    </row>
    <row r="516">
      <c r="K516" s="84" t="n"/>
    </row>
    <row r="517">
      <c r="K517" s="84" t="n"/>
    </row>
    <row r="518">
      <c r="K518" s="84" t="n"/>
    </row>
    <row r="519">
      <c r="K519" s="84" t="n"/>
    </row>
    <row r="520">
      <c r="K520" s="84" t="n"/>
    </row>
    <row r="521">
      <c r="K521" s="84" t="n"/>
    </row>
    <row r="522">
      <c r="K522" s="84" t="n"/>
    </row>
    <row r="523">
      <c r="K523" s="84" t="n"/>
    </row>
    <row r="524">
      <c r="K524" s="84" t="n"/>
    </row>
    <row r="525">
      <c r="K525" s="84" t="n"/>
    </row>
    <row r="526">
      <c r="K526" s="84" t="n"/>
    </row>
    <row r="527">
      <c r="K527" s="84" t="n"/>
    </row>
    <row r="528">
      <c r="K528" s="84" t="n"/>
    </row>
    <row r="529">
      <c r="K529" s="84" t="n"/>
    </row>
    <row r="530">
      <c r="K530" s="84" t="n"/>
    </row>
    <row r="531">
      <c r="K531" s="84" t="n"/>
    </row>
    <row r="532">
      <c r="K532" s="84" t="n"/>
    </row>
    <row r="533">
      <c r="K533" s="84" t="n"/>
    </row>
    <row r="534">
      <c r="K534" s="84" t="n"/>
    </row>
    <row r="535">
      <c r="K535" s="84" t="n"/>
    </row>
    <row r="536">
      <c r="K536" s="84" t="n"/>
    </row>
    <row r="537">
      <c r="K537" s="84" t="n"/>
    </row>
    <row r="538">
      <c r="K538" s="84" t="n"/>
    </row>
    <row r="539">
      <c r="K539" s="84" t="n"/>
    </row>
    <row r="540">
      <c r="K540" s="84" t="n"/>
    </row>
    <row r="541">
      <c r="K541" s="84" t="n"/>
    </row>
    <row r="542">
      <c r="K542" s="84" t="n"/>
    </row>
    <row r="543">
      <c r="K543" s="84" t="n"/>
    </row>
    <row r="544">
      <c r="K544" s="84" t="n"/>
    </row>
    <row r="545">
      <c r="K545" s="84" t="n"/>
    </row>
    <row r="546">
      <c r="K546" s="84" t="n"/>
    </row>
    <row r="547">
      <c r="K547" s="84" t="n"/>
    </row>
    <row r="548">
      <c r="K548" s="84" t="n"/>
    </row>
    <row r="549">
      <c r="K549" s="84" t="n"/>
    </row>
    <row r="550">
      <c r="K550" s="84" t="n"/>
    </row>
    <row r="551">
      <c r="K551" s="84" t="n"/>
    </row>
    <row r="552">
      <c r="K552" s="84" t="n"/>
    </row>
    <row r="553">
      <c r="K553" s="84" t="n"/>
    </row>
    <row r="554">
      <c r="K554" s="84" t="n"/>
    </row>
    <row r="555">
      <c r="K555" s="84" t="n"/>
    </row>
    <row r="556">
      <c r="K556" s="84" t="n"/>
    </row>
    <row r="557">
      <c r="K557" s="84" t="n"/>
    </row>
    <row r="558">
      <c r="K558" s="84" t="n"/>
    </row>
    <row r="559">
      <c r="K559" s="84" t="n"/>
    </row>
    <row r="560">
      <c r="K560" s="84" t="n"/>
    </row>
    <row r="561">
      <c r="K561" s="84" t="n"/>
    </row>
    <row r="562">
      <c r="K562" s="84" t="n"/>
    </row>
    <row r="563">
      <c r="K563" s="84" t="n"/>
    </row>
    <row r="564">
      <c r="K564" s="84" t="n"/>
    </row>
    <row r="565">
      <c r="K565" s="84" t="n"/>
    </row>
    <row r="566">
      <c r="K566" s="84" t="n"/>
    </row>
    <row r="567">
      <c r="K567" s="84" t="n"/>
    </row>
    <row r="568">
      <c r="K568" s="84" t="n"/>
    </row>
    <row r="569">
      <c r="K569" s="84" t="n"/>
    </row>
    <row r="570">
      <c r="K570" s="84" t="n"/>
    </row>
    <row r="571">
      <c r="K571" s="84" t="n"/>
    </row>
    <row r="572">
      <c r="K572" s="84" t="n"/>
    </row>
    <row r="573">
      <c r="K573" s="84" t="n"/>
    </row>
    <row r="574">
      <c r="K574" s="84" t="n"/>
    </row>
    <row r="575">
      <c r="K575" s="84" t="n"/>
    </row>
    <row r="576">
      <c r="K576" s="84" t="n"/>
    </row>
    <row r="577">
      <c r="K577" s="84" t="n"/>
    </row>
    <row r="578">
      <c r="K578" s="84" t="n"/>
    </row>
    <row r="579">
      <c r="K579" s="84" t="n"/>
    </row>
    <row r="580">
      <c r="K580" s="84" t="n"/>
    </row>
    <row r="581">
      <c r="K581" s="84" t="n"/>
    </row>
    <row r="582">
      <c r="K582" s="84" t="n"/>
    </row>
    <row r="583">
      <c r="K583" s="84" t="n"/>
    </row>
    <row r="584">
      <c r="K584" s="84" t="n"/>
    </row>
    <row r="585">
      <c r="K585" s="84" t="n"/>
    </row>
    <row r="586">
      <c r="K586" s="84" t="n"/>
    </row>
    <row r="587">
      <c r="K587" s="84" t="n"/>
    </row>
    <row r="588">
      <c r="K588" s="84" t="n"/>
    </row>
    <row r="589">
      <c r="K589" s="84" t="n"/>
    </row>
    <row r="590">
      <c r="K590" s="84" t="n"/>
    </row>
    <row r="591">
      <c r="K591" s="84" t="n"/>
    </row>
    <row r="592">
      <c r="K592" s="84" t="n"/>
    </row>
    <row r="593">
      <c r="K593" s="84" t="n"/>
    </row>
    <row r="594">
      <c r="K594" s="84" t="n"/>
    </row>
    <row r="595">
      <c r="K595" s="84" t="n"/>
    </row>
    <row r="596">
      <c r="K596" s="84" t="n"/>
    </row>
    <row r="597">
      <c r="K597" s="84" t="n"/>
    </row>
    <row r="598">
      <c r="K598" s="84" t="n"/>
    </row>
    <row r="599">
      <c r="K599" s="84" t="n"/>
    </row>
    <row r="600">
      <c r="K600" s="84" t="n"/>
    </row>
    <row r="601">
      <c r="K601" s="84" t="n"/>
    </row>
    <row r="602">
      <c r="K602" s="84" t="n"/>
    </row>
    <row r="603">
      <c r="K603" s="84" t="n"/>
    </row>
    <row r="604">
      <c r="K604" s="84" t="n"/>
    </row>
    <row r="605">
      <c r="K605" s="84" t="n"/>
    </row>
    <row r="606">
      <c r="K606" s="84" t="n"/>
    </row>
    <row r="607">
      <c r="K607" s="84" t="n"/>
    </row>
    <row r="608">
      <c r="K608" s="84" t="n"/>
    </row>
    <row r="609">
      <c r="K609" s="84" t="n"/>
    </row>
    <row r="610">
      <c r="K610" s="84" t="n"/>
    </row>
    <row r="611">
      <c r="K611" s="84" t="n"/>
    </row>
    <row r="612">
      <c r="K612" s="84" t="n"/>
    </row>
    <row r="613">
      <c r="K613" s="84" t="n"/>
    </row>
    <row r="614">
      <c r="K614" s="84" t="n"/>
    </row>
    <row r="615">
      <c r="K615" s="84" t="n"/>
    </row>
    <row r="616">
      <c r="K616" s="84" t="n"/>
    </row>
    <row r="617">
      <c r="K617" s="84" t="n"/>
    </row>
    <row r="618">
      <c r="K618" s="84" t="n"/>
    </row>
    <row r="619">
      <c r="K619" s="84" t="n"/>
    </row>
    <row r="620">
      <c r="K620" s="84" t="n"/>
    </row>
    <row r="621">
      <c r="K621" s="84" t="n"/>
    </row>
    <row r="622">
      <c r="K622" s="84" t="n"/>
    </row>
    <row r="623">
      <c r="K623" s="84" t="n"/>
    </row>
    <row r="624">
      <c r="K624" s="84" t="n"/>
    </row>
    <row r="625">
      <c r="K625" s="84" t="n"/>
    </row>
    <row r="626">
      <c r="K626" s="84" t="n"/>
    </row>
    <row r="627">
      <c r="K627" s="84" t="n"/>
    </row>
    <row r="628">
      <c r="K628" s="84" t="n"/>
    </row>
    <row r="629">
      <c r="K629" s="84" t="n"/>
    </row>
    <row r="630">
      <c r="K630" s="84" t="n"/>
    </row>
    <row r="631">
      <c r="K631" s="84" t="n"/>
    </row>
    <row r="632">
      <c r="K632" s="84" t="n"/>
    </row>
    <row r="633">
      <c r="K633" s="84" t="n"/>
    </row>
    <row r="634">
      <c r="K634" s="84" t="n"/>
    </row>
    <row r="635">
      <c r="K635" s="84" t="n"/>
    </row>
    <row r="636">
      <c r="K636" s="84" t="n"/>
    </row>
    <row r="637">
      <c r="K637" s="84" t="n"/>
    </row>
    <row r="638">
      <c r="K638" s="84" t="n"/>
    </row>
    <row r="639">
      <c r="K639" s="84" t="n"/>
    </row>
    <row r="640">
      <c r="K640" s="84" t="n"/>
    </row>
    <row r="641">
      <c r="K641" s="84" t="n"/>
    </row>
    <row r="642">
      <c r="K642" s="84" t="n"/>
    </row>
    <row r="643">
      <c r="K643" s="84" t="n"/>
    </row>
    <row r="644">
      <c r="K644" s="84" t="n"/>
    </row>
    <row r="645">
      <c r="K645" s="84" t="n"/>
    </row>
    <row r="646">
      <c r="K646" s="84" t="n"/>
    </row>
    <row r="647">
      <c r="K647" s="84" t="n"/>
    </row>
    <row r="648">
      <c r="K648" s="84" t="n"/>
    </row>
    <row r="649">
      <c r="K649" s="84" t="n"/>
    </row>
    <row r="650">
      <c r="K650" s="84" t="n"/>
    </row>
    <row r="651">
      <c r="K651" s="84" t="n"/>
    </row>
    <row r="652">
      <c r="K652" s="84" t="n"/>
    </row>
    <row r="653">
      <c r="K653" s="84" t="n"/>
    </row>
    <row r="654">
      <c r="K654" s="84" t="n"/>
    </row>
    <row r="655">
      <c r="K655" s="84" t="n"/>
    </row>
    <row r="656">
      <c r="K656" s="84" t="n"/>
    </row>
    <row r="657">
      <c r="K657" s="84" t="n"/>
    </row>
    <row r="658">
      <c r="K658" s="84" t="n"/>
    </row>
    <row r="659">
      <c r="K659" s="84" t="n"/>
    </row>
    <row r="660">
      <c r="K660" s="84" t="n"/>
    </row>
    <row r="661">
      <c r="K661" s="84" t="n"/>
    </row>
    <row r="662">
      <c r="K662" s="84" t="n"/>
    </row>
    <row r="663">
      <c r="K663" s="84" t="n"/>
    </row>
    <row r="664">
      <c r="K664" s="84" t="n"/>
    </row>
    <row r="665">
      <c r="K665" s="84" t="n"/>
    </row>
    <row r="666">
      <c r="K666" s="84" t="n"/>
    </row>
    <row r="667">
      <c r="K667" s="84" t="n"/>
    </row>
    <row r="668">
      <c r="K668" s="84" t="n"/>
    </row>
    <row r="669">
      <c r="K669" s="84" t="n"/>
    </row>
    <row r="670">
      <c r="K670" s="84" t="n"/>
    </row>
    <row r="671">
      <c r="K671" s="84" t="n"/>
    </row>
    <row r="672">
      <c r="K672" s="84" t="n"/>
    </row>
    <row r="673">
      <c r="K673" s="84" t="n"/>
    </row>
    <row r="674">
      <c r="K674" s="84" t="n"/>
    </row>
    <row r="675">
      <c r="K675" s="84" t="n"/>
    </row>
    <row r="676">
      <c r="K676" s="84" t="n"/>
    </row>
    <row r="677">
      <c r="K677" s="84" t="n"/>
    </row>
    <row r="678">
      <c r="K678" s="84" t="n"/>
    </row>
    <row r="679">
      <c r="K679" s="84" t="n"/>
    </row>
    <row r="680">
      <c r="K680" s="84" t="n"/>
    </row>
    <row r="681">
      <c r="K681" s="84" t="n"/>
    </row>
    <row r="682">
      <c r="K682" s="84" t="n"/>
    </row>
    <row r="683">
      <c r="K683" s="84" t="n"/>
    </row>
    <row r="684">
      <c r="K684" s="84" t="n"/>
    </row>
    <row r="685">
      <c r="K685" s="84" t="n"/>
    </row>
    <row r="686">
      <c r="K686" s="84" t="n"/>
    </row>
    <row r="687">
      <c r="K687" s="84" t="n"/>
    </row>
    <row r="688">
      <c r="K688" s="84" t="n"/>
    </row>
    <row r="689">
      <c r="K689" s="84" t="n"/>
    </row>
    <row r="690">
      <c r="K690" s="84" t="n"/>
    </row>
    <row r="691">
      <c r="K691" s="84" t="n"/>
    </row>
    <row r="692">
      <c r="K692" s="84" t="n"/>
    </row>
    <row r="693">
      <c r="K693" s="84" t="n"/>
    </row>
    <row r="694">
      <c r="K694" s="84" t="n"/>
    </row>
    <row r="695">
      <c r="K695" s="84" t="n"/>
    </row>
    <row r="696">
      <c r="K696" s="84" t="n"/>
    </row>
    <row r="697">
      <c r="K697" s="84" t="n"/>
    </row>
    <row r="698">
      <c r="K698" s="84" t="n"/>
    </row>
    <row r="699">
      <c r="K699" s="84" t="n"/>
    </row>
    <row r="700">
      <c r="K700" s="84" t="n"/>
    </row>
    <row r="701">
      <c r="K701" s="84" t="n"/>
    </row>
    <row r="702">
      <c r="K702" s="84" t="n"/>
    </row>
    <row r="703">
      <c r="K703" s="84" t="n"/>
    </row>
    <row r="704">
      <c r="K704" s="84" t="n"/>
    </row>
    <row r="705">
      <c r="K705" s="84" t="n"/>
    </row>
    <row r="706">
      <c r="K706" s="84" t="n"/>
    </row>
    <row r="707">
      <c r="K707" s="84" t="n"/>
    </row>
    <row r="708">
      <c r="K708" s="84" t="n"/>
    </row>
    <row r="709">
      <c r="K709" s="84" t="n"/>
    </row>
    <row r="710">
      <c r="K710" s="84" t="n"/>
    </row>
    <row r="711">
      <c r="K711" s="84" t="n"/>
    </row>
    <row r="712">
      <c r="K712" s="84" t="n"/>
    </row>
    <row r="713">
      <c r="K713" s="84" t="n"/>
    </row>
    <row r="714">
      <c r="K714" s="84" t="n"/>
    </row>
    <row r="715">
      <c r="K715" s="84" t="n"/>
    </row>
    <row r="716">
      <c r="K716" s="84" t="n"/>
    </row>
    <row r="717">
      <c r="K717" s="84" t="n"/>
    </row>
    <row r="718">
      <c r="K718" s="84" t="n"/>
    </row>
    <row r="719">
      <c r="K719" s="84" t="n"/>
    </row>
    <row r="720">
      <c r="K720" s="84" t="n"/>
    </row>
    <row r="721">
      <c r="K721" s="84" t="n"/>
    </row>
    <row r="722">
      <c r="K722" s="84" t="n"/>
    </row>
    <row r="723">
      <c r="K723" s="84" t="n"/>
    </row>
    <row r="724">
      <c r="K724" s="84" t="n"/>
    </row>
    <row r="725">
      <c r="K725" s="84" t="n"/>
    </row>
    <row r="726">
      <c r="K726" s="84" t="n"/>
    </row>
    <row r="727">
      <c r="K727" s="84" t="n"/>
    </row>
    <row r="728">
      <c r="K728" s="84" t="n"/>
    </row>
    <row r="729">
      <c r="K729" s="84" t="n"/>
    </row>
    <row r="730">
      <c r="K730" s="84" t="n"/>
    </row>
    <row r="731">
      <c r="K731" s="84" t="n"/>
    </row>
    <row r="732">
      <c r="K732" s="84" t="n"/>
    </row>
    <row r="733">
      <c r="K733" s="84" t="n"/>
    </row>
    <row r="734">
      <c r="K734" s="84" t="n"/>
    </row>
    <row r="735">
      <c r="K735" s="84" t="n"/>
    </row>
    <row r="736">
      <c r="K736" s="84" t="n"/>
    </row>
    <row r="737">
      <c r="K737" s="84" t="n"/>
    </row>
    <row r="738">
      <c r="K738" s="84" t="n"/>
    </row>
    <row r="739">
      <c r="K739" s="84" t="n"/>
    </row>
    <row r="740">
      <c r="K740" s="84" t="n"/>
    </row>
    <row r="741">
      <c r="K741" s="84" t="n"/>
    </row>
    <row r="742">
      <c r="K742" s="84" t="n"/>
    </row>
    <row r="743">
      <c r="K743" s="84" t="n"/>
    </row>
    <row r="744">
      <c r="K744" s="84" t="n"/>
    </row>
    <row r="745">
      <c r="K745" s="84" t="n"/>
    </row>
    <row r="746">
      <c r="K746" s="84" t="n"/>
    </row>
    <row r="747">
      <c r="K747" s="84" t="n"/>
    </row>
    <row r="748">
      <c r="K748" s="84" t="n"/>
    </row>
    <row r="749">
      <c r="K749" s="84" t="n"/>
    </row>
    <row r="750">
      <c r="K750" s="84" t="n"/>
    </row>
    <row r="751">
      <c r="K751" s="84" t="n"/>
    </row>
    <row r="752">
      <c r="K752" s="84" t="n"/>
    </row>
    <row r="753">
      <c r="K753" s="84" t="n"/>
    </row>
    <row r="754">
      <c r="K754" s="84" t="n"/>
    </row>
    <row r="755">
      <c r="K755" s="84" t="n"/>
    </row>
    <row r="756">
      <c r="K756" s="84" t="n"/>
    </row>
    <row r="757">
      <c r="K757" s="84" t="n"/>
    </row>
    <row r="758">
      <c r="K758" s="84" t="n"/>
    </row>
    <row r="759">
      <c r="K759" s="84" t="n"/>
    </row>
    <row r="760">
      <c r="K760" s="84" t="n"/>
    </row>
    <row r="761">
      <c r="K761" s="84" t="n"/>
    </row>
    <row r="762">
      <c r="K762" s="84" t="n"/>
    </row>
    <row r="763">
      <c r="K763" s="84" t="n"/>
    </row>
    <row r="764">
      <c r="K764" s="84" t="n"/>
    </row>
    <row r="765">
      <c r="K765" s="84" t="n"/>
    </row>
    <row r="766">
      <c r="K766" s="84" t="n"/>
    </row>
    <row r="767">
      <c r="K767" s="84" t="n"/>
    </row>
    <row r="768">
      <c r="K768" s="84" t="n"/>
    </row>
    <row r="769">
      <c r="K769" s="84" t="n"/>
    </row>
    <row r="770">
      <c r="K770" s="84" t="n"/>
    </row>
    <row r="771">
      <c r="K771" s="84" t="n"/>
    </row>
    <row r="772">
      <c r="K772" s="84" t="n"/>
    </row>
    <row r="773">
      <c r="K773" s="84" t="n"/>
    </row>
    <row r="774">
      <c r="K774" s="84" t="n"/>
    </row>
    <row r="775">
      <c r="K775" s="84" t="n"/>
    </row>
    <row r="776">
      <c r="K776" s="84" t="n"/>
    </row>
    <row r="777">
      <c r="K777" s="84" t="n"/>
    </row>
    <row r="778">
      <c r="K778" s="84" t="n"/>
    </row>
    <row r="779">
      <c r="K779" s="84" t="n"/>
    </row>
    <row r="780">
      <c r="K780" s="84" t="n"/>
    </row>
    <row r="781">
      <c r="K781" s="84" t="n"/>
    </row>
    <row r="782">
      <c r="K782" s="84" t="n"/>
    </row>
    <row r="783">
      <c r="K783" s="84" t="n"/>
    </row>
    <row r="784">
      <c r="K784" s="84" t="n"/>
    </row>
    <row r="785">
      <c r="K785" s="84" t="n"/>
    </row>
    <row r="786">
      <c r="K786" s="84" t="n"/>
    </row>
    <row r="787">
      <c r="K787" s="84" t="n"/>
    </row>
    <row r="788">
      <c r="K788" s="84" t="n"/>
    </row>
    <row r="789">
      <c r="K789" s="84" t="n"/>
    </row>
    <row r="790">
      <c r="K790" s="84" t="n"/>
    </row>
    <row r="791">
      <c r="K791" s="84" t="n"/>
    </row>
    <row r="792">
      <c r="K792" s="84" t="n"/>
    </row>
    <row r="793">
      <c r="K793" s="84" t="n"/>
    </row>
    <row r="794">
      <c r="K794" s="84" t="n"/>
    </row>
    <row r="795">
      <c r="K795" s="84" t="n"/>
    </row>
    <row r="796">
      <c r="K796" s="84" t="n"/>
    </row>
    <row r="797">
      <c r="K797" s="84" t="n"/>
    </row>
    <row r="798">
      <c r="K798" s="84" t="n"/>
    </row>
    <row r="799">
      <c r="K799" s="84" t="n"/>
    </row>
    <row r="800">
      <c r="K800" s="84" t="n"/>
    </row>
    <row r="801">
      <c r="K801" s="84" t="n"/>
    </row>
    <row r="802">
      <c r="K802" s="84" t="n"/>
    </row>
    <row r="803">
      <c r="K803" s="84" t="n"/>
    </row>
    <row r="804">
      <c r="K804" s="84" t="n"/>
    </row>
    <row r="805">
      <c r="K805" s="84" t="n"/>
    </row>
    <row r="806">
      <c r="K806" s="84" t="n"/>
    </row>
    <row r="807">
      <c r="K807" s="84" t="n"/>
    </row>
    <row r="808">
      <c r="K808" s="84" t="n"/>
    </row>
    <row r="809">
      <c r="K809" s="84" t="n"/>
    </row>
    <row r="810">
      <c r="K810" s="84" t="n"/>
    </row>
    <row r="811">
      <c r="K811" s="84" t="n"/>
    </row>
    <row r="812">
      <c r="K812" s="84" t="n"/>
    </row>
    <row r="813">
      <c r="K813" s="84" t="n"/>
    </row>
    <row r="814">
      <c r="K814" s="84" t="n"/>
    </row>
    <row r="815">
      <c r="K815" s="84" t="n"/>
    </row>
    <row r="816">
      <c r="K816" s="84" t="n"/>
    </row>
    <row r="817">
      <c r="K817" s="84" t="n"/>
    </row>
    <row r="818">
      <c r="K818" s="84" t="n"/>
    </row>
    <row r="819">
      <c r="K819" s="84" t="n"/>
    </row>
    <row r="820">
      <c r="K820" s="84" t="n"/>
    </row>
    <row r="821">
      <c r="K821" s="84" t="n"/>
    </row>
    <row r="822">
      <c r="K822" s="84" t="n"/>
    </row>
    <row r="823">
      <c r="K823" s="84" t="n"/>
    </row>
    <row r="824">
      <c r="K824" s="84" t="n"/>
    </row>
    <row r="825">
      <c r="K825" s="84" t="n"/>
    </row>
    <row r="826">
      <c r="K826" s="84" t="n"/>
    </row>
    <row r="827">
      <c r="K827" s="84" t="n"/>
    </row>
    <row r="828">
      <c r="K828" s="84" t="n"/>
    </row>
    <row r="829">
      <c r="K829" s="84" t="n"/>
    </row>
    <row r="830">
      <c r="K830" s="84" t="n"/>
    </row>
    <row r="831">
      <c r="K831" s="84" t="n"/>
    </row>
    <row r="832">
      <c r="K832" s="84" t="n"/>
    </row>
    <row r="833">
      <c r="K833" s="84" t="n"/>
    </row>
    <row r="834">
      <c r="K834" s="84" t="n"/>
    </row>
    <row r="835">
      <c r="K835" s="84" t="n"/>
    </row>
    <row r="836">
      <c r="K836" s="84" t="n"/>
    </row>
    <row r="837">
      <c r="K837" s="84" t="n"/>
    </row>
    <row r="838">
      <c r="K838" s="84" t="n"/>
    </row>
    <row r="839">
      <c r="K839" s="84" t="n"/>
    </row>
    <row r="840">
      <c r="K840" s="84" t="n"/>
    </row>
    <row r="841">
      <c r="K841" s="84" t="n"/>
    </row>
    <row r="842">
      <c r="K842" s="84" t="n"/>
    </row>
    <row r="843">
      <c r="K843" s="84" t="n"/>
    </row>
    <row r="844">
      <c r="K844" s="84" t="n"/>
    </row>
    <row r="845">
      <c r="K845" s="84" t="n"/>
    </row>
    <row r="846">
      <c r="K846" s="84" t="n"/>
    </row>
    <row r="847">
      <c r="K847" s="84" t="n"/>
    </row>
    <row r="848">
      <c r="K848" s="84" t="n"/>
    </row>
    <row r="849">
      <c r="K849" s="84" t="n"/>
    </row>
    <row r="850">
      <c r="K850" s="84" t="n"/>
    </row>
    <row r="851">
      <c r="K851" s="84" t="n"/>
    </row>
    <row r="852">
      <c r="K852" s="84" t="n"/>
    </row>
    <row r="853">
      <c r="K853" s="84" t="n"/>
    </row>
    <row r="854">
      <c r="K854" s="84" t="n"/>
    </row>
    <row r="855">
      <c r="K855" s="84" t="n"/>
    </row>
    <row r="856">
      <c r="K856" s="84" t="n"/>
    </row>
    <row r="857">
      <c r="K857" s="84" t="n"/>
    </row>
    <row r="858">
      <c r="K858" s="84" t="n"/>
    </row>
    <row r="859">
      <c r="K859" s="84" t="n"/>
    </row>
    <row r="860">
      <c r="K860" s="84" t="n"/>
    </row>
    <row r="861">
      <c r="K861" s="84" t="n"/>
    </row>
    <row r="862">
      <c r="K862" s="84" t="n"/>
    </row>
    <row r="863">
      <c r="K863" s="84" t="n"/>
    </row>
    <row r="864">
      <c r="K864" s="84" t="n"/>
    </row>
    <row r="865">
      <c r="K865" s="84" t="n"/>
    </row>
    <row r="866">
      <c r="K866" s="84" t="n"/>
    </row>
    <row r="867">
      <c r="K867" s="84" t="n"/>
    </row>
    <row r="868">
      <c r="K868" s="84" t="n"/>
    </row>
    <row r="869">
      <c r="K869" s="84" t="n"/>
    </row>
    <row r="870">
      <c r="K870" s="84" t="n"/>
    </row>
    <row r="871">
      <c r="K871" s="84" t="n"/>
    </row>
    <row r="872">
      <c r="K872" s="84" t="n"/>
    </row>
    <row r="873">
      <c r="K873" s="84" t="n"/>
    </row>
    <row r="874">
      <c r="K874" s="84" t="n"/>
    </row>
    <row r="875">
      <c r="K875" s="84" t="n"/>
    </row>
    <row r="876">
      <c r="K876" s="84" t="n"/>
    </row>
    <row r="877">
      <c r="K877" s="84" t="n"/>
    </row>
    <row r="878">
      <c r="K878" s="84" t="n"/>
    </row>
    <row r="879">
      <c r="K879" s="84" t="n"/>
    </row>
    <row r="880">
      <c r="K880" s="84" t="n"/>
    </row>
    <row r="881">
      <c r="K881" s="84" t="n"/>
    </row>
    <row r="882">
      <c r="K882" s="84" t="n"/>
    </row>
    <row r="883">
      <c r="K883" s="84" t="n"/>
    </row>
    <row r="884">
      <c r="K884" s="84" t="n"/>
    </row>
    <row r="885">
      <c r="K885" s="84" t="n"/>
    </row>
    <row r="886">
      <c r="K886" s="84" t="n"/>
    </row>
    <row r="887">
      <c r="K887" s="84" t="n"/>
    </row>
    <row r="888">
      <c r="K888" s="84" t="n"/>
    </row>
    <row r="889">
      <c r="K889" s="84" t="n"/>
    </row>
    <row r="890">
      <c r="K890" s="84" t="n"/>
    </row>
    <row r="891">
      <c r="K891" s="84" t="n"/>
    </row>
    <row r="892">
      <c r="K892" s="84" t="n"/>
    </row>
    <row r="893">
      <c r="K893" s="84" t="n"/>
    </row>
    <row r="894">
      <c r="K894" s="84" t="n"/>
    </row>
    <row r="895">
      <c r="K895" s="84" t="n"/>
    </row>
    <row r="896">
      <c r="K896" s="84" t="n"/>
    </row>
    <row r="897">
      <c r="K897" s="84" t="n"/>
    </row>
    <row r="898">
      <c r="K898" s="84" t="n"/>
    </row>
    <row r="899">
      <c r="K899" s="84" t="n"/>
    </row>
    <row r="900">
      <c r="K900" s="84" t="n"/>
    </row>
    <row r="901">
      <c r="K901" s="84" t="n"/>
    </row>
    <row r="902">
      <c r="K902" s="84" t="n"/>
    </row>
    <row r="903">
      <c r="K903" s="84" t="n"/>
    </row>
    <row r="904">
      <c r="K904" s="84" t="n"/>
    </row>
    <row r="905">
      <c r="K905" s="84" t="n"/>
    </row>
    <row r="906">
      <c r="K906" s="84" t="n"/>
    </row>
    <row r="907">
      <c r="K907" s="84" t="n"/>
    </row>
    <row r="908">
      <c r="K908" s="84" t="n"/>
    </row>
    <row r="909">
      <c r="K909" s="84" t="n"/>
    </row>
    <row r="910">
      <c r="K910" s="84" t="n"/>
    </row>
    <row r="911">
      <c r="K911" s="84" t="n"/>
    </row>
    <row r="912">
      <c r="K912" s="84" t="n"/>
    </row>
    <row r="913">
      <c r="K913" s="84" t="n"/>
    </row>
    <row r="914">
      <c r="K914" s="84" t="n"/>
    </row>
    <row r="915">
      <c r="K915" s="84" t="n"/>
    </row>
    <row r="916">
      <c r="K916" s="84" t="n"/>
    </row>
    <row r="917">
      <c r="K917" s="84" t="n"/>
    </row>
    <row r="918">
      <c r="K918" s="84" t="n"/>
    </row>
    <row r="919">
      <c r="K919" s="84" t="n"/>
    </row>
    <row r="920">
      <c r="K920" s="84" t="n"/>
    </row>
    <row r="921">
      <c r="K921" s="84" t="n"/>
    </row>
    <row r="922">
      <c r="K922" s="84" t="n"/>
    </row>
    <row r="923">
      <c r="K923" s="84" t="n"/>
    </row>
    <row r="924">
      <c r="K924" s="84" t="n"/>
    </row>
    <row r="925">
      <c r="K925" s="84" t="n"/>
    </row>
    <row r="926">
      <c r="K926" s="84" t="n"/>
    </row>
    <row r="927">
      <c r="K927" s="84" t="n"/>
    </row>
    <row r="928">
      <c r="K928" s="84" t="n"/>
    </row>
    <row r="929">
      <c r="K929" s="84" t="n"/>
    </row>
    <row r="930">
      <c r="K930" s="84" t="n"/>
    </row>
    <row r="931">
      <c r="K931" s="84" t="n"/>
    </row>
    <row r="932">
      <c r="K932" s="84" t="n"/>
    </row>
    <row r="933">
      <c r="K933" s="84" t="n"/>
    </row>
    <row r="934">
      <c r="K934" s="84" t="n"/>
    </row>
    <row r="935">
      <c r="K935" s="84" t="n"/>
    </row>
    <row r="936">
      <c r="K936" s="84" t="n"/>
    </row>
    <row r="937">
      <c r="K937" s="84" t="n"/>
    </row>
    <row r="938">
      <c r="K938" s="84" t="n"/>
    </row>
    <row r="939">
      <c r="K939" s="84" t="n"/>
    </row>
    <row r="940">
      <c r="K940" s="84" t="n"/>
    </row>
    <row r="941">
      <c r="K941" s="84" t="n"/>
    </row>
    <row r="942">
      <c r="K942" s="84" t="n"/>
    </row>
    <row r="943">
      <c r="K943" s="84" t="n"/>
    </row>
    <row r="944">
      <c r="K944" s="84" t="n"/>
    </row>
    <row r="945">
      <c r="K945" s="84" t="n"/>
    </row>
    <row r="946">
      <c r="K946" s="84" t="n"/>
    </row>
    <row r="947">
      <c r="K947" s="84" t="n"/>
    </row>
    <row r="948">
      <c r="K948" s="84" t="n"/>
    </row>
    <row r="949">
      <c r="K949" s="84" t="n"/>
    </row>
    <row r="950">
      <c r="K950" s="84" t="n"/>
    </row>
    <row r="951">
      <c r="K951" s="84" t="n"/>
    </row>
    <row r="952">
      <c r="K952" s="84" t="n"/>
    </row>
    <row r="953">
      <c r="K953" s="84" t="n"/>
    </row>
    <row r="954">
      <c r="K954" s="84" t="n"/>
    </row>
    <row r="955">
      <c r="K955" s="84" t="n"/>
    </row>
    <row r="956">
      <c r="K956" s="84" t="n"/>
    </row>
    <row r="957">
      <c r="K957" s="84" t="n"/>
    </row>
    <row r="958">
      <c r="K958" s="84" t="n"/>
    </row>
    <row r="959">
      <c r="K959" s="84" t="n"/>
    </row>
    <row r="960">
      <c r="K960" s="84" t="n"/>
    </row>
    <row r="961">
      <c r="K961" s="84" t="n"/>
    </row>
    <row r="962">
      <c r="K962" s="84" t="n"/>
    </row>
    <row r="963">
      <c r="K963" s="84" t="n"/>
    </row>
    <row r="964">
      <c r="K964" s="84" t="n"/>
    </row>
    <row r="965">
      <c r="K965" s="84" t="n"/>
    </row>
    <row r="966">
      <c r="K966" s="84" t="n"/>
    </row>
    <row r="967">
      <c r="K967" s="84" t="n"/>
    </row>
    <row r="968">
      <c r="K968" s="84" t="n"/>
    </row>
    <row r="969">
      <c r="K969" s="84" t="n"/>
    </row>
    <row r="970">
      <c r="K970" s="84" t="n"/>
    </row>
    <row r="971">
      <c r="K971" s="84" t="n"/>
    </row>
    <row r="972">
      <c r="K972" s="84" t="n"/>
    </row>
    <row r="973">
      <c r="K973" s="84" t="n"/>
    </row>
    <row r="974">
      <c r="K974" s="84" t="n"/>
    </row>
    <row r="975">
      <c r="K975" s="84" t="n"/>
    </row>
    <row r="976">
      <c r="K976" s="84" t="n"/>
    </row>
    <row r="977">
      <c r="K977" s="84" t="n"/>
    </row>
    <row r="978">
      <c r="K978" s="84" t="n"/>
    </row>
    <row r="979">
      <c r="K979" s="84" t="n"/>
    </row>
    <row r="980">
      <c r="K980" s="84" t="n"/>
    </row>
    <row r="981">
      <c r="K981" s="84" t="n"/>
    </row>
    <row r="982">
      <c r="K982" s="84" t="n"/>
    </row>
    <row r="983">
      <c r="K983" s="84" t="n"/>
    </row>
    <row r="984">
      <c r="K984" s="84" t="n"/>
    </row>
    <row r="985">
      <c r="K985" s="84" t="n"/>
    </row>
    <row r="986">
      <c r="K986" s="84" t="n"/>
    </row>
    <row r="987">
      <c r="K987" s="84" t="n"/>
    </row>
    <row r="988">
      <c r="K988" s="84" t="n"/>
    </row>
    <row r="989">
      <c r="K989" s="84" t="n"/>
    </row>
    <row r="990">
      <c r="K990" s="84" t="n"/>
    </row>
    <row r="991">
      <c r="K991" s="84" t="n"/>
    </row>
    <row r="992">
      <c r="K992" s="84" t="n"/>
    </row>
    <row r="993">
      <c r="K993" s="84" t="n"/>
    </row>
    <row r="994">
      <c r="K994" s="84" t="n"/>
    </row>
  </sheetData>
  <dataValidations count="1">
    <dataValidation sqref="L2:L7" showDropDown="0" showInputMessage="0" showErrorMessage="1" allowBlank="1" type="list">
      <formula1>"MARCO,PAOLA,NAHOMI,IAN,OMAR"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N999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18" min="1" max="1"/>
    <col width="18.38" customWidth="1" style="118" min="2" max="2"/>
  </cols>
  <sheetData>
    <row r="1">
      <c r="A1" s="27" t="inlineStr">
        <is>
          <t>Room ID</t>
        </is>
      </c>
      <c r="B1" s="27" t="inlineStr">
        <is>
          <t>TT Handle</t>
        </is>
      </c>
      <c r="C1" s="27" t="inlineStr">
        <is>
          <t>Country</t>
        </is>
      </c>
      <c r="D1" s="27" t="inlineStr">
        <is>
          <t>GMV</t>
        </is>
      </c>
      <c r="E1" s="27" t="inlineStr">
        <is>
          <t>GMV/sin EVA</t>
        </is>
      </c>
      <c r="F1" s="27" t="inlineStr">
        <is>
          <t>GMV PER HOUR</t>
        </is>
      </c>
      <c r="G1" s="27" t="inlineStr">
        <is>
          <t>GMV PER HOUR/sin EVA</t>
        </is>
      </c>
      <c r="H1" s="27" t="inlineStr">
        <is>
          <t>Ads Cost</t>
        </is>
      </c>
      <c r="I1" s="27" t="inlineStr">
        <is>
          <t>Duration (H)</t>
        </is>
      </c>
      <c r="J1" s="28" t="inlineStr">
        <is>
          <t>Duration （Formula）</t>
        </is>
      </c>
      <c r="K1" s="29" t="inlineStr">
        <is>
          <t>Start date</t>
        </is>
      </c>
      <c r="L1" s="30" t="inlineStr">
        <is>
          <t>HOST 1</t>
        </is>
      </c>
      <c r="M1" s="30" t="inlineStr">
        <is>
          <t xml:space="preserve">HOST 2 </t>
        </is>
      </c>
      <c r="N1" s="30" t="inlineStr">
        <is>
          <t>Operator</t>
        </is>
      </c>
    </row>
    <row r="2">
      <c r="A2" s="91" t="inlineStr">
        <is>
          <t>7623128327960382226</t>
        </is>
      </c>
      <c r="B2" s="91" t="inlineStr">
        <is>
          <t>dax.bellezaymas</t>
        </is>
      </c>
      <c r="C2" s="91" t="inlineStr">
        <is>
          <t>MX</t>
        </is>
      </c>
      <c r="D2" s="39" t="n">
        <v>172</v>
      </c>
      <c r="E2" s="40">
        <f>D2/1.16</f>
        <v/>
      </c>
      <c r="F2" s="40" t="n">
        <v>55.62</v>
      </c>
      <c r="G2" s="92">
        <f>F2/1.16</f>
        <v/>
      </c>
      <c r="H2" s="92" t="n">
        <v>0</v>
      </c>
      <c r="I2" s="74" t="n">
        <v>3.09861</v>
      </c>
      <c r="J2" s="74">
        <f>LET(dec, I2-INT(I2), IF(dec&lt;0.1, INT(I2), IF(dec&lt;=0.7, INT(I2)+0.5, INT(I2)+1)))</f>
        <v/>
      </c>
      <c r="K2" s="93" t="n">
        <v>46111</v>
      </c>
      <c r="M2" s="91" t="inlineStr">
        <is>
          <t>JOSH</t>
        </is>
      </c>
      <c r="N2" s="89" t="inlineStr">
        <is>
          <t>DIEGO</t>
        </is>
      </c>
    </row>
    <row r="3">
      <c r="A3" s="91" t="inlineStr">
        <is>
          <t>7623868836467165959</t>
        </is>
      </c>
      <c r="B3" s="91" t="inlineStr">
        <is>
          <t>dax.bellezaymas</t>
        </is>
      </c>
      <c r="C3" s="91" t="inlineStr">
        <is>
          <t>MX</t>
        </is>
      </c>
      <c r="D3" s="39" t="n">
        <v>882</v>
      </c>
      <c r="E3" s="40">
        <f>D3/1.16</f>
        <v/>
      </c>
      <c r="F3" s="40" t="n">
        <v>287.85</v>
      </c>
      <c r="G3" s="92">
        <f>F3/1.16</f>
        <v/>
      </c>
      <c r="H3" s="92" t="n">
        <v>0</v>
      </c>
      <c r="I3" s="74" t="n">
        <v>3.06417</v>
      </c>
      <c r="J3" s="74">
        <f>LET(dec, I3-INT(I3), IF(dec&lt;0.1, INT(I3), IF(dec&lt;=0.7, INT(I3)+0.5, INT(I3)+1)))</f>
        <v/>
      </c>
      <c r="K3" s="93" t="n">
        <v>46113</v>
      </c>
      <c r="L3" s="91" t="inlineStr">
        <is>
          <t>ARI</t>
        </is>
      </c>
      <c r="M3" s="63" t="inlineStr">
        <is>
          <t>JOSH</t>
        </is>
      </c>
      <c r="N3" s="89" t="inlineStr">
        <is>
          <t>DIEGO</t>
        </is>
      </c>
    </row>
    <row r="4">
      <c r="A4" s="91" t="inlineStr">
        <is>
          <t>7624610415842020117</t>
        </is>
      </c>
      <c r="B4" s="91" t="inlineStr">
        <is>
          <t>dax.bellezaymas</t>
        </is>
      </c>
      <c r="C4" s="91" t="inlineStr">
        <is>
          <t>MX</t>
        </is>
      </c>
      <c r="D4" s="39" t="n">
        <v>334</v>
      </c>
      <c r="E4" s="40">
        <f>D4/1.16</f>
        <v/>
      </c>
      <c r="F4" s="40" t="n">
        <v>110.24</v>
      </c>
      <c r="G4" s="92">
        <f>F4/1.16</f>
        <v/>
      </c>
      <c r="H4" s="92" t="n">
        <v>0</v>
      </c>
      <c r="I4" s="74" t="n">
        <v>3.03167</v>
      </c>
      <c r="J4" s="74">
        <f>LET(dec, I4-INT(I4), IF(dec&lt;0.1, INT(I4), IF(dec&lt;=0.7, INT(I4)+0.5, INT(I4)+1)))</f>
        <v/>
      </c>
      <c r="K4" s="93" t="n">
        <v>46115</v>
      </c>
      <c r="L4" s="91" t="inlineStr">
        <is>
          <t>ARI</t>
        </is>
      </c>
      <c r="M4" s="63" t="n"/>
      <c r="N4" s="89" t="inlineStr">
        <is>
          <t>DIEGO</t>
        </is>
      </c>
    </row>
    <row r="5">
      <c r="A5" s="91" t="inlineStr">
        <is>
          <t>7625722706181917447</t>
        </is>
      </c>
      <c r="B5" s="91" t="inlineStr">
        <is>
          <t>dax.bellezaymas</t>
        </is>
      </c>
      <c r="C5" s="91" t="inlineStr">
        <is>
          <t>MX</t>
        </is>
      </c>
      <c r="D5" s="39" t="n">
        <v>365</v>
      </c>
      <c r="E5" s="40">
        <f>D5/1.16</f>
        <v/>
      </c>
      <c r="F5" s="40" t="n">
        <v>120.6</v>
      </c>
      <c r="G5" s="92">
        <f>F5/1.16</f>
        <v/>
      </c>
      <c r="H5" s="92" t="n">
        <v>0</v>
      </c>
      <c r="I5" s="74" t="n">
        <v>3.02778</v>
      </c>
      <c r="J5" s="74">
        <f>LET(dec, I5-INT(I5), IF(dec&lt;0.1, INT(I5), IF(dec&lt;=0.7, INT(I5)+0.5, INT(I5)+1)))</f>
        <v/>
      </c>
      <c r="K5" s="93" t="n">
        <v>46118</v>
      </c>
      <c r="L5" s="91" t="inlineStr">
        <is>
          <t>ARI</t>
        </is>
      </c>
      <c r="M5" s="63" t="n"/>
      <c r="N5" s="89" t="inlineStr">
        <is>
          <t>DIEGO</t>
        </is>
      </c>
    </row>
    <row r="6">
      <c r="A6" s="91" t="inlineStr">
        <is>
          <t>7626464826697779976</t>
        </is>
      </c>
      <c r="B6" s="91" t="inlineStr">
        <is>
          <t>dax.bellezaymas</t>
        </is>
      </c>
      <c r="C6" s="91" t="inlineStr">
        <is>
          <t>MX</t>
        </is>
      </c>
      <c r="D6" s="39" t="n">
        <v>0</v>
      </c>
      <c r="E6" s="40">
        <f>D6/1.16</f>
        <v/>
      </c>
      <c r="F6" s="40" t="n">
        <v>0</v>
      </c>
      <c r="G6" s="92">
        <f>F6/1.16</f>
        <v/>
      </c>
      <c r="H6" s="92" t="n">
        <v>0</v>
      </c>
      <c r="I6" s="74" t="n">
        <v>0.11306</v>
      </c>
      <c r="J6" s="74">
        <f>LET(dec, I6-INT(I6), IF(dec&lt;0.1, INT(I6), IF(dec&lt;=0.7, INT(I6)+0.5, INT(I6)+1)))</f>
        <v/>
      </c>
      <c r="K6" s="93" t="n">
        <v>46120</v>
      </c>
      <c r="L6" s="91" t="inlineStr">
        <is>
          <t>ARI</t>
        </is>
      </c>
      <c r="M6" s="63" t="n"/>
      <c r="N6" s="89" t="inlineStr">
        <is>
          <t>DIEGO</t>
        </is>
      </c>
    </row>
    <row r="7">
      <c r="A7" s="91" t="inlineStr">
        <is>
          <t>7626467862567914258</t>
        </is>
      </c>
      <c r="B7" s="91" t="inlineStr">
        <is>
          <t>dax.bellezaymas</t>
        </is>
      </c>
      <c r="C7" s="91" t="inlineStr">
        <is>
          <t>MX</t>
        </is>
      </c>
      <c r="D7" s="39" t="n">
        <v>422</v>
      </c>
      <c r="E7" s="40">
        <f>D7/1.16</f>
        <v/>
      </c>
      <c r="F7" s="40" t="n">
        <v>140.95</v>
      </c>
      <c r="G7" s="92">
        <f>F7/1.16</f>
        <v/>
      </c>
      <c r="H7" s="92" t="n">
        <v>0</v>
      </c>
      <c r="I7" s="74" t="n">
        <v>2.99639</v>
      </c>
      <c r="J7" s="74">
        <f>LET(dec, I7-INT(I7), IF(dec&lt;0.1, INT(I7), IF(dec&lt;=0.7, INT(I7)+0.5, INT(I7)+1)))</f>
        <v/>
      </c>
      <c r="K7" s="93" t="n">
        <v>46120</v>
      </c>
      <c r="L7" s="91" t="inlineStr">
        <is>
          <t>ARI</t>
        </is>
      </c>
      <c r="M7" s="63" t="n"/>
      <c r="N7" s="89" t="inlineStr">
        <is>
          <t>DIEGO</t>
        </is>
      </c>
    </row>
    <row r="8">
      <c r="A8" s="91" t="inlineStr">
        <is>
          <t>7627146285417499400</t>
        </is>
      </c>
      <c r="B8" s="91" t="inlineStr">
        <is>
          <t>dax.bellezaymas</t>
        </is>
      </c>
      <c r="C8" s="91" t="inlineStr">
        <is>
          <t>MX</t>
        </is>
      </c>
      <c r="D8" s="39" t="n">
        <v>2488</v>
      </c>
      <c r="E8" s="40">
        <f>D8/1.16</f>
        <v/>
      </c>
      <c r="F8" s="40" t="n">
        <v>830.13</v>
      </c>
      <c r="G8" s="92">
        <f>F8/1.16</f>
        <v/>
      </c>
      <c r="H8" s="92" t="n">
        <v>0</v>
      </c>
      <c r="I8" s="74" t="n">
        <v>2.99694</v>
      </c>
      <c r="J8" s="74">
        <f>LET(dec, I8-INT(I8), IF(dec&lt;0.1, INT(I8), IF(dec&lt;=0.7, INT(I8)+0.5, INT(I8)+1)))</f>
        <v/>
      </c>
      <c r="K8" s="93" t="n">
        <v>46122</v>
      </c>
      <c r="L8" s="91" t="inlineStr">
        <is>
          <t>ARI</t>
        </is>
      </c>
      <c r="M8" s="63" t="n"/>
      <c r="N8" s="89" t="inlineStr">
        <is>
          <t>DIEGO</t>
        </is>
      </c>
    </row>
    <row r="9">
      <c r="A9" s="91" t="inlineStr">
        <is>
          <t>7628400144006482696</t>
        </is>
      </c>
      <c r="B9" s="91" t="inlineStr">
        <is>
          <t>dax.bellezaymas</t>
        </is>
      </c>
      <c r="C9" s="91" t="inlineStr">
        <is>
          <t>MX</t>
        </is>
      </c>
      <c r="D9" s="39" t="n">
        <v>676</v>
      </c>
      <c r="E9" s="40">
        <f>D9/1.16</f>
        <v/>
      </c>
      <c r="F9" s="40" t="n">
        <v>220</v>
      </c>
      <c r="G9" s="92">
        <f>F9/1.16</f>
        <v/>
      </c>
      <c r="H9" s="92" t="n">
        <v>0</v>
      </c>
      <c r="I9" s="74" t="n">
        <v>3.06861</v>
      </c>
      <c r="J9" s="74">
        <f>LET(dec, I9-INT(I9), IF(dec&lt;0.1, INT(I9), IF(dec&lt;=0.7, INT(I9)+0.5, INT(I9)+1)))</f>
        <v/>
      </c>
      <c r="K9" s="93" t="n">
        <v>46125</v>
      </c>
      <c r="L9" s="91" t="inlineStr">
        <is>
          <t>ARI</t>
        </is>
      </c>
      <c r="M9" s="63" t="n"/>
      <c r="N9" s="89" t="inlineStr">
        <is>
          <t>DIEGO</t>
        </is>
      </c>
    </row>
    <row r="10">
      <c r="A10" s="91" t="inlineStr">
        <is>
          <t>7629065490481384200</t>
        </is>
      </c>
      <c r="B10" s="91" t="inlineStr">
        <is>
          <t>dax.bellezaymas</t>
        </is>
      </c>
      <c r="C10" s="91" t="inlineStr">
        <is>
          <t>MX</t>
        </is>
      </c>
      <c r="D10" s="39" t="n">
        <v>746</v>
      </c>
      <c r="E10" s="40">
        <f>D10/1.16</f>
        <v/>
      </c>
      <c r="F10" s="40" t="n">
        <v>247.27</v>
      </c>
      <c r="G10" s="92">
        <f>F10/1.16</f>
        <v/>
      </c>
      <c r="H10" s="92" t="n">
        <v>0</v>
      </c>
      <c r="I10" s="74" t="n">
        <v>3.01833</v>
      </c>
      <c r="J10" s="74">
        <f>LET(dec, I10-INT(I10), IF(dec&lt;0.1, INT(I10), IF(dec&lt;=0.7, INT(I10)+0.5, INT(I10)+1)))</f>
        <v/>
      </c>
      <c r="K10" s="93" t="n">
        <v>46127</v>
      </c>
      <c r="L10" s="91" t="inlineStr">
        <is>
          <t>ARI</t>
        </is>
      </c>
      <c r="M10" s="63" t="n"/>
      <c r="N10" s="89" t="inlineStr">
        <is>
          <t>DIEGO</t>
        </is>
      </c>
    </row>
    <row r="11">
      <c r="A11" s="91" t="inlineStr">
        <is>
          <t>7629809135189510930</t>
        </is>
      </c>
      <c r="B11" s="91" t="inlineStr">
        <is>
          <t>dax.bellezaymas</t>
        </is>
      </c>
      <c r="C11" s="91" t="inlineStr">
        <is>
          <t>MX</t>
        </is>
      </c>
      <c r="D11" s="39" t="n">
        <v>1952</v>
      </c>
      <c r="E11" s="40">
        <f>D11/1.16</f>
        <v/>
      </c>
      <c r="F11" s="40" t="n">
        <v>639.14</v>
      </c>
      <c r="G11" s="92">
        <f>F11/1.16</f>
        <v/>
      </c>
      <c r="H11" s="92" t="n">
        <v>139.99</v>
      </c>
      <c r="I11" s="74" t="n">
        <v>3.01833</v>
      </c>
      <c r="J11" s="74">
        <f>LET(dec, I11-INT(I11), IF(dec&lt;0.1, INT(I11), IF(dec&lt;=0.7, INT(I11)+0.5, INT(I11)+1)))</f>
        <v/>
      </c>
      <c r="K11" s="93" t="n">
        <v>46129</v>
      </c>
      <c r="L11" s="91" t="inlineStr">
        <is>
          <t>ARI</t>
        </is>
      </c>
      <c r="M11" s="63" t="n"/>
      <c r="N11" s="89" t="inlineStr">
        <is>
          <t>DIEGO</t>
        </is>
      </c>
    </row>
    <row r="12">
      <c r="A12" s="91" t="inlineStr">
        <is>
          <t>7630921351133416199</t>
        </is>
      </c>
      <c r="B12" s="91" t="inlineStr">
        <is>
          <t>dax.bellezaymas</t>
        </is>
      </c>
      <c r="C12" s="91" t="inlineStr">
        <is>
          <t>MX</t>
        </is>
      </c>
      <c r="D12" s="39" t="n">
        <v>1544</v>
      </c>
      <c r="E12" s="40">
        <f>D12/1.16</f>
        <v/>
      </c>
      <c r="F12" s="40" t="n">
        <v>501.85</v>
      </c>
      <c r="G12" s="92">
        <f>F12/1.16</f>
        <v/>
      </c>
      <c r="H12" s="92" t="n">
        <v>140.42</v>
      </c>
      <c r="I12" s="74" t="n">
        <v>3.07667</v>
      </c>
      <c r="J12" s="74">
        <f>LET(dec, I12-INT(I12), IF(dec&lt;0.1, INT(I12), IF(dec&lt;=0.7, INT(I12)+0.5, INT(I12)+1)))</f>
        <v/>
      </c>
      <c r="K12" s="93" t="n">
        <v>46132</v>
      </c>
      <c r="L12" s="91" t="inlineStr">
        <is>
          <t>ARI</t>
        </is>
      </c>
      <c r="M12" s="63" t="n"/>
      <c r="N12" s="89" t="inlineStr">
        <is>
          <t>DIEGO</t>
        </is>
      </c>
    </row>
    <row r="13">
      <c r="A13" s="91" t="inlineStr">
        <is>
          <t>7631661238813264648</t>
        </is>
      </c>
      <c r="B13" s="91" t="inlineStr">
        <is>
          <t>dax.bellezaymas</t>
        </is>
      </c>
      <c r="C13" s="91" t="inlineStr">
        <is>
          <t>MX</t>
        </is>
      </c>
      <c r="D13" s="39" t="n">
        <v>1028</v>
      </c>
      <c r="E13" s="40">
        <f>D13/1.16</f>
        <v/>
      </c>
      <c r="F13" s="40" t="n">
        <v>350.19</v>
      </c>
      <c r="G13" s="92">
        <f>F13/1.16</f>
        <v/>
      </c>
      <c r="H13" s="92" t="n">
        <v>134.18</v>
      </c>
      <c r="I13" s="74" t="n">
        <v>2.93667</v>
      </c>
      <c r="J13" s="74">
        <f>LET(dec, I13-INT(I13), IF(dec&lt;0.1, INT(I13), IF(dec&lt;=0.7, INT(I13)+0.5, INT(I13)+1)))</f>
        <v/>
      </c>
      <c r="K13" s="93" t="n">
        <v>46134</v>
      </c>
      <c r="L13" s="91" t="inlineStr">
        <is>
          <t>ARI</t>
        </is>
      </c>
      <c r="M13" s="63" t="n"/>
      <c r="N13" s="89" t="inlineStr">
        <is>
          <t>DIEGO</t>
        </is>
      </c>
    </row>
    <row r="14">
      <c r="A14" s="2" t="inlineStr">
        <is>
          <t>7631661238813264648</t>
        </is>
      </c>
      <c r="B14" s="91" t="inlineStr">
        <is>
          <t>dax.bellezaymas</t>
        </is>
      </c>
      <c r="C14" s="91" t="inlineStr">
        <is>
          <t>MX</t>
        </is>
      </c>
      <c r="D14" s="39" t="n">
        <v>1028</v>
      </c>
      <c r="E14" s="40">
        <f>D14/1.16</f>
        <v/>
      </c>
      <c r="F14" s="40" t="n">
        <v>350.19</v>
      </c>
      <c r="G14" s="92">
        <f>F14/1.16</f>
        <v/>
      </c>
      <c r="H14" s="92" t="n">
        <v>2291.74</v>
      </c>
      <c r="I14" s="74" t="n">
        <v>2.93667</v>
      </c>
      <c r="J14" s="74">
        <f>LET(dec, I14-INT(I14), IF(dec&lt;0.1, INT(I14), IF(dec&lt;=0.7, INT(I14)+0.5, INT(I14)+1)))</f>
        <v/>
      </c>
      <c r="K14" s="93" t="n">
        <v>46134</v>
      </c>
      <c r="L14" s="91" t="inlineStr">
        <is>
          <t>ARI</t>
        </is>
      </c>
      <c r="M14" s="63" t="n"/>
      <c r="N14" s="89" t="inlineStr">
        <is>
          <t>DIEGO</t>
        </is>
      </c>
    </row>
    <row r="15">
      <c r="A15" s="2" t="inlineStr">
        <is>
          <t>7632403093304462087</t>
        </is>
      </c>
      <c r="B15" s="91" t="inlineStr">
        <is>
          <t>dax.bellezaymas</t>
        </is>
      </c>
      <c r="C15" s="91" t="inlineStr">
        <is>
          <t>MX</t>
        </is>
      </c>
      <c r="D15" s="39" t="n">
        <v>1429</v>
      </c>
      <c r="E15" s="40">
        <f>D15/1.16</f>
        <v/>
      </c>
      <c r="F15" s="40" t="n">
        <v>476.7</v>
      </c>
      <c r="G15" s="92">
        <f>F15/1.16</f>
        <v/>
      </c>
      <c r="H15" s="92" t="n">
        <v>2394.08</v>
      </c>
      <c r="I15" s="74" t="n">
        <v>2.99861</v>
      </c>
      <c r="J15" s="74">
        <f>LET(dec, I15-INT(I15), IF(dec&lt;0.1, INT(I15), IF(dec&lt;=0.7, INT(I15)+0.5, INT(I15)+1)))</f>
        <v/>
      </c>
      <c r="K15" s="93" t="n">
        <v>46136</v>
      </c>
      <c r="L15" s="91" t="inlineStr">
        <is>
          <t>ARI</t>
        </is>
      </c>
      <c r="M15" s="63" t="n"/>
      <c r="N15" s="89" t="inlineStr">
        <is>
          <t>DIEGO</t>
        </is>
      </c>
    </row>
    <row r="16">
      <c r="A16" s="2" t="inlineStr">
        <is>
          <t>7633515945613019912</t>
        </is>
      </c>
      <c r="B16" s="91" t="inlineStr">
        <is>
          <t>dax.bellezaymas</t>
        </is>
      </c>
      <c r="C16" s="91" t="inlineStr">
        <is>
          <t>MX</t>
        </is>
      </c>
      <c r="D16" s="39" t="n">
        <v>1637</v>
      </c>
      <c r="E16" s="40">
        <f>D16/1.16</f>
        <v/>
      </c>
      <c r="F16" s="40" t="n">
        <v>548.75</v>
      </c>
      <c r="G16" s="92">
        <f>F16/1.16</f>
        <v/>
      </c>
      <c r="H16" s="92" t="n">
        <v>2310.6</v>
      </c>
      <c r="I16" s="74" t="n">
        <v>2.9825</v>
      </c>
      <c r="J16" s="74">
        <f>LET(dec, I16-INT(I16), IF(dec&lt;0.1, INT(I16), IF(dec&lt;=0.7, INT(I16)+0.5, INT(I16)+1)))</f>
        <v/>
      </c>
      <c r="K16" s="93" t="n">
        <v>46139</v>
      </c>
      <c r="L16" s="91" t="inlineStr">
        <is>
          <t>ARI</t>
        </is>
      </c>
      <c r="M16" s="63" t="n"/>
      <c r="N16" s="89" t="inlineStr">
        <is>
          <t>DIEGO</t>
        </is>
      </c>
    </row>
    <row r="17">
      <c r="K17" s="84" t="n"/>
    </row>
    <row r="18">
      <c r="K18" s="84" t="n"/>
    </row>
    <row r="19">
      <c r="K19" s="84" t="n"/>
    </row>
    <row r="20">
      <c r="K20" s="84" t="n"/>
    </row>
    <row r="21">
      <c r="K21" s="84" t="n"/>
    </row>
    <row r="22">
      <c r="K22" s="84" t="n"/>
    </row>
    <row r="23">
      <c r="K23" s="84" t="n"/>
    </row>
    <row r="24">
      <c r="K24" s="84" t="n"/>
    </row>
    <row r="25">
      <c r="K25" s="84" t="n"/>
    </row>
    <row r="26">
      <c r="K26" s="84" t="n"/>
    </row>
    <row r="27">
      <c r="K27" s="84" t="n"/>
    </row>
    <row r="28">
      <c r="K28" s="84" t="n"/>
    </row>
    <row r="29">
      <c r="K29" s="84" t="n"/>
    </row>
    <row r="30">
      <c r="K30" s="84" t="n"/>
    </row>
    <row r="31">
      <c r="K31" s="84" t="n"/>
    </row>
    <row r="32">
      <c r="K32" s="84" t="n"/>
    </row>
    <row r="33">
      <c r="K33" s="84" t="n"/>
    </row>
    <row r="34">
      <c r="K34" s="84" t="n"/>
    </row>
    <row r="35">
      <c r="K35" s="84" t="n"/>
    </row>
    <row r="36">
      <c r="K36" s="84" t="n"/>
    </row>
    <row r="37">
      <c r="K37" s="84" t="n"/>
    </row>
    <row r="38">
      <c r="K38" s="84" t="n"/>
    </row>
    <row r="39">
      <c r="K39" s="84" t="n"/>
    </row>
    <row r="40">
      <c r="K40" s="84" t="n"/>
    </row>
    <row r="41">
      <c r="K41" s="84" t="n"/>
    </row>
    <row r="42">
      <c r="K42" s="84" t="n"/>
    </row>
    <row r="43">
      <c r="K43" s="84" t="n"/>
    </row>
    <row r="44">
      <c r="K44" s="84" t="n"/>
    </row>
    <row r="45">
      <c r="K45" s="84" t="n"/>
    </row>
    <row r="46">
      <c r="K46" s="84" t="n"/>
    </row>
    <row r="47">
      <c r="K47" s="84" t="n"/>
    </row>
    <row r="48">
      <c r="K48" s="84" t="n"/>
    </row>
    <row r="49">
      <c r="K49" s="84" t="n"/>
    </row>
    <row r="50">
      <c r="K50" s="84" t="n"/>
    </row>
    <row r="51">
      <c r="K51" s="84" t="n"/>
    </row>
    <row r="52">
      <c r="K52" s="84" t="n"/>
    </row>
    <row r="53">
      <c r="K53" s="84" t="n"/>
    </row>
    <row r="54">
      <c r="K54" s="84" t="n"/>
    </row>
    <row r="55">
      <c r="K55" s="84" t="n"/>
    </row>
    <row r="56">
      <c r="K56" s="84" t="n"/>
    </row>
    <row r="57">
      <c r="K57" s="84" t="n"/>
    </row>
    <row r="58">
      <c r="K58" s="84" t="n"/>
    </row>
    <row r="59">
      <c r="K59" s="84" t="n"/>
    </row>
    <row r="60">
      <c r="K60" s="84" t="n"/>
    </row>
    <row r="61">
      <c r="K61" s="84" t="n"/>
    </row>
    <row r="62">
      <c r="K62" s="84" t="n"/>
    </row>
    <row r="63">
      <c r="K63" s="84" t="n"/>
    </row>
    <row r="64">
      <c r="K64" s="84" t="n"/>
    </row>
    <row r="65">
      <c r="K65" s="84" t="n"/>
    </row>
    <row r="66">
      <c r="K66" s="84" t="n"/>
    </row>
    <row r="67">
      <c r="K67" s="84" t="n"/>
    </row>
    <row r="68">
      <c r="K68" s="84" t="n"/>
    </row>
    <row r="69">
      <c r="K69" s="84" t="n"/>
    </row>
    <row r="70">
      <c r="K70" s="84" t="n"/>
    </row>
    <row r="71">
      <c r="K71" s="84" t="n"/>
    </row>
    <row r="72">
      <c r="K72" s="84" t="n"/>
    </row>
    <row r="73">
      <c r="K73" s="84" t="n"/>
    </row>
    <row r="74">
      <c r="K74" s="84" t="n"/>
    </row>
    <row r="75">
      <c r="K75" s="84" t="n"/>
    </row>
    <row r="76">
      <c r="K76" s="84" t="n"/>
    </row>
    <row r="77">
      <c r="K77" s="84" t="n"/>
    </row>
    <row r="78">
      <c r="K78" s="84" t="n"/>
    </row>
    <row r="79">
      <c r="K79" s="84" t="n"/>
    </row>
    <row r="80">
      <c r="K80" s="84" t="n"/>
    </row>
    <row r="81">
      <c r="K81" s="84" t="n"/>
    </row>
    <row r="82">
      <c r="K82" s="84" t="n"/>
    </row>
    <row r="83">
      <c r="K83" s="84" t="n"/>
    </row>
    <row r="84">
      <c r="K84" s="84" t="n"/>
    </row>
    <row r="85">
      <c r="K85" s="84" t="n"/>
    </row>
    <row r="86">
      <c r="K86" s="84" t="n"/>
    </row>
    <row r="87">
      <c r="K87" s="84" t="n"/>
    </row>
    <row r="88">
      <c r="K88" s="84" t="n"/>
    </row>
    <row r="89">
      <c r="K89" s="84" t="n"/>
    </row>
    <row r="90">
      <c r="K90" s="84" t="n"/>
    </row>
    <row r="91">
      <c r="K91" s="84" t="n"/>
    </row>
    <row r="92">
      <c r="K92" s="84" t="n"/>
    </row>
    <row r="93">
      <c r="K93" s="84" t="n"/>
    </row>
    <row r="94">
      <c r="K94" s="84" t="n"/>
    </row>
    <row r="95">
      <c r="K95" s="84" t="n"/>
    </row>
    <row r="96">
      <c r="K96" s="84" t="n"/>
    </row>
    <row r="97">
      <c r="K97" s="84" t="n"/>
    </row>
    <row r="98">
      <c r="K98" s="84" t="n"/>
    </row>
    <row r="99">
      <c r="K99" s="84" t="n"/>
    </row>
    <row r="100">
      <c r="K100" s="84" t="n"/>
    </row>
    <row r="101">
      <c r="K101" s="84" t="n"/>
    </row>
    <row r="102">
      <c r="K102" s="84" t="n"/>
    </row>
    <row r="103">
      <c r="K103" s="84" t="n"/>
    </row>
    <row r="104">
      <c r="K104" s="84" t="n"/>
    </row>
    <row r="105">
      <c r="K105" s="84" t="n"/>
    </row>
    <row r="106">
      <c r="K106" s="84" t="n"/>
    </row>
    <row r="107">
      <c r="K107" s="84" t="n"/>
    </row>
    <row r="108">
      <c r="K108" s="84" t="n"/>
    </row>
    <row r="109">
      <c r="K109" s="84" t="n"/>
    </row>
    <row r="110">
      <c r="K110" s="84" t="n"/>
    </row>
    <row r="111">
      <c r="K111" s="84" t="n"/>
    </row>
    <row r="112">
      <c r="K112" s="84" t="n"/>
    </row>
    <row r="113">
      <c r="K113" s="84" t="n"/>
    </row>
    <row r="114">
      <c r="K114" s="84" t="n"/>
    </row>
    <row r="115">
      <c r="K115" s="84" t="n"/>
    </row>
    <row r="116">
      <c r="K116" s="84" t="n"/>
    </row>
    <row r="117">
      <c r="K117" s="84" t="n"/>
    </row>
    <row r="118">
      <c r="K118" s="84" t="n"/>
    </row>
    <row r="119">
      <c r="K119" s="84" t="n"/>
    </row>
    <row r="120">
      <c r="K120" s="84" t="n"/>
    </row>
    <row r="121">
      <c r="K121" s="84" t="n"/>
    </row>
    <row r="122">
      <c r="K122" s="84" t="n"/>
    </row>
    <row r="123">
      <c r="K123" s="84" t="n"/>
    </row>
    <row r="124">
      <c r="K124" s="84" t="n"/>
    </row>
    <row r="125">
      <c r="K125" s="84" t="n"/>
    </row>
    <row r="126">
      <c r="K126" s="84" t="n"/>
    </row>
    <row r="127">
      <c r="K127" s="84" t="n"/>
    </row>
    <row r="128">
      <c r="K128" s="84" t="n"/>
    </row>
    <row r="129">
      <c r="K129" s="84" t="n"/>
    </row>
    <row r="130">
      <c r="K130" s="84" t="n"/>
    </row>
    <row r="131">
      <c r="K131" s="84" t="n"/>
    </row>
    <row r="132">
      <c r="K132" s="84" t="n"/>
    </row>
    <row r="133">
      <c r="K133" s="84" t="n"/>
    </row>
    <row r="134">
      <c r="K134" s="84" t="n"/>
    </row>
    <row r="135">
      <c r="K135" s="84" t="n"/>
    </row>
    <row r="136">
      <c r="K136" s="84" t="n"/>
    </row>
    <row r="137">
      <c r="K137" s="84" t="n"/>
    </row>
    <row r="138">
      <c r="K138" s="84" t="n"/>
    </row>
    <row r="139">
      <c r="K139" s="84" t="n"/>
    </row>
    <row r="140">
      <c r="K140" s="84" t="n"/>
    </row>
    <row r="141">
      <c r="K141" s="84" t="n"/>
    </row>
    <row r="142">
      <c r="K142" s="84" t="n"/>
    </row>
    <row r="143">
      <c r="K143" s="84" t="n"/>
    </row>
    <row r="144">
      <c r="K144" s="84" t="n"/>
    </row>
    <row r="145">
      <c r="K145" s="84" t="n"/>
    </row>
    <row r="146">
      <c r="K146" s="84" t="n"/>
    </row>
    <row r="147">
      <c r="K147" s="84" t="n"/>
    </row>
    <row r="148">
      <c r="K148" s="84" t="n"/>
    </row>
    <row r="149">
      <c r="K149" s="84" t="n"/>
    </row>
    <row r="150">
      <c r="K150" s="84" t="n"/>
    </row>
    <row r="151">
      <c r="K151" s="84" t="n"/>
    </row>
    <row r="152">
      <c r="K152" s="84" t="n"/>
    </row>
    <row r="153">
      <c r="K153" s="84" t="n"/>
    </row>
    <row r="154">
      <c r="K154" s="84" t="n"/>
    </row>
    <row r="155">
      <c r="K155" s="84" t="n"/>
    </row>
    <row r="156">
      <c r="K156" s="84" t="n"/>
    </row>
    <row r="157">
      <c r="K157" s="84" t="n"/>
    </row>
    <row r="158">
      <c r="K158" s="84" t="n"/>
    </row>
    <row r="159">
      <c r="K159" s="84" t="n"/>
    </row>
    <row r="160">
      <c r="K160" s="84" t="n"/>
    </row>
    <row r="161">
      <c r="K161" s="84" t="n"/>
    </row>
    <row r="162">
      <c r="K162" s="84" t="n"/>
    </row>
    <row r="163">
      <c r="K163" s="84" t="n"/>
    </row>
    <row r="164">
      <c r="K164" s="84" t="n"/>
    </row>
    <row r="165">
      <c r="K165" s="84" t="n"/>
    </row>
    <row r="166">
      <c r="K166" s="84" t="n"/>
    </row>
    <row r="167">
      <c r="K167" s="84" t="n"/>
    </row>
    <row r="168">
      <c r="K168" s="84" t="n"/>
    </row>
    <row r="169">
      <c r="K169" s="84" t="n"/>
    </row>
    <row r="170">
      <c r="K170" s="84" t="n"/>
    </row>
    <row r="171">
      <c r="K171" s="84" t="n"/>
    </row>
    <row r="172">
      <c r="K172" s="84" t="n"/>
    </row>
    <row r="173">
      <c r="K173" s="84" t="n"/>
    </row>
    <row r="174">
      <c r="K174" s="84" t="n"/>
    </row>
    <row r="175">
      <c r="K175" s="84" t="n"/>
    </row>
    <row r="176">
      <c r="K176" s="84" t="n"/>
    </row>
    <row r="177">
      <c r="K177" s="84" t="n"/>
    </row>
    <row r="178">
      <c r="K178" s="84" t="n"/>
    </row>
    <row r="179">
      <c r="K179" s="84" t="n"/>
    </row>
    <row r="180">
      <c r="K180" s="84" t="n"/>
    </row>
    <row r="181">
      <c r="K181" s="84" t="n"/>
    </row>
    <row r="182">
      <c r="K182" s="84" t="n"/>
    </row>
    <row r="183">
      <c r="K183" s="84" t="n"/>
    </row>
    <row r="184">
      <c r="K184" s="84" t="n"/>
    </row>
    <row r="185">
      <c r="K185" s="84" t="n"/>
    </row>
    <row r="186">
      <c r="K186" s="84" t="n"/>
    </row>
    <row r="187">
      <c r="K187" s="84" t="n"/>
    </row>
    <row r="188">
      <c r="K188" s="84" t="n"/>
    </row>
    <row r="189">
      <c r="K189" s="84" t="n"/>
    </row>
    <row r="190">
      <c r="K190" s="84" t="n"/>
    </row>
    <row r="191">
      <c r="K191" s="84" t="n"/>
    </row>
    <row r="192">
      <c r="K192" s="84" t="n"/>
    </row>
    <row r="193">
      <c r="K193" s="84" t="n"/>
    </row>
    <row r="194">
      <c r="K194" s="84" t="n"/>
    </row>
    <row r="195">
      <c r="K195" s="84" t="n"/>
    </row>
    <row r="196">
      <c r="K196" s="84" t="n"/>
    </row>
    <row r="197">
      <c r="K197" s="84" t="n"/>
    </row>
    <row r="198">
      <c r="K198" s="84" t="n"/>
    </row>
    <row r="199">
      <c r="K199" s="84" t="n"/>
    </row>
    <row r="200">
      <c r="K200" s="84" t="n"/>
    </row>
    <row r="201">
      <c r="K201" s="84" t="n"/>
    </row>
    <row r="202">
      <c r="K202" s="84" t="n"/>
    </row>
    <row r="203">
      <c r="K203" s="84" t="n"/>
    </row>
    <row r="204">
      <c r="K204" s="84" t="n"/>
    </row>
    <row r="205">
      <c r="K205" s="84" t="n"/>
    </row>
    <row r="206">
      <c r="K206" s="84" t="n"/>
    </row>
    <row r="207">
      <c r="K207" s="84" t="n"/>
    </row>
    <row r="208">
      <c r="K208" s="84" t="n"/>
    </row>
    <row r="209">
      <c r="K209" s="84" t="n"/>
    </row>
    <row r="210">
      <c r="K210" s="84" t="n"/>
    </row>
    <row r="211">
      <c r="K211" s="84" t="n"/>
    </row>
    <row r="212">
      <c r="K212" s="84" t="n"/>
    </row>
    <row r="213">
      <c r="K213" s="84" t="n"/>
    </row>
    <row r="214">
      <c r="K214" s="84" t="n"/>
    </row>
    <row r="215">
      <c r="K215" s="84" t="n"/>
    </row>
    <row r="216">
      <c r="K216" s="84" t="n"/>
    </row>
    <row r="217">
      <c r="K217" s="84" t="n"/>
    </row>
    <row r="218">
      <c r="K218" s="84" t="n"/>
    </row>
    <row r="219">
      <c r="K219" s="84" t="n"/>
    </row>
    <row r="220">
      <c r="K220" s="84" t="n"/>
    </row>
    <row r="221">
      <c r="K221" s="84" t="n"/>
    </row>
    <row r="222">
      <c r="K222" s="84" t="n"/>
    </row>
    <row r="223">
      <c r="K223" s="84" t="n"/>
    </row>
    <row r="224">
      <c r="K224" s="84" t="n"/>
    </row>
    <row r="225">
      <c r="K225" s="84" t="n"/>
    </row>
    <row r="226">
      <c r="K226" s="84" t="n"/>
    </row>
    <row r="227">
      <c r="K227" s="84" t="n"/>
    </row>
    <row r="228">
      <c r="K228" s="84" t="n"/>
    </row>
    <row r="229">
      <c r="K229" s="84" t="n"/>
    </row>
    <row r="230">
      <c r="K230" s="84" t="n"/>
    </row>
    <row r="231">
      <c r="K231" s="84" t="n"/>
    </row>
    <row r="232">
      <c r="K232" s="84" t="n"/>
    </row>
    <row r="233">
      <c r="K233" s="84" t="n"/>
    </row>
    <row r="234">
      <c r="K234" s="84" t="n"/>
    </row>
    <row r="235">
      <c r="K235" s="84" t="n"/>
    </row>
    <row r="236">
      <c r="K236" s="84" t="n"/>
    </row>
    <row r="237">
      <c r="K237" s="84" t="n"/>
    </row>
    <row r="238">
      <c r="K238" s="84" t="n"/>
    </row>
    <row r="239">
      <c r="K239" s="84" t="n"/>
    </row>
    <row r="240">
      <c r="K240" s="84" t="n"/>
    </row>
    <row r="241">
      <c r="K241" s="84" t="n"/>
    </row>
    <row r="242">
      <c r="K242" s="84" t="n"/>
    </row>
    <row r="243">
      <c r="K243" s="84" t="n"/>
    </row>
    <row r="244">
      <c r="K244" s="84" t="n"/>
    </row>
    <row r="245">
      <c r="K245" s="84" t="n"/>
    </row>
    <row r="246">
      <c r="K246" s="84" t="n"/>
    </row>
    <row r="247">
      <c r="K247" s="84" t="n"/>
    </row>
    <row r="248">
      <c r="K248" s="84" t="n"/>
    </row>
    <row r="249">
      <c r="K249" s="84" t="n"/>
    </row>
    <row r="250">
      <c r="K250" s="84" t="n"/>
    </row>
    <row r="251">
      <c r="K251" s="84" t="n"/>
    </row>
    <row r="252">
      <c r="K252" s="84" t="n"/>
    </row>
    <row r="253">
      <c r="K253" s="84" t="n"/>
    </row>
    <row r="254">
      <c r="K254" s="84" t="n"/>
    </row>
    <row r="255">
      <c r="K255" s="84" t="n"/>
    </row>
    <row r="256">
      <c r="K256" s="84" t="n"/>
    </row>
    <row r="257">
      <c r="K257" s="84" t="n"/>
    </row>
    <row r="258">
      <c r="K258" s="84" t="n"/>
    </row>
    <row r="259">
      <c r="K259" s="84" t="n"/>
    </row>
    <row r="260">
      <c r="K260" s="84" t="n"/>
    </row>
    <row r="261">
      <c r="K261" s="84" t="n"/>
    </row>
    <row r="262">
      <c r="K262" s="84" t="n"/>
    </row>
    <row r="263">
      <c r="K263" s="84" t="n"/>
    </row>
    <row r="264">
      <c r="K264" s="84" t="n"/>
    </row>
    <row r="265">
      <c r="K265" s="84" t="n"/>
    </row>
    <row r="266">
      <c r="K266" s="84" t="n"/>
    </row>
    <row r="267">
      <c r="K267" s="84" t="n"/>
    </row>
    <row r="268">
      <c r="K268" s="84" t="n"/>
    </row>
    <row r="269">
      <c r="K269" s="84" t="n"/>
    </row>
    <row r="270">
      <c r="K270" s="84" t="n"/>
    </row>
    <row r="271">
      <c r="K271" s="84" t="n"/>
    </row>
    <row r="272">
      <c r="K272" s="84" t="n"/>
    </row>
    <row r="273">
      <c r="K273" s="84" t="n"/>
    </row>
    <row r="274">
      <c r="K274" s="84" t="n"/>
    </row>
    <row r="275">
      <c r="K275" s="84" t="n"/>
    </row>
    <row r="276">
      <c r="K276" s="84" t="n"/>
    </row>
    <row r="277">
      <c r="K277" s="84" t="n"/>
    </row>
    <row r="278">
      <c r="K278" s="84" t="n"/>
    </row>
    <row r="279">
      <c r="K279" s="84" t="n"/>
    </row>
    <row r="280">
      <c r="K280" s="84" t="n"/>
    </row>
    <row r="281">
      <c r="K281" s="84" t="n"/>
    </row>
    <row r="282">
      <c r="K282" s="84" t="n"/>
    </row>
    <row r="283">
      <c r="K283" s="84" t="n"/>
    </row>
    <row r="284">
      <c r="K284" s="84" t="n"/>
    </row>
    <row r="285">
      <c r="K285" s="84" t="n"/>
    </row>
    <row r="286">
      <c r="K286" s="84" t="n"/>
    </row>
    <row r="287">
      <c r="K287" s="84" t="n"/>
    </row>
    <row r="288">
      <c r="K288" s="84" t="n"/>
    </row>
    <row r="289">
      <c r="K289" s="84" t="n"/>
    </row>
    <row r="290">
      <c r="K290" s="84" t="n"/>
    </row>
    <row r="291">
      <c r="K291" s="84" t="n"/>
    </row>
    <row r="292">
      <c r="K292" s="84" t="n"/>
    </row>
    <row r="293">
      <c r="K293" s="84" t="n"/>
    </row>
    <row r="294">
      <c r="K294" s="84" t="n"/>
    </row>
    <row r="295">
      <c r="K295" s="84" t="n"/>
    </row>
    <row r="296">
      <c r="K296" s="84" t="n"/>
    </row>
    <row r="297">
      <c r="K297" s="84" t="n"/>
    </row>
    <row r="298">
      <c r="K298" s="84" t="n"/>
    </row>
    <row r="299">
      <c r="K299" s="84" t="n"/>
    </row>
    <row r="300">
      <c r="K300" s="84" t="n"/>
    </row>
    <row r="301">
      <c r="K301" s="84" t="n"/>
    </row>
    <row r="302">
      <c r="K302" s="84" t="n"/>
    </row>
    <row r="303">
      <c r="K303" s="84" t="n"/>
    </row>
    <row r="304">
      <c r="K304" s="84" t="n"/>
    </row>
    <row r="305">
      <c r="K305" s="84" t="n"/>
    </row>
    <row r="306">
      <c r="K306" s="84" t="n"/>
    </row>
    <row r="307">
      <c r="K307" s="84" t="n"/>
    </row>
    <row r="308">
      <c r="K308" s="84" t="n"/>
    </row>
    <row r="309">
      <c r="K309" s="84" t="n"/>
    </row>
    <row r="310">
      <c r="K310" s="84" t="n"/>
    </row>
    <row r="311">
      <c r="K311" s="84" t="n"/>
    </row>
    <row r="312">
      <c r="K312" s="84" t="n"/>
    </row>
    <row r="313">
      <c r="K313" s="84" t="n"/>
    </row>
    <row r="314">
      <c r="K314" s="84" t="n"/>
    </row>
    <row r="315">
      <c r="K315" s="84" t="n"/>
    </row>
    <row r="316">
      <c r="K316" s="84" t="n"/>
    </row>
    <row r="317">
      <c r="K317" s="84" t="n"/>
    </row>
    <row r="318">
      <c r="K318" s="84" t="n"/>
    </row>
    <row r="319">
      <c r="K319" s="84" t="n"/>
    </row>
    <row r="320">
      <c r="K320" s="84" t="n"/>
    </row>
    <row r="321">
      <c r="K321" s="84" t="n"/>
    </row>
    <row r="322">
      <c r="K322" s="84" t="n"/>
    </row>
    <row r="323">
      <c r="K323" s="84" t="n"/>
    </row>
    <row r="324">
      <c r="K324" s="84" t="n"/>
    </row>
    <row r="325">
      <c r="K325" s="84" t="n"/>
    </row>
    <row r="326">
      <c r="K326" s="84" t="n"/>
    </row>
    <row r="327">
      <c r="K327" s="84" t="n"/>
    </row>
    <row r="328">
      <c r="K328" s="84" t="n"/>
    </row>
    <row r="329">
      <c r="K329" s="84" t="n"/>
    </row>
    <row r="330">
      <c r="K330" s="84" t="n"/>
    </row>
    <row r="331">
      <c r="K331" s="84" t="n"/>
    </row>
    <row r="332">
      <c r="K332" s="84" t="n"/>
    </row>
    <row r="333">
      <c r="K333" s="84" t="n"/>
    </row>
    <row r="334">
      <c r="K334" s="84" t="n"/>
    </row>
    <row r="335">
      <c r="K335" s="84" t="n"/>
    </row>
    <row r="336">
      <c r="K336" s="84" t="n"/>
    </row>
    <row r="337">
      <c r="K337" s="84" t="n"/>
    </row>
    <row r="338">
      <c r="K338" s="84" t="n"/>
    </row>
    <row r="339">
      <c r="K339" s="84" t="n"/>
    </row>
    <row r="340">
      <c r="K340" s="84" t="n"/>
    </row>
    <row r="341">
      <c r="K341" s="84" t="n"/>
    </row>
    <row r="342">
      <c r="K342" s="84" t="n"/>
    </row>
    <row r="343">
      <c r="K343" s="84" t="n"/>
    </row>
    <row r="344">
      <c r="K344" s="84" t="n"/>
    </row>
    <row r="345">
      <c r="K345" s="84" t="n"/>
    </row>
    <row r="346">
      <c r="K346" s="84" t="n"/>
    </row>
    <row r="347">
      <c r="K347" s="84" t="n"/>
    </row>
    <row r="348">
      <c r="K348" s="84" t="n"/>
    </row>
    <row r="349">
      <c r="K349" s="84" t="n"/>
    </row>
    <row r="350">
      <c r="K350" s="84" t="n"/>
    </row>
    <row r="351">
      <c r="K351" s="84" t="n"/>
    </row>
    <row r="352">
      <c r="K352" s="84" t="n"/>
    </row>
    <row r="353">
      <c r="K353" s="84" t="n"/>
    </row>
    <row r="354">
      <c r="K354" s="84" t="n"/>
    </row>
    <row r="355">
      <c r="K355" s="84" t="n"/>
    </row>
    <row r="356">
      <c r="K356" s="84" t="n"/>
    </row>
    <row r="357">
      <c r="K357" s="84" t="n"/>
    </row>
    <row r="358">
      <c r="K358" s="84" t="n"/>
    </row>
    <row r="359">
      <c r="K359" s="84" t="n"/>
    </row>
    <row r="360">
      <c r="K360" s="84" t="n"/>
    </row>
    <row r="361">
      <c r="K361" s="84" t="n"/>
    </row>
    <row r="362">
      <c r="K362" s="84" t="n"/>
    </row>
    <row r="363">
      <c r="K363" s="84" t="n"/>
    </row>
    <row r="364">
      <c r="K364" s="84" t="n"/>
    </row>
    <row r="365">
      <c r="K365" s="84" t="n"/>
    </row>
    <row r="366">
      <c r="K366" s="84" t="n"/>
    </row>
    <row r="367">
      <c r="K367" s="84" t="n"/>
    </row>
    <row r="368">
      <c r="K368" s="84" t="n"/>
    </row>
    <row r="369">
      <c r="K369" s="84" t="n"/>
    </row>
    <row r="370">
      <c r="K370" s="84" t="n"/>
    </row>
    <row r="371">
      <c r="K371" s="84" t="n"/>
    </row>
    <row r="372">
      <c r="K372" s="84" t="n"/>
    </row>
    <row r="373">
      <c r="K373" s="84" t="n"/>
    </row>
    <row r="374">
      <c r="K374" s="84" t="n"/>
    </row>
    <row r="375">
      <c r="K375" s="84" t="n"/>
    </row>
    <row r="376">
      <c r="K376" s="84" t="n"/>
    </row>
    <row r="377">
      <c r="K377" s="84" t="n"/>
    </row>
    <row r="378">
      <c r="K378" s="84" t="n"/>
    </row>
    <row r="379">
      <c r="K379" s="84" t="n"/>
    </row>
    <row r="380">
      <c r="K380" s="84" t="n"/>
    </row>
    <row r="381">
      <c r="K381" s="84" t="n"/>
    </row>
    <row r="382">
      <c r="K382" s="84" t="n"/>
    </row>
    <row r="383">
      <c r="K383" s="84" t="n"/>
    </row>
    <row r="384">
      <c r="K384" s="84" t="n"/>
    </row>
    <row r="385">
      <c r="K385" s="84" t="n"/>
    </row>
    <row r="386">
      <c r="K386" s="84" t="n"/>
    </row>
    <row r="387">
      <c r="K387" s="84" t="n"/>
    </row>
    <row r="388">
      <c r="K388" s="84" t="n"/>
    </row>
    <row r="389">
      <c r="K389" s="84" t="n"/>
    </row>
    <row r="390">
      <c r="K390" s="84" t="n"/>
    </row>
    <row r="391">
      <c r="K391" s="84" t="n"/>
    </row>
    <row r="392">
      <c r="K392" s="84" t="n"/>
    </row>
    <row r="393">
      <c r="K393" s="84" t="n"/>
    </row>
    <row r="394">
      <c r="K394" s="84" t="n"/>
    </row>
    <row r="395">
      <c r="K395" s="84" t="n"/>
    </row>
    <row r="396">
      <c r="K396" s="84" t="n"/>
    </row>
    <row r="397">
      <c r="K397" s="84" t="n"/>
    </row>
    <row r="398">
      <c r="K398" s="84" t="n"/>
    </row>
    <row r="399">
      <c r="K399" s="84" t="n"/>
    </row>
    <row r="400">
      <c r="K400" s="84" t="n"/>
    </row>
    <row r="401">
      <c r="K401" s="84" t="n"/>
    </row>
    <row r="402">
      <c r="K402" s="84" t="n"/>
    </row>
    <row r="403">
      <c r="K403" s="84" t="n"/>
    </row>
    <row r="404">
      <c r="K404" s="84" t="n"/>
    </row>
    <row r="405">
      <c r="K405" s="84" t="n"/>
    </row>
    <row r="406">
      <c r="K406" s="84" t="n"/>
    </row>
    <row r="407">
      <c r="K407" s="84" t="n"/>
    </row>
    <row r="408">
      <c r="K408" s="84" t="n"/>
    </row>
    <row r="409">
      <c r="K409" s="84" t="n"/>
    </row>
    <row r="410">
      <c r="K410" s="84" t="n"/>
    </row>
    <row r="411">
      <c r="K411" s="84" t="n"/>
    </row>
    <row r="412">
      <c r="K412" s="84" t="n"/>
    </row>
    <row r="413">
      <c r="K413" s="84" t="n"/>
    </row>
    <row r="414">
      <c r="K414" s="84" t="n"/>
    </row>
    <row r="415">
      <c r="K415" s="84" t="n"/>
    </row>
    <row r="416">
      <c r="K416" s="84" t="n"/>
    </row>
    <row r="417">
      <c r="K417" s="84" t="n"/>
    </row>
    <row r="418">
      <c r="K418" s="84" t="n"/>
    </row>
    <row r="419">
      <c r="K419" s="84" t="n"/>
    </row>
    <row r="420">
      <c r="K420" s="84" t="n"/>
    </row>
    <row r="421">
      <c r="K421" s="84" t="n"/>
    </row>
    <row r="422">
      <c r="K422" s="84" t="n"/>
    </row>
    <row r="423">
      <c r="K423" s="84" t="n"/>
    </row>
    <row r="424">
      <c r="K424" s="84" t="n"/>
    </row>
    <row r="425">
      <c r="K425" s="84" t="n"/>
    </row>
    <row r="426">
      <c r="K426" s="84" t="n"/>
    </row>
    <row r="427">
      <c r="K427" s="84" t="n"/>
    </row>
    <row r="428">
      <c r="K428" s="84" t="n"/>
    </row>
    <row r="429">
      <c r="K429" s="84" t="n"/>
    </row>
    <row r="430">
      <c r="K430" s="84" t="n"/>
    </row>
    <row r="431">
      <c r="K431" s="84" t="n"/>
    </row>
    <row r="432">
      <c r="K432" s="84" t="n"/>
    </row>
    <row r="433">
      <c r="K433" s="84" t="n"/>
    </row>
    <row r="434">
      <c r="K434" s="84" t="n"/>
    </row>
    <row r="435">
      <c r="K435" s="84" t="n"/>
    </row>
    <row r="436">
      <c r="K436" s="84" t="n"/>
    </row>
    <row r="437">
      <c r="K437" s="84" t="n"/>
    </row>
    <row r="438">
      <c r="K438" s="84" t="n"/>
    </row>
    <row r="439">
      <c r="K439" s="84" t="n"/>
    </row>
    <row r="440">
      <c r="K440" s="84" t="n"/>
    </row>
    <row r="441">
      <c r="K441" s="84" t="n"/>
    </row>
    <row r="442">
      <c r="K442" s="84" t="n"/>
    </row>
    <row r="443">
      <c r="K443" s="84" t="n"/>
    </row>
    <row r="444">
      <c r="K444" s="84" t="n"/>
    </row>
    <row r="445">
      <c r="K445" s="84" t="n"/>
    </row>
    <row r="446">
      <c r="K446" s="84" t="n"/>
    </row>
    <row r="447">
      <c r="K447" s="84" t="n"/>
    </row>
    <row r="448">
      <c r="K448" s="84" t="n"/>
    </row>
    <row r="449">
      <c r="K449" s="84" t="n"/>
    </row>
    <row r="450">
      <c r="K450" s="84" t="n"/>
    </row>
    <row r="451">
      <c r="K451" s="84" t="n"/>
    </row>
    <row r="452">
      <c r="K452" s="84" t="n"/>
    </row>
    <row r="453">
      <c r="K453" s="84" t="n"/>
    </row>
    <row r="454">
      <c r="K454" s="84" t="n"/>
    </row>
    <row r="455">
      <c r="K455" s="84" t="n"/>
    </row>
    <row r="456">
      <c r="K456" s="84" t="n"/>
    </row>
    <row r="457">
      <c r="K457" s="84" t="n"/>
    </row>
    <row r="458">
      <c r="K458" s="84" t="n"/>
    </row>
    <row r="459">
      <c r="K459" s="84" t="n"/>
    </row>
    <row r="460">
      <c r="K460" s="84" t="n"/>
    </row>
    <row r="461">
      <c r="K461" s="84" t="n"/>
    </row>
    <row r="462">
      <c r="K462" s="84" t="n"/>
    </row>
    <row r="463">
      <c r="K463" s="84" t="n"/>
    </row>
    <row r="464">
      <c r="K464" s="84" t="n"/>
    </row>
    <row r="465">
      <c r="K465" s="84" t="n"/>
    </row>
    <row r="466">
      <c r="K466" s="84" t="n"/>
    </row>
    <row r="467">
      <c r="K467" s="84" t="n"/>
    </row>
    <row r="468">
      <c r="K468" s="84" t="n"/>
    </row>
    <row r="469">
      <c r="K469" s="84" t="n"/>
    </row>
    <row r="470">
      <c r="K470" s="84" t="n"/>
    </row>
    <row r="471">
      <c r="K471" s="84" t="n"/>
    </row>
    <row r="472">
      <c r="K472" s="84" t="n"/>
    </row>
    <row r="473">
      <c r="K473" s="84" t="n"/>
    </row>
    <row r="474">
      <c r="K474" s="84" t="n"/>
    </row>
    <row r="475">
      <c r="K475" s="84" t="n"/>
    </row>
    <row r="476">
      <c r="K476" s="84" t="n"/>
    </row>
    <row r="477">
      <c r="K477" s="84" t="n"/>
    </row>
    <row r="478">
      <c r="K478" s="84" t="n"/>
    </row>
    <row r="479">
      <c r="K479" s="84" t="n"/>
    </row>
    <row r="480">
      <c r="K480" s="84" t="n"/>
    </row>
    <row r="481">
      <c r="K481" s="84" t="n"/>
    </row>
    <row r="482">
      <c r="K482" s="84" t="n"/>
    </row>
    <row r="483">
      <c r="K483" s="84" t="n"/>
    </row>
    <row r="484">
      <c r="K484" s="84" t="n"/>
    </row>
    <row r="485">
      <c r="K485" s="84" t="n"/>
    </row>
    <row r="486">
      <c r="K486" s="84" t="n"/>
    </row>
    <row r="487">
      <c r="K487" s="84" t="n"/>
    </row>
    <row r="488">
      <c r="K488" s="84" t="n"/>
    </row>
    <row r="489">
      <c r="K489" s="84" t="n"/>
    </row>
    <row r="490">
      <c r="K490" s="84" t="n"/>
    </row>
    <row r="491">
      <c r="K491" s="84" t="n"/>
    </row>
    <row r="492">
      <c r="K492" s="84" t="n"/>
    </row>
    <row r="493">
      <c r="K493" s="84" t="n"/>
    </row>
    <row r="494">
      <c r="K494" s="84" t="n"/>
    </row>
    <row r="495">
      <c r="K495" s="84" t="n"/>
    </row>
    <row r="496">
      <c r="K496" s="84" t="n"/>
    </row>
    <row r="497">
      <c r="K497" s="84" t="n"/>
    </row>
    <row r="498">
      <c r="K498" s="84" t="n"/>
    </row>
    <row r="499">
      <c r="K499" s="84" t="n"/>
    </row>
    <row r="500">
      <c r="K500" s="84" t="n"/>
    </row>
    <row r="501">
      <c r="K501" s="84" t="n"/>
    </row>
    <row r="502">
      <c r="K502" s="84" t="n"/>
    </row>
    <row r="503">
      <c r="K503" s="84" t="n"/>
    </row>
    <row r="504">
      <c r="K504" s="84" t="n"/>
    </row>
    <row r="505">
      <c r="K505" s="84" t="n"/>
    </row>
    <row r="506">
      <c r="K506" s="84" t="n"/>
    </row>
    <row r="507">
      <c r="K507" s="84" t="n"/>
    </row>
    <row r="508">
      <c r="K508" s="84" t="n"/>
    </row>
    <row r="509">
      <c r="K509" s="84" t="n"/>
    </row>
    <row r="510">
      <c r="K510" s="84" t="n"/>
    </row>
    <row r="511">
      <c r="K511" s="84" t="n"/>
    </row>
    <row r="512">
      <c r="K512" s="84" t="n"/>
    </row>
    <row r="513">
      <c r="K513" s="84" t="n"/>
    </row>
    <row r="514">
      <c r="K514" s="84" t="n"/>
    </row>
    <row r="515">
      <c r="K515" s="84" t="n"/>
    </row>
    <row r="516">
      <c r="K516" s="84" t="n"/>
    </row>
    <row r="517">
      <c r="K517" s="84" t="n"/>
    </row>
    <row r="518">
      <c r="K518" s="84" t="n"/>
    </row>
    <row r="519">
      <c r="K519" s="84" t="n"/>
    </row>
    <row r="520">
      <c r="K520" s="84" t="n"/>
    </row>
    <row r="521">
      <c r="K521" s="84" t="n"/>
    </row>
    <row r="522">
      <c r="K522" s="84" t="n"/>
    </row>
    <row r="523">
      <c r="K523" s="84" t="n"/>
    </row>
    <row r="524">
      <c r="K524" s="84" t="n"/>
    </row>
    <row r="525">
      <c r="K525" s="84" t="n"/>
    </row>
    <row r="526">
      <c r="K526" s="84" t="n"/>
    </row>
    <row r="527">
      <c r="K527" s="84" t="n"/>
    </row>
    <row r="528">
      <c r="K528" s="84" t="n"/>
    </row>
    <row r="529">
      <c r="K529" s="84" t="n"/>
    </row>
    <row r="530">
      <c r="K530" s="84" t="n"/>
    </row>
    <row r="531">
      <c r="K531" s="84" t="n"/>
    </row>
    <row r="532">
      <c r="K532" s="84" t="n"/>
    </row>
    <row r="533">
      <c r="K533" s="84" t="n"/>
    </row>
    <row r="534">
      <c r="K534" s="84" t="n"/>
    </row>
    <row r="535">
      <c r="K535" s="84" t="n"/>
    </row>
    <row r="536">
      <c r="K536" s="84" t="n"/>
    </row>
    <row r="537">
      <c r="K537" s="84" t="n"/>
    </row>
    <row r="538">
      <c r="K538" s="84" t="n"/>
    </row>
    <row r="539">
      <c r="K539" s="84" t="n"/>
    </row>
    <row r="540">
      <c r="K540" s="84" t="n"/>
    </row>
    <row r="541">
      <c r="K541" s="84" t="n"/>
    </row>
    <row r="542">
      <c r="K542" s="84" t="n"/>
    </row>
    <row r="543">
      <c r="K543" s="84" t="n"/>
    </row>
    <row r="544">
      <c r="K544" s="84" t="n"/>
    </row>
    <row r="545">
      <c r="K545" s="84" t="n"/>
    </row>
    <row r="546">
      <c r="K546" s="84" t="n"/>
    </row>
    <row r="547">
      <c r="K547" s="84" t="n"/>
    </row>
    <row r="548">
      <c r="K548" s="84" t="n"/>
    </row>
    <row r="549">
      <c r="K549" s="84" t="n"/>
    </row>
    <row r="550">
      <c r="K550" s="84" t="n"/>
    </row>
    <row r="551">
      <c r="K551" s="84" t="n"/>
    </row>
    <row r="552">
      <c r="K552" s="84" t="n"/>
    </row>
    <row r="553">
      <c r="K553" s="84" t="n"/>
    </row>
    <row r="554">
      <c r="K554" s="84" t="n"/>
    </row>
    <row r="555">
      <c r="K555" s="84" t="n"/>
    </row>
    <row r="556">
      <c r="K556" s="84" t="n"/>
    </row>
    <row r="557">
      <c r="K557" s="84" t="n"/>
    </row>
    <row r="558">
      <c r="K558" s="84" t="n"/>
    </row>
    <row r="559">
      <c r="K559" s="84" t="n"/>
    </row>
    <row r="560">
      <c r="K560" s="84" t="n"/>
    </row>
    <row r="561">
      <c r="K561" s="84" t="n"/>
    </row>
    <row r="562">
      <c r="K562" s="84" t="n"/>
    </row>
    <row r="563">
      <c r="K563" s="84" t="n"/>
    </row>
    <row r="564">
      <c r="K564" s="84" t="n"/>
    </row>
    <row r="565">
      <c r="K565" s="84" t="n"/>
    </row>
    <row r="566">
      <c r="K566" s="84" t="n"/>
    </row>
    <row r="567">
      <c r="K567" s="84" t="n"/>
    </row>
    <row r="568">
      <c r="K568" s="84" t="n"/>
    </row>
    <row r="569">
      <c r="K569" s="84" t="n"/>
    </row>
    <row r="570">
      <c r="K570" s="84" t="n"/>
    </row>
    <row r="571">
      <c r="K571" s="84" t="n"/>
    </row>
    <row r="572">
      <c r="K572" s="84" t="n"/>
    </row>
    <row r="573">
      <c r="K573" s="84" t="n"/>
    </row>
    <row r="574">
      <c r="K574" s="84" t="n"/>
    </row>
    <row r="575">
      <c r="K575" s="84" t="n"/>
    </row>
    <row r="576">
      <c r="K576" s="84" t="n"/>
    </row>
    <row r="577">
      <c r="K577" s="84" t="n"/>
    </row>
    <row r="578">
      <c r="K578" s="84" t="n"/>
    </row>
    <row r="579">
      <c r="K579" s="84" t="n"/>
    </row>
    <row r="580">
      <c r="K580" s="84" t="n"/>
    </row>
    <row r="581">
      <c r="K581" s="84" t="n"/>
    </row>
    <row r="582">
      <c r="K582" s="84" t="n"/>
    </row>
    <row r="583">
      <c r="K583" s="84" t="n"/>
    </row>
    <row r="584">
      <c r="K584" s="84" t="n"/>
    </row>
    <row r="585">
      <c r="K585" s="84" t="n"/>
    </row>
    <row r="586">
      <c r="K586" s="84" t="n"/>
    </row>
    <row r="587">
      <c r="K587" s="84" t="n"/>
    </row>
    <row r="588">
      <c r="K588" s="84" t="n"/>
    </row>
    <row r="589">
      <c r="K589" s="84" t="n"/>
    </row>
    <row r="590">
      <c r="K590" s="84" t="n"/>
    </row>
    <row r="591">
      <c r="K591" s="84" t="n"/>
    </row>
    <row r="592">
      <c r="K592" s="84" t="n"/>
    </row>
    <row r="593">
      <c r="K593" s="84" t="n"/>
    </row>
    <row r="594">
      <c r="K594" s="84" t="n"/>
    </row>
    <row r="595">
      <c r="K595" s="84" t="n"/>
    </row>
    <row r="596">
      <c r="K596" s="84" t="n"/>
    </row>
    <row r="597">
      <c r="K597" s="84" t="n"/>
    </row>
    <row r="598">
      <c r="K598" s="84" t="n"/>
    </row>
    <row r="599">
      <c r="K599" s="84" t="n"/>
    </row>
    <row r="600">
      <c r="K600" s="84" t="n"/>
    </row>
    <row r="601">
      <c r="K601" s="84" t="n"/>
    </row>
    <row r="602">
      <c r="K602" s="84" t="n"/>
    </row>
    <row r="603">
      <c r="K603" s="84" t="n"/>
    </row>
    <row r="604">
      <c r="K604" s="84" t="n"/>
    </row>
    <row r="605">
      <c r="K605" s="84" t="n"/>
    </row>
    <row r="606">
      <c r="K606" s="84" t="n"/>
    </row>
    <row r="607">
      <c r="K607" s="84" t="n"/>
    </row>
    <row r="608">
      <c r="K608" s="84" t="n"/>
    </row>
    <row r="609">
      <c r="K609" s="84" t="n"/>
    </row>
    <row r="610">
      <c r="K610" s="84" t="n"/>
    </row>
    <row r="611">
      <c r="K611" s="84" t="n"/>
    </row>
    <row r="612">
      <c r="K612" s="84" t="n"/>
    </row>
    <row r="613">
      <c r="K613" s="84" t="n"/>
    </row>
    <row r="614">
      <c r="K614" s="84" t="n"/>
    </row>
    <row r="615">
      <c r="K615" s="84" t="n"/>
    </row>
    <row r="616">
      <c r="K616" s="84" t="n"/>
    </row>
    <row r="617">
      <c r="K617" s="84" t="n"/>
    </row>
    <row r="618">
      <c r="K618" s="84" t="n"/>
    </row>
    <row r="619">
      <c r="K619" s="84" t="n"/>
    </row>
    <row r="620">
      <c r="K620" s="84" t="n"/>
    </row>
    <row r="621">
      <c r="K621" s="84" t="n"/>
    </row>
    <row r="622">
      <c r="K622" s="84" t="n"/>
    </row>
    <row r="623">
      <c r="K623" s="84" t="n"/>
    </row>
    <row r="624">
      <c r="K624" s="84" t="n"/>
    </row>
    <row r="625">
      <c r="K625" s="84" t="n"/>
    </row>
    <row r="626">
      <c r="K626" s="84" t="n"/>
    </row>
    <row r="627">
      <c r="K627" s="84" t="n"/>
    </row>
    <row r="628">
      <c r="K628" s="84" t="n"/>
    </row>
    <row r="629">
      <c r="K629" s="84" t="n"/>
    </row>
    <row r="630">
      <c r="K630" s="84" t="n"/>
    </row>
    <row r="631">
      <c r="K631" s="84" t="n"/>
    </row>
    <row r="632">
      <c r="K632" s="84" t="n"/>
    </row>
    <row r="633">
      <c r="K633" s="84" t="n"/>
    </row>
    <row r="634">
      <c r="K634" s="84" t="n"/>
    </row>
    <row r="635">
      <c r="K635" s="84" t="n"/>
    </row>
    <row r="636">
      <c r="K636" s="84" t="n"/>
    </row>
    <row r="637">
      <c r="K637" s="84" t="n"/>
    </row>
    <row r="638">
      <c r="K638" s="84" t="n"/>
    </row>
    <row r="639">
      <c r="K639" s="84" t="n"/>
    </row>
    <row r="640">
      <c r="K640" s="84" t="n"/>
    </row>
    <row r="641">
      <c r="K641" s="84" t="n"/>
    </row>
    <row r="642">
      <c r="K642" s="84" t="n"/>
    </row>
    <row r="643">
      <c r="K643" s="84" t="n"/>
    </row>
    <row r="644">
      <c r="K644" s="84" t="n"/>
    </row>
    <row r="645">
      <c r="K645" s="84" t="n"/>
    </row>
    <row r="646">
      <c r="K646" s="84" t="n"/>
    </row>
    <row r="647">
      <c r="K647" s="84" t="n"/>
    </row>
    <row r="648">
      <c r="K648" s="84" t="n"/>
    </row>
    <row r="649">
      <c r="K649" s="84" t="n"/>
    </row>
    <row r="650">
      <c r="K650" s="84" t="n"/>
    </row>
    <row r="651">
      <c r="K651" s="84" t="n"/>
    </row>
    <row r="652">
      <c r="K652" s="84" t="n"/>
    </row>
    <row r="653">
      <c r="K653" s="84" t="n"/>
    </row>
    <row r="654">
      <c r="K654" s="84" t="n"/>
    </row>
    <row r="655">
      <c r="K655" s="84" t="n"/>
    </row>
    <row r="656">
      <c r="K656" s="84" t="n"/>
    </row>
    <row r="657">
      <c r="K657" s="84" t="n"/>
    </row>
    <row r="658">
      <c r="K658" s="84" t="n"/>
    </row>
    <row r="659">
      <c r="K659" s="84" t="n"/>
    </row>
    <row r="660">
      <c r="K660" s="84" t="n"/>
    </row>
    <row r="661">
      <c r="K661" s="84" t="n"/>
    </row>
    <row r="662">
      <c r="K662" s="84" t="n"/>
    </row>
    <row r="663">
      <c r="K663" s="84" t="n"/>
    </row>
    <row r="664">
      <c r="K664" s="84" t="n"/>
    </row>
    <row r="665">
      <c r="K665" s="84" t="n"/>
    </row>
    <row r="666">
      <c r="K666" s="84" t="n"/>
    </row>
    <row r="667">
      <c r="K667" s="84" t="n"/>
    </row>
    <row r="668">
      <c r="K668" s="84" t="n"/>
    </row>
    <row r="669">
      <c r="K669" s="84" t="n"/>
    </row>
    <row r="670">
      <c r="K670" s="84" t="n"/>
    </row>
    <row r="671">
      <c r="K671" s="84" t="n"/>
    </row>
    <row r="672">
      <c r="K672" s="84" t="n"/>
    </row>
    <row r="673">
      <c r="K673" s="84" t="n"/>
    </row>
    <row r="674">
      <c r="K674" s="84" t="n"/>
    </row>
    <row r="675">
      <c r="K675" s="84" t="n"/>
    </row>
    <row r="676">
      <c r="K676" s="84" t="n"/>
    </row>
    <row r="677">
      <c r="K677" s="84" t="n"/>
    </row>
    <row r="678">
      <c r="K678" s="84" t="n"/>
    </row>
    <row r="679">
      <c r="K679" s="84" t="n"/>
    </row>
    <row r="680">
      <c r="K680" s="84" t="n"/>
    </row>
    <row r="681">
      <c r="K681" s="84" t="n"/>
    </row>
    <row r="682">
      <c r="K682" s="84" t="n"/>
    </row>
    <row r="683">
      <c r="K683" s="84" t="n"/>
    </row>
    <row r="684">
      <c r="K684" s="84" t="n"/>
    </row>
    <row r="685">
      <c r="K685" s="84" t="n"/>
    </row>
    <row r="686">
      <c r="K686" s="84" t="n"/>
    </row>
    <row r="687">
      <c r="K687" s="84" t="n"/>
    </row>
    <row r="688">
      <c r="K688" s="84" t="n"/>
    </row>
    <row r="689">
      <c r="K689" s="84" t="n"/>
    </row>
    <row r="690">
      <c r="K690" s="84" t="n"/>
    </row>
    <row r="691">
      <c r="K691" s="84" t="n"/>
    </row>
    <row r="692">
      <c r="K692" s="84" t="n"/>
    </row>
    <row r="693">
      <c r="K693" s="84" t="n"/>
    </row>
    <row r="694">
      <c r="K694" s="84" t="n"/>
    </row>
    <row r="695">
      <c r="K695" s="84" t="n"/>
    </row>
    <row r="696">
      <c r="K696" s="84" t="n"/>
    </row>
    <row r="697">
      <c r="K697" s="84" t="n"/>
    </row>
    <row r="698">
      <c r="K698" s="84" t="n"/>
    </row>
    <row r="699">
      <c r="K699" s="84" t="n"/>
    </row>
    <row r="700">
      <c r="K700" s="84" t="n"/>
    </row>
    <row r="701">
      <c r="K701" s="84" t="n"/>
    </row>
    <row r="702">
      <c r="K702" s="84" t="n"/>
    </row>
    <row r="703">
      <c r="K703" s="84" t="n"/>
    </row>
    <row r="704">
      <c r="K704" s="84" t="n"/>
    </row>
    <row r="705">
      <c r="K705" s="84" t="n"/>
    </row>
    <row r="706">
      <c r="K706" s="84" t="n"/>
    </row>
    <row r="707">
      <c r="K707" s="84" t="n"/>
    </row>
    <row r="708">
      <c r="K708" s="84" t="n"/>
    </row>
    <row r="709">
      <c r="K709" s="84" t="n"/>
    </row>
    <row r="710">
      <c r="K710" s="84" t="n"/>
    </row>
    <row r="711">
      <c r="K711" s="84" t="n"/>
    </row>
    <row r="712">
      <c r="K712" s="84" t="n"/>
    </row>
    <row r="713">
      <c r="K713" s="84" t="n"/>
    </row>
    <row r="714">
      <c r="K714" s="84" t="n"/>
    </row>
    <row r="715">
      <c r="K715" s="84" t="n"/>
    </row>
    <row r="716">
      <c r="K716" s="84" t="n"/>
    </row>
    <row r="717">
      <c r="K717" s="84" t="n"/>
    </row>
    <row r="718">
      <c r="K718" s="84" t="n"/>
    </row>
    <row r="719">
      <c r="K719" s="84" t="n"/>
    </row>
    <row r="720">
      <c r="K720" s="84" t="n"/>
    </row>
    <row r="721">
      <c r="K721" s="84" t="n"/>
    </row>
    <row r="722">
      <c r="K722" s="84" t="n"/>
    </row>
    <row r="723">
      <c r="K723" s="84" t="n"/>
    </row>
    <row r="724">
      <c r="K724" s="84" t="n"/>
    </row>
    <row r="725">
      <c r="K725" s="84" t="n"/>
    </row>
    <row r="726">
      <c r="K726" s="84" t="n"/>
    </row>
    <row r="727">
      <c r="K727" s="84" t="n"/>
    </row>
    <row r="728">
      <c r="K728" s="84" t="n"/>
    </row>
    <row r="729">
      <c r="K729" s="84" t="n"/>
    </row>
    <row r="730">
      <c r="K730" s="84" t="n"/>
    </row>
    <row r="731">
      <c r="K731" s="84" t="n"/>
    </row>
    <row r="732">
      <c r="K732" s="84" t="n"/>
    </row>
    <row r="733">
      <c r="K733" s="84" t="n"/>
    </row>
    <row r="734">
      <c r="K734" s="84" t="n"/>
    </row>
    <row r="735">
      <c r="K735" s="84" t="n"/>
    </row>
    <row r="736">
      <c r="K736" s="84" t="n"/>
    </row>
    <row r="737">
      <c r="K737" s="84" t="n"/>
    </row>
    <row r="738">
      <c r="K738" s="84" t="n"/>
    </row>
    <row r="739">
      <c r="K739" s="84" t="n"/>
    </row>
    <row r="740">
      <c r="K740" s="84" t="n"/>
    </row>
    <row r="741">
      <c r="K741" s="84" t="n"/>
    </row>
    <row r="742">
      <c r="K742" s="84" t="n"/>
    </row>
    <row r="743">
      <c r="K743" s="84" t="n"/>
    </row>
    <row r="744">
      <c r="K744" s="84" t="n"/>
    </row>
    <row r="745">
      <c r="K745" s="84" t="n"/>
    </row>
    <row r="746">
      <c r="K746" s="84" t="n"/>
    </row>
    <row r="747">
      <c r="K747" s="84" t="n"/>
    </row>
    <row r="748">
      <c r="K748" s="84" t="n"/>
    </row>
    <row r="749">
      <c r="K749" s="84" t="n"/>
    </row>
    <row r="750">
      <c r="K750" s="84" t="n"/>
    </row>
    <row r="751">
      <c r="K751" s="84" t="n"/>
    </row>
    <row r="752">
      <c r="K752" s="84" t="n"/>
    </row>
    <row r="753">
      <c r="K753" s="84" t="n"/>
    </row>
    <row r="754">
      <c r="K754" s="84" t="n"/>
    </row>
    <row r="755">
      <c r="K755" s="84" t="n"/>
    </row>
    <row r="756">
      <c r="K756" s="84" t="n"/>
    </row>
    <row r="757">
      <c r="K757" s="84" t="n"/>
    </row>
    <row r="758">
      <c r="K758" s="84" t="n"/>
    </row>
    <row r="759">
      <c r="K759" s="84" t="n"/>
    </row>
    <row r="760">
      <c r="K760" s="84" t="n"/>
    </row>
    <row r="761">
      <c r="K761" s="84" t="n"/>
    </row>
    <row r="762">
      <c r="K762" s="84" t="n"/>
    </row>
    <row r="763">
      <c r="K763" s="84" t="n"/>
    </row>
    <row r="764">
      <c r="K764" s="84" t="n"/>
    </row>
    <row r="765">
      <c r="K765" s="84" t="n"/>
    </row>
    <row r="766">
      <c r="K766" s="84" t="n"/>
    </row>
    <row r="767">
      <c r="K767" s="84" t="n"/>
    </row>
    <row r="768">
      <c r="K768" s="84" t="n"/>
    </row>
    <row r="769">
      <c r="K769" s="84" t="n"/>
    </row>
    <row r="770">
      <c r="K770" s="84" t="n"/>
    </row>
    <row r="771">
      <c r="K771" s="84" t="n"/>
    </row>
    <row r="772">
      <c r="K772" s="84" t="n"/>
    </row>
    <row r="773">
      <c r="K773" s="84" t="n"/>
    </row>
    <row r="774">
      <c r="K774" s="84" t="n"/>
    </row>
    <row r="775">
      <c r="K775" s="84" t="n"/>
    </row>
    <row r="776">
      <c r="K776" s="84" t="n"/>
    </row>
    <row r="777">
      <c r="K777" s="84" t="n"/>
    </row>
    <row r="778">
      <c r="K778" s="84" t="n"/>
    </row>
    <row r="779">
      <c r="K779" s="84" t="n"/>
    </row>
    <row r="780">
      <c r="K780" s="84" t="n"/>
    </row>
    <row r="781">
      <c r="K781" s="84" t="n"/>
    </row>
    <row r="782">
      <c r="K782" s="84" t="n"/>
    </row>
    <row r="783">
      <c r="K783" s="84" t="n"/>
    </row>
    <row r="784">
      <c r="K784" s="84" t="n"/>
    </row>
    <row r="785">
      <c r="K785" s="84" t="n"/>
    </row>
    <row r="786">
      <c r="K786" s="84" t="n"/>
    </row>
    <row r="787">
      <c r="K787" s="84" t="n"/>
    </row>
    <row r="788">
      <c r="K788" s="84" t="n"/>
    </row>
    <row r="789">
      <c r="K789" s="84" t="n"/>
    </row>
    <row r="790">
      <c r="K790" s="84" t="n"/>
    </row>
    <row r="791">
      <c r="K791" s="84" t="n"/>
    </row>
    <row r="792">
      <c r="K792" s="84" t="n"/>
    </row>
    <row r="793">
      <c r="K793" s="84" t="n"/>
    </row>
    <row r="794">
      <c r="K794" s="84" t="n"/>
    </row>
    <row r="795">
      <c r="K795" s="84" t="n"/>
    </row>
    <row r="796">
      <c r="K796" s="84" t="n"/>
    </row>
    <row r="797">
      <c r="K797" s="84" t="n"/>
    </row>
    <row r="798">
      <c r="K798" s="84" t="n"/>
    </row>
    <row r="799">
      <c r="K799" s="84" t="n"/>
    </row>
    <row r="800">
      <c r="K800" s="84" t="n"/>
    </row>
    <row r="801">
      <c r="K801" s="84" t="n"/>
    </row>
    <row r="802">
      <c r="K802" s="84" t="n"/>
    </row>
    <row r="803">
      <c r="K803" s="84" t="n"/>
    </row>
    <row r="804">
      <c r="K804" s="84" t="n"/>
    </row>
    <row r="805">
      <c r="K805" s="84" t="n"/>
    </row>
    <row r="806">
      <c r="K806" s="84" t="n"/>
    </row>
    <row r="807">
      <c r="K807" s="84" t="n"/>
    </row>
    <row r="808">
      <c r="K808" s="84" t="n"/>
    </row>
    <row r="809">
      <c r="K809" s="84" t="n"/>
    </row>
    <row r="810">
      <c r="K810" s="84" t="n"/>
    </row>
    <row r="811">
      <c r="K811" s="84" t="n"/>
    </row>
    <row r="812">
      <c r="K812" s="84" t="n"/>
    </row>
    <row r="813">
      <c r="K813" s="84" t="n"/>
    </row>
    <row r="814">
      <c r="K814" s="84" t="n"/>
    </row>
    <row r="815">
      <c r="K815" s="84" t="n"/>
    </row>
    <row r="816">
      <c r="K816" s="84" t="n"/>
    </row>
    <row r="817">
      <c r="K817" s="84" t="n"/>
    </row>
    <row r="818">
      <c r="K818" s="84" t="n"/>
    </row>
    <row r="819">
      <c r="K819" s="84" t="n"/>
    </row>
    <row r="820">
      <c r="K820" s="84" t="n"/>
    </row>
    <row r="821">
      <c r="K821" s="84" t="n"/>
    </row>
    <row r="822">
      <c r="K822" s="84" t="n"/>
    </row>
    <row r="823">
      <c r="K823" s="84" t="n"/>
    </row>
    <row r="824">
      <c r="K824" s="84" t="n"/>
    </row>
    <row r="825">
      <c r="K825" s="84" t="n"/>
    </row>
    <row r="826">
      <c r="K826" s="84" t="n"/>
    </row>
    <row r="827">
      <c r="K827" s="84" t="n"/>
    </row>
    <row r="828">
      <c r="K828" s="84" t="n"/>
    </row>
    <row r="829">
      <c r="K829" s="84" t="n"/>
    </row>
    <row r="830">
      <c r="K830" s="84" t="n"/>
    </row>
    <row r="831">
      <c r="K831" s="84" t="n"/>
    </row>
    <row r="832">
      <c r="K832" s="84" t="n"/>
    </row>
    <row r="833">
      <c r="K833" s="84" t="n"/>
    </row>
    <row r="834">
      <c r="K834" s="84" t="n"/>
    </row>
    <row r="835">
      <c r="K835" s="84" t="n"/>
    </row>
    <row r="836">
      <c r="K836" s="84" t="n"/>
    </row>
    <row r="837">
      <c r="K837" s="84" t="n"/>
    </row>
    <row r="838">
      <c r="K838" s="84" t="n"/>
    </row>
    <row r="839">
      <c r="K839" s="84" t="n"/>
    </row>
    <row r="840">
      <c r="K840" s="84" t="n"/>
    </row>
    <row r="841">
      <c r="K841" s="84" t="n"/>
    </row>
    <row r="842">
      <c r="K842" s="84" t="n"/>
    </row>
    <row r="843">
      <c r="K843" s="84" t="n"/>
    </row>
    <row r="844">
      <c r="K844" s="84" t="n"/>
    </row>
    <row r="845">
      <c r="K845" s="84" t="n"/>
    </row>
    <row r="846">
      <c r="K846" s="84" t="n"/>
    </row>
    <row r="847">
      <c r="K847" s="84" t="n"/>
    </row>
    <row r="848">
      <c r="K848" s="84" t="n"/>
    </row>
    <row r="849">
      <c r="K849" s="84" t="n"/>
    </row>
    <row r="850">
      <c r="K850" s="84" t="n"/>
    </row>
    <row r="851">
      <c r="K851" s="84" t="n"/>
    </row>
    <row r="852">
      <c r="K852" s="84" t="n"/>
    </row>
    <row r="853">
      <c r="K853" s="84" t="n"/>
    </row>
    <row r="854">
      <c r="K854" s="84" t="n"/>
    </row>
    <row r="855">
      <c r="K855" s="84" t="n"/>
    </row>
    <row r="856">
      <c r="K856" s="84" t="n"/>
    </row>
    <row r="857">
      <c r="K857" s="84" t="n"/>
    </row>
    <row r="858">
      <c r="K858" s="84" t="n"/>
    </row>
    <row r="859">
      <c r="K859" s="84" t="n"/>
    </row>
    <row r="860">
      <c r="K860" s="84" t="n"/>
    </row>
    <row r="861">
      <c r="K861" s="84" t="n"/>
    </row>
    <row r="862">
      <c r="K862" s="84" t="n"/>
    </row>
    <row r="863">
      <c r="K863" s="84" t="n"/>
    </row>
    <row r="864">
      <c r="K864" s="84" t="n"/>
    </row>
    <row r="865">
      <c r="K865" s="84" t="n"/>
    </row>
    <row r="866">
      <c r="K866" s="84" t="n"/>
    </row>
    <row r="867">
      <c r="K867" s="84" t="n"/>
    </row>
    <row r="868">
      <c r="K868" s="84" t="n"/>
    </row>
    <row r="869">
      <c r="K869" s="84" t="n"/>
    </row>
    <row r="870">
      <c r="K870" s="84" t="n"/>
    </row>
    <row r="871">
      <c r="K871" s="84" t="n"/>
    </row>
    <row r="872">
      <c r="K872" s="84" t="n"/>
    </row>
    <row r="873">
      <c r="K873" s="84" t="n"/>
    </row>
    <row r="874">
      <c r="K874" s="84" t="n"/>
    </row>
    <row r="875">
      <c r="K875" s="84" t="n"/>
    </row>
    <row r="876">
      <c r="K876" s="84" t="n"/>
    </row>
    <row r="877">
      <c r="K877" s="84" t="n"/>
    </row>
    <row r="878">
      <c r="K878" s="84" t="n"/>
    </row>
    <row r="879">
      <c r="K879" s="84" t="n"/>
    </row>
    <row r="880">
      <c r="K880" s="84" t="n"/>
    </row>
    <row r="881">
      <c r="K881" s="84" t="n"/>
    </row>
    <row r="882">
      <c r="K882" s="84" t="n"/>
    </row>
    <row r="883">
      <c r="K883" s="84" t="n"/>
    </row>
    <row r="884">
      <c r="K884" s="84" t="n"/>
    </row>
    <row r="885">
      <c r="K885" s="84" t="n"/>
    </row>
    <row r="886">
      <c r="K886" s="84" t="n"/>
    </row>
    <row r="887">
      <c r="K887" s="84" t="n"/>
    </row>
    <row r="888">
      <c r="K888" s="84" t="n"/>
    </row>
    <row r="889">
      <c r="K889" s="84" t="n"/>
    </row>
    <row r="890">
      <c r="K890" s="84" t="n"/>
    </row>
    <row r="891">
      <c r="K891" s="84" t="n"/>
    </row>
    <row r="892">
      <c r="K892" s="84" t="n"/>
    </row>
    <row r="893">
      <c r="K893" s="84" t="n"/>
    </row>
    <row r="894">
      <c r="K894" s="84" t="n"/>
    </row>
    <row r="895">
      <c r="K895" s="84" t="n"/>
    </row>
    <row r="896">
      <c r="K896" s="84" t="n"/>
    </row>
    <row r="897">
      <c r="K897" s="84" t="n"/>
    </row>
    <row r="898">
      <c r="K898" s="84" t="n"/>
    </row>
    <row r="899">
      <c r="K899" s="84" t="n"/>
    </row>
    <row r="900">
      <c r="K900" s="84" t="n"/>
    </row>
    <row r="901">
      <c r="K901" s="84" t="n"/>
    </row>
    <row r="902">
      <c r="K902" s="84" t="n"/>
    </row>
    <row r="903">
      <c r="K903" s="84" t="n"/>
    </row>
    <row r="904">
      <c r="K904" s="84" t="n"/>
    </row>
    <row r="905">
      <c r="K905" s="84" t="n"/>
    </row>
    <row r="906">
      <c r="K906" s="84" t="n"/>
    </row>
    <row r="907">
      <c r="K907" s="84" t="n"/>
    </row>
    <row r="908">
      <c r="K908" s="84" t="n"/>
    </row>
    <row r="909">
      <c r="K909" s="84" t="n"/>
    </row>
    <row r="910">
      <c r="K910" s="84" t="n"/>
    </row>
    <row r="911">
      <c r="K911" s="84" t="n"/>
    </row>
    <row r="912">
      <c r="K912" s="84" t="n"/>
    </row>
    <row r="913">
      <c r="K913" s="84" t="n"/>
    </row>
    <row r="914">
      <c r="K914" s="84" t="n"/>
    </row>
    <row r="915">
      <c r="K915" s="84" t="n"/>
    </row>
    <row r="916">
      <c r="K916" s="84" t="n"/>
    </row>
    <row r="917">
      <c r="K917" s="84" t="n"/>
    </row>
    <row r="918">
      <c r="K918" s="84" t="n"/>
    </row>
    <row r="919">
      <c r="K919" s="84" t="n"/>
    </row>
    <row r="920">
      <c r="K920" s="84" t="n"/>
    </row>
    <row r="921">
      <c r="K921" s="84" t="n"/>
    </row>
    <row r="922">
      <c r="K922" s="84" t="n"/>
    </row>
    <row r="923">
      <c r="K923" s="84" t="n"/>
    </row>
    <row r="924">
      <c r="K924" s="84" t="n"/>
    </row>
    <row r="925">
      <c r="K925" s="84" t="n"/>
    </row>
    <row r="926">
      <c r="K926" s="84" t="n"/>
    </row>
    <row r="927">
      <c r="K927" s="84" t="n"/>
    </row>
    <row r="928">
      <c r="K928" s="84" t="n"/>
    </row>
    <row r="929">
      <c r="K929" s="84" t="n"/>
    </row>
    <row r="930">
      <c r="K930" s="84" t="n"/>
    </row>
    <row r="931">
      <c r="K931" s="84" t="n"/>
    </row>
    <row r="932">
      <c r="K932" s="84" t="n"/>
    </row>
    <row r="933">
      <c r="K933" s="84" t="n"/>
    </row>
    <row r="934">
      <c r="K934" s="84" t="n"/>
    </row>
    <row r="935">
      <c r="K935" s="84" t="n"/>
    </row>
    <row r="936">
      <c r="K936" s="84" t="n"/>
    </row>
    <row r="937">
      <c r="K937" s="84" t="n"/>
    </row>
    <row r="938">
      <c r="K938" s="84" t="n"/>
    </row>
    <row r="939">
      <c r="K939" s="84" t="n"/>
    </row>
    <row r="940">
      <c r="K940" s="84" t="n"/>
    </row>
    <row r="941">
      <c r="K941" s="84" t="n"/>
    </row>
    <row r="942">
      <c r="K942" s="84" t="n"/>
    </row>
    <row r="943">
      <c r="K943" s="84" t="n"/>
    </row>
    <row r="944">
      <c r="K944" s="84" t="n"/>
    </row>
    <row r="945">
      <c r="K945" s="84" t="n"/>
    </row>
    <row r="946">
      <c r="K946" s="84" t="n"/>
    </row>
    <row r="947">
      <c r="K947" s="84" t="n"/>
    </row>
    <row r="948">
      <c r="K948" s="84" t="n"/>
    </row>
    <row r="949">
      <c r="K949" s="84" t="n"/>
    </row>
    <row r="950">
      <c r="K950" s="84" t="n"/>
    </row>
    <row r="951">
      <c r="K951" s="84" t="n"/>
    </row>
    <row r="952">
      <c r="K952" s="84" t="n"/>
    </row>
    <row r="953">
      <c r="K953" s="84" t="n"/>
    </row>
    <row r="954">
      <c r="K954" s="84" t="n"/>
    </row>
    <row r="955">
      <c r="K955" s="84" t="n"/>
    </row>
    <row r="956">
      <c r="K956" s="84" t="n"/>
    </row>
    <row r="957">
      <c r="K957" s="84" t="n"/>
    </row>
    <row r="958">
      <c r="K958" s="84" t="n"/>
    </row>
    <row r="959">
      <c r="K959" s="84" t="n"/>
    </row>
    <row r="960">
      <c r="K960" s="84" t="n"/>
    </row>
    <row r="961">
      <c r="K961" s="84" t="n"/>
    </row>
    <row r="962">
      <c r="K962" s="84" t="n"/>
    </row>
    <row r="963">
      <c r="K963" s="84" t="n"/>
    </row>
    <row r="964">
      <c r="K964" s="84" t="n"/>
    </row>
    <row r="965">
      <c r="K965" s="84" t="n"/>
    </row>
    <row r="966">
      <c r="K966" s="84" t="n"/>
    </row>
    <row r="967">
      <c r="K967" s="84" t="n"/>
    </row>
    <row r="968">
      <c r="K968" s="84" t="n"/>
    </row>
    <row r="969">
      <c r="K969" s="84" t="n"/>
    </row>
    <row r="970">
      <c r="K970" s="84" t="n"/>
    </row>
    <row r="971">
      <c r="K971" s="84" t="n"/>
    </row>
    <row r="972">
      <c r="K972" s="84" t="n"/>
    </row>
    <row r="973">
      <c r="K973" s="84" t="n"/>
    </row>
    <row r="974">
      <c r="K974" s="84" t="n"/>
    </row>
    <row r="975">
      <c r="K975" s="84" t="n"/>
    </row>
    <row r="976">
      <c r="K976" s="84" t="n"/>
    </row>
    <row r="977">
      <c r="K977" s="84" t="n"/>
    </row>
    <row r="978">
      <c r="K978" s="84" t="n"/>
    </row>
    <row r="979">
      <c r="K979" s="84" t="n"/>
    </row>
    <row r="980">
      <c r="K980" s="84" t="n"/>
    </row>
    <row r="981">
      <c r="K981" s="84" t="n"/>
    </row>
    <row r="982">
      <c r="K982" s="84" t="n"/>
    </row>
    <row r="983">
      <c r="K983" s="84" t="n"/>
    </row>
    <row r="984">
      <c r="K984" s="84" t="n"/>
    </row>
    <row r="985">
      <c r="K985" s="84" t="n"/>
    </row>
    <row r="986">
      <c r="K986" s="84" t="n"/>
    </row>
    <row r="987">
      <c r="K987" s="84" t="n"/>
    </row>
    <row r="988">
      <c r="K988" s="84" t="n"/>
    </row>
    <row r="989">
      <c r="K989" s="84" t="n"/>
    </row>
    <row r="990">
      <c r="K990" s="84" t="n"/>
    </row>
    <row r="991">
      <c r="K991" s="84" t="n"/>
    </row>
    <row r="992">
      <c r="K992" s="84" t="n"/>
    </row>
    <row r="993">
      <c r="K993" s="84" t="n"/>
    </row>
    <row r="994">
      <c r="K994" s="84" t="n"/>
    </row>
    <row r="995">
      <c r="K995" s="84" t="n"/>
    </row>
    <row r="996">
      <c r="K996" s="84" t="n"/>
    </row>
    <row r="997">
      <c r="K997" s="84" t="n"/>
    </row>
    <row r="998">
      <c r="K998" s="84" t="n"/>
    </row>
    <row r="999">
      <c r="K999" s="84" t="n"/>
    </row>
  </sheetData>
  <dataValidations count="1">
    <dataValidation sqref="L3:L16" showDropDown="0" showInputMessage="0" showErrorMessage="1" allowBlank="1" type="list">
      <formula1>"AMOR,JIMENA,MAYTE,ARI"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Y73"/>
  <sheetViews>
    <sheetView workbookViewId="0">
      <selection activeCell="A1" sqref="A1"/>
    </sheetView>
  </sheetViews>
  <sheetFormatPr baseColWidth="8" defaultColWidth="12.63" defaultRowHeight="15.75" customHeight="1"/>
  <cols>
    <col width="24.25" customWidth="1" style="118" min="1" max="1"/>
    <col width="16.13" customWidth="1" style="118" min="2" max="2"/>
    <col width="32.75" customWidth="1" style="118" min="12" max="12"/>
    <col width="41.13" customWidth="1" style="118" min="15" max="15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70" t="inlineStr">
        <is>
          <t>Duration （Formula）</t>
        </is>
      </c>
      <c r="K1" s="58" t="inlineStr">
        <is>
          <t>Start date</t>
        </is>
      </c>
      <c r="L1" s="71" t="inlineStr">
        <is>
          <t>HOST 1</t>
        </is>
      </c>
      <c r="M1" s="71" t="inlineStr">
        <is>
          <t xml:space="preserve">HOST 2 </t>
        </is>
      </c>
      <c r="N1" s="71" t="inlineStr">
        <is>
          <t>Operator</t>
        </is>
      </c>
    </row>
    <row r="2">
      <c r="A2" s="85" t="inlineStr">
        <is>
          <t>7640195392616844052</t>
        </is>
      </c>
      <c r="B2" s="85" t="inlineStr">
        <is>
          <t>starlan.perfumes</t>
        </is>
      </c>
      <c r="C2" s="85" t="inlineStr">
        <is>
          <t>MX</t>
        </is>
      </c>
      <c r="D2" s="87" t="n">
        <v>6507.88</v>
      </c>
      <c r="E2" s="40">
        <f>D2/1.16</f>
        <v/>
      </c>
      <c r="F2" s="87">
        <f>D2/4</f>
        <v/>
      </c>
      <c r="G2" s="40">
        <f>F2/1.16</f>
        <v/>
      </c>
      <c r="H2" s="87" t="n">
        <v>0</v>
      </c>
      <c r="I2" s="85" t="n">
        <v>4</v>
      </c>
      <c r="J2" s="89">
        <f>LET(dec, I2-INT(I2), IF(dec&lt;0.1, INT(I2), IF(dec&lt;=0.7, INT(I2)+0.5, INT(I2)+1)))</f>
        <v/>
      </c>
      <c r="K2" s="94" t="n">
        <v>46157</v>
      </c>
      <c r="L2" s="85" t="inlineStr">
        <is>
          <t>Emiliano</t>
        </is>
      </c>
      <c r="M2" s="85" t="n"/>
      <c r="N2" s="85" t="inlineStr">
        <is>
          <t>NAHOMI</t>
        </is>
      </c>
      <c r="O2" s="95" t="inlineStr">
        <is>
          <t>https://shop.tiktok.com/workbench/live/overview?room_id=7640195392616844052&amp;region=MX&amp;btm_ppre=a7207.b9503.c0.d0&amp;btm_pre=a7207.b7612.c0.d0&amp;btm_show_id=e54e0e08-7cb7-4867-bdd0-c301eae4effc</t>
        </is>
      </c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</row>
    <row r="3">
      <c r="A3" s="85" t="inlineStr">
        <is>
          <t>7641309173595376405</t>
        </is>
      </c>
      <c r="B3" s="85" t="inlineStr">
        <is>
          <t>starlan.perfumes</t>
        </is>
      </c>
      <c r="C3" s="85" t="inlineStr">
        <is>
          <t>MX</t>
        </is>
      </c>
      <c r="D3" s="87" t="n">
        <v>7464.64</v>
      </c>
      <c r="E3" s="40">
        <f>D3/1.16</f>
        <v/>
      </c>
      <c r="F3" s="87">
        <f>D3/4</f>
        <v/>
      </c>
      <c r="G3" s="40">
        <f>F3/1.16</f>
        <v/>
      </c>
      <c r="H3" s="87" t="n">
        <v>0</v>
      </c>
      <c r="I3" s="85" t="n">
        <v>4</v>
      </c>
      <c r="J3" s="89">
        <f>LET(dec, I3-INT(I3), IF(dec&lt;0.1, INT(I3), IF(dec&lt;=0.7, INT(I3)+0.5, INT(I3)+1)))</f>
        <v/>
      </c>
      <c r="K3" s="94" t="n">
        <v>46160</v>
      </c>
      <c r="L3" s="85" t="inlineStr">
        <is>
          <t>Emiliano</t>
        </is>
      </c>
      <c r="M3" s="85" t="n"/>
      <c r="N3" s="85" t="inlineStr">
        <is>
          <t>NAHOMI</t>
        </is>
      </c>
      <c r="O3" s="95" t="inlineStr">
        <is>
          <t>https://shop.tiktok.com/workbench/live/overview?room_id=7641309173595376405&amp;region=MX&amp;btm_ppre=a7207.b9503.c0.d0&amp;btm_pre=a7207.b7612.c0.d0&amp;btm_show_id=e54e0e08-7cb7-4867-bdd0-c301eae4effc</t>
        </is>
      </c>
      <c r="P3" s="85" t="n"/>
      <c r="Q3" s="85" t="n"/>
      <c r="R3" s="85" t="n"/>
      <c r="S3" s="85" t="n"/>
      <c r="T3" s="85" t="n"/>
      <c r="U3" s="85" t="n"/>
      <c r="V3" s="85" t="n"/>
      <c r="W3" s="85" t="n"/>
      <c r="X3" s="85" t="n"/>
      <c r="Y3" s="85" t="n"/>
    </row>
    <row r="4">
      <c r="A4" s="85" t="inlineStr">
        <is>
          <t>7641679861966523156</t>
        </is>
      </c>
      <c r="B4" s="85" t="inlineStr">
        <is>
          <t>starlan.perfumes</t>
        </is>
      </c>
      <c r="C4" s="85" t="inlineStr">
        <is>
          <t>MX</t>
        </is>
      </c>
      <c r="D4" s="87" t="n">
        <v>4977.01</v>
      </c>
      <c r="E4" s="40">
        <f>D4/1.16</f>
        <v/>
      </c>
      <c r="F4" s="87">
        <f>D4/4</f>
        <v/>
      </c>
      <c r="G4" s="40">
        <f>F4/1.16</f>
        <v/>
      </c>
      <c r="H4" s="87" t="n">
        <v>0</v>
      </c>
      <c r="I4" s="85" t="n">
        <v>4</v>
      </c>
      <c r="J4" s="89">
        <f>LET(dec, I4-INT(I4), IF(dec&lt;0.1, INT(I4), IF(dec&lt;=0.7, INT(I4)+0.5, INT(I4)+1)))</f>
        <v/>
      </c>
      <c r="K4" s="94" t="n">
        <v>46161</v>
      </c>
      <c r="L4" s="85" t="inlineStr">
        <is>
          <t>Emiliano</t>
        </is>
      </c>
      <c r="M4" s="85" t="n"/>
      <c r="N4" s="85" t="inlineStr">
        <is>
          <t>NAHOMI</t>
        </is>
      </c>
      <c r="O4" s="95" t="inlineStr">
        <is>
          <t>https://shop.tiktok.com/workbench/live/overview?room_id=7641679861966523156&amp;region=MX&amp;btm_ppre=a7207.b9503.c0.d0&amp;btm_pre=a7207.b7612.c0.d0&amp;btm_show_id=e54e0e08-7cb7-4867-bdd0-c301eae4effc</t>
        </is>
      </c>
      <c r="P4" s="85" t="n"/>
      <c r="Q4" s="85" t="n"/>
      <c r="R4" s="85" t="n"/>
      <c r="S4" s="85" t="n"/>
      <c r="T4" s="85" t="n"/>
      <c r="U4" s="85" t="n"/>
      <c r="V4" s="85" t="n"/>
      <c r="W4" s="85" t="n"/>
      <c r="X4" s="85" t="n"/>
      <c r="Y4" s="85" t="n"/>
    </row>
    <row r="5">
      <c r="A5" s="85" t="inlineStr">
        <is>
          <t>7642053246622305031</t>
        </is>
      </c>
      <c r="B5" s="85" t="inlineStr">
        <is>
          <t>starlan.perfumes</t>
        </is>
      </c>
      <c r="C5" s="85" t="inlineStr">
        <is>
          <t>MX</t>
        </is>
      </c>
      <c r="D5" s="87" t="n">
        <v>11937.5</v>
      </c>
      <c r="E5" s="40">
        <f>D5/1.16</f>
        <v/>
      </c>
      <c r="F5" s="87">
        <f>D5/4</f>
        <v/>
      </c>
      <c r="G5" s="40">
        <f>F5/1.16</f>
        <v/>
      </c>
      <c r="H5" s="87" t="n">
        <v>0</v>
      </c>
      <c r="I5" s="85" t="n">
        <v>4</v>
      </c>
      <c r="J5" s="89">
        <f>LET(dec, I5-INT(I5), IF(dec&lt;0.1, INT(I5), IF(dec&lt;=0.7, INT(I5)+0.5, INT(I5)+1)))</f>
        <v/>
      </c>
      <c r="K5" s="94" t="n">
        <v>46162</v>
      </c>
      <c r="L5" s="63" t="inlineStr">
        <is>
          <t>DANIEL host</t>
        </is>
      </c>
      <c r="M5" s="85" t="inlineStr">
        <is>
          <t>Emiliano</t>
        </is>
      </c>
      <c r="N5" s="85" t="inlineStr">
        <is>
          <t>NAHOMI</t>
        </is>
      </c>
      <c r="O5" s="95" t="inlineStr">
        <is>
          <t>https://shop.tiktok.com/workbench/live/overview?room_id=7642053246622305031&amp;region=MX&amp;btm_ppre=a7207.b9503.c0.d0&amp;btm_pre=a7207.b7612.c0.d0&amp;btm_show_id=e54e0e08-7cb7-4867-bdd0-c301eae4effc</t>
        </is>
      </c>
      <c r="P5" s="85" t="n"/>
      <c r="Q5" s="85" t="n"/>
      <c r="R5" s="85" t="n"/>
      <c r="S5" s="85" t="n"/>
      <c r="T5" s="85" t="n"/>
      <c r="U5" s="85" t="n"/>
      <c r="V5" s="85" t="n"/>
      <c r="W5" s="85" t="n"/>
      <c r="X5" s="85" t="n"/>
      <c r="Y5" s="85" t="n"/>
    </row>
    <row r="6">
      <c r="A6" s="85" t="inlineStr">
        <is>
          <t>7642792906604235528</t>
        </is>
      </c>
      <c r="B6" s="85" t="inlineStr">
        <is>
          <t>starlan.perfumes</t>
        </is>
      </c>
      <c r="C6" s="85" t="inlineStr">
        <is>
          <t>MX</t>
        </is>
      </c>
      <c r="D6" s="87" t="n">
        <v>6666.82</v>
      </c>
      <c r="E6" s="40">
        <f>D6/1.16</f>
        <v/>
      </c>
      <c r="F6" s="87">
        <f>D6/4</f>
        <v/>
      </c>
      <c r="G6" s="40">
        <f>F6/1.16</f>
        <v/>
      </c>
      <c r="H6" s="87" t="n">
        <v>0</v>
      </c>
      <c r="I6" s="85" t="n">
        <v>4</v>
      </c>
      <c r="J6" s="89">
        <f>LET(dec, I6-INT(I6), IF(dec&lt;0.1, INT(I6), IF(dec&lt;=0.7, INT(I6)+0.5, INT(I6)+1)))</f>
        <v/>
      </c>
      <c r="K6" s="94" t="n">
        <v>46164</v>
      </c>
      <c r="L6" s="63" t="inlineStr">
        <is>
          <t>DANIEL host</t>
        </is>
      </c>
      <c r="M6" s="85" t="n"/>
      <c r="N6" s="85" t="inlineStr">
        <is>
          <t>NAHOMI</t>
        </is>
      </c>
      <c r="O6" s="95" t="inlineStr">
        <is>
          <t>https://shop.tiktok.com/workbench/live?room_id=7642792906604235528&amp;region=MX&amp;btm_ppre=a7207.b9503.c0.d0&amp;btm_pre=a7207.b7612.c0.d0&amp;btm_show_id=e54e0e08-7cb7-4867-bdd0-c301eae4effc</t>
        </is>
      </c>
      <c r="P6" s="85" t="n"/>
      <c r="Q6" s="85" t="n"/>
      <c r="R6" s="85" t="n"/>
      <c r="S6" s="85" t="n"/>
      <c r="T6" s="85" t="n"/>
      <c r="U6" s="85" t="n"/>
      <c r="V6" s="85" t="n"/>
      <c r="W6" s="85" t="n"/>
      <c r="X6" s="85" t="n"/>
      <c r="Y6" s="85" t="n"/>
    </row>
    <row r="7">
      <c r="A7" s="85" t="inlineStr">
        <is>
          <t>7643535383417883400</t>
        </is>
      </c>
      <c r="B7" s="85" t="inlineStr">
        <is>
          <t>starlan.perfumes</t>
        </is>
      </c>
      <c r="C7" s="85" t="inlineStr">
        <is>
          <t>MX</t>
        </is>
      </c>
      <c r="D7" s="87" t="n">
        <v>6667.63</v>
      </c>
      <c r="E7" s="40">
        <f>D7/1.16</f>
        <v/>
      </c>
      <c r="F7" s="87">
        <f>D7/4</f>
        <v/>
      </c>
      <c r="G7" s="40">
        <f>F7/1.16</f>
        <v/>
      </c>
      <c r="H7" s="87" t="n">
        <v>0</v>
      </c>
      <c r="I7" s="85" t="n">
        <v>4</v>
      </c>
      <c r="J7" s="89">
        <f>LET(dec, I7-INT(I7), IF(dec&lt;0.1, INT(I7), IF(dec&lt;=0.7, INT(I7)+0.5, INT(I7)+1)))</f>
        <v/>
      </c>
      <c r="K7" s="94" t="n">
        <v>46166</v>
      </c>
      <c r="L7" s="85" t="inlineStr">
        <is>
          <t>Emiliano</t>
        </is>
      </c>
      <c r="M7" s="85" t="n"/>
      <c r="N7" s="85" t="inlineStr">
        <is>
          <t>NAHOMI</t>
        </is>
      </c>
      <c r="O7" s="95" t="inlineStr">
        <is>
          <t>https://shop.tiktok.com/workbench/live/overview?room_id=7642792906604235528&amp;region=MX&amp;btm_ppre=a7207.b9503.c0.d0&amp;btm_pre=a7207.b7612.c0.d0&amp;btm_show_id=e54e0e08-7cb7-4867-bdd0-c301eae4effc</t>
        </is>
      </c>
      <c r="P7" s="85" t="n"/>
      <c r="Q7" s="85" t="n"/>
      <c r="R7" s="85" t="n"/>
      <c r="S7" s="85" t="n"/>
      <c r="T7" s="85" t="n"/>
      <c r="U7" s="85" t="n"/>
      <c r="V7" s="85" t="n"/>
      <c r="W7" s="85" t="n"/>
      <c r="X7" s="85" t="n"/>
      <c r="Y7" s="85" t="n"/>
    </row>
    <row r="8">
      <c r="A8" s="85" t="inlineStr">
        <is>
          <t>7643906063466285832</t>
        </is>
      </c>
      <c r="B8" s="85" t="inlineStr">
        <is>
          <t>starlan.perfumes</t>
        </is>
      </c>
      <c r="C8" s="85" t="inlineStr">
        <is>
          <t>MX</t>
        </is>
      </c>
      <c r="D8" s="87" t="n">
        <v>19275.62</v>
      </c>
      <c r="E8" s="40">
        <f>D8/1.16</f>
        <v/>
      </c>
      <c r="F8" s="87">
        <f>D8/6</f>
        <v/>
      </c>
      <c r="G8" s="40">
        <f>F8/1.16</f>
        <v/>
      </c>
      <c r="H8" s="87" t="n">
        <v>0</v>
      </c>
      <c r="I8" s="85" t="n">
        <v>6</v>
      </c>
      <c r="J8" s="89">
        <f>LET(dec, I8-INT(I8), IF(dec&lt;0.1, INT(I8), IF(dec&lt;=0.7, INT(I8)+0.5, INT(I8)+1)))</f>
        <v/>
      </c>
      <c r="K8" s="94" t="n">
        <v>46167</v>
      </c>
      <c r="L8" s="85" t="inlineStr">
        <is>
          <t>Emiliano</t>
        </is>
      </c>
      <c r="M8" s="63" t="inlineStr">
        <is>
          <t>DANIEL host</t>
        </is>
      </c>
      <c r="N8" s="85" t="inlineStr">
        <is>
          <t>NAHOMI</t>
        </is>
      </c>
      <c r="O8" s="95" t="inlineStr">
        <is>
          <t>https://shop.tiktok.com/workbench/live/overview?room_id=7643906063466285832&amp;region=MX&amp;btm_ppre=a7207.b9503.c0.d0&amp;btm_pre=a7207.b7612.c0.d0&amp;btm_show_id=e54e0e08-7cb7-4867-bdd0-c301eae4effc</t>
        </is>
      </c>
      <c r="P8" s="85" t="n"/>
      <c r="Q8" s="85" t="n"/>
      <c r="R8" s="85" t="n"/>
      <c r="S8" s="85" t="n"/>
      <c r="T8" s="85" t="n"/>
      <c r="U8" s="85" t="n"/>
      <c r="V8" s="85" t="n"/>
      <c r="W8" s="85" t="n"/>
      <c r="X8" s="85" t="n"/>
      <c r="Y8" s="85" t="n"/>
    </row>
    <row r="9">
      <c r="A9" s="85" t="inlineStr">
        <is>
          <t>7644277282990738183</t>
        </is>
      </c>
      <c r="B9" s="85" t="inlineStr">
        <is>
          <t>starlan.perfumes</t>
        </is>
      </c>
      <c r="C9" s="85" t="inlineStr">
        <is>
          <t>MX</t>
        </is>
      </c>
      <c r="D9" s="87" t="n">
        <v>22183.1</v>
      </c>
      <c r="E9" s="40">
        <f>D9/1.16</f>
        <v/>
      </c>
      <c r="F9" s="87">
        <f>D9/6</f>
        <v/>
      </c>
      <c r="G9" s="40">
        <f>F9/1.16</f>
        <v/>
      </c>
      <c r="H9" s="87" t="n">
        <v>0</v>
      </c>
      <c r="I9" s="85" t="n">
        <v>6</v>
      </c>
      <c r="J9" s="89">
        <f>LET(dec, I9-INT(I9), IF(dec&lt;0.1, INT(I9), IF(dec&lt;=0.7, INT(I9)+0.5, INT(I9)+1)))</f>
        <v/>
      </c>
      <c r="K9" s="94" t="n">
        <v>46168</v>
      </c>
      <c r="L9" s="63" t="inlineStr">
        <is>
          <t>DANIEL host</t>
        </is>
      </c>
      <c r="M9" s="85" t="inlineStr">
        <is>
          <t>Emiliano</t>
        </is>
      </c>
      <c r="N9" s="85" t="inlineStr">
        <is>
          <t>NAHOMI</t>
        </is>
      </c>
      <c r="O9" s="95" t="inlineStr">
        <is>
          <t>https://shop.tiktok.com/workbench/live/overview?room_id=7644277282990738183&amp;region=MX&amp;btm_ppre=a7207.b9503.c0.d0&amp;btm_pre=a7207.b7612.c0.d0&amp;btm_show_id=e54e0e08-7cb7-4867-bdd0-c301eae4effc</t>
        </is>
      </c>
      <c r="P9" s="85" t="n"/>
      <c r="Q9" s="85" t="n"/>
      <c r="R9" s="85" t="n"/>
      <c r="S9" s="85" t="n"/>
      <c r="T9" s="85" t="n"/>
      <c r="U9" s="85" t="n"/>
      <c r="V9" s="85" t="n"/>
      <c r="W9" s="85" t="n"/>
      <c r="X9" s="85" t="n"/>
      <c r="Y9" s="85" t="n"/>
    </row>
    <row r="10">
      <c r="A10" s="85" t="inlineStr">
        <is>
          <t>7644648244324502280</t>
        </is>
      </c>
      <c r="B10" s="85" t="inlineStr">
        <is>
          <t>starlan.perfumes</t>
        </is>
      </c>
      <c r="C10" s="85" t="inlineStr">
        <is>
          <t>MX</t>
        </is>
      </c>
      <c r="D10" s="87" t="n">
        <v>16004.02</v>
      </c>
      <c r="E10" s="40">
        <f>D10/1.16</f>
        <v/>
      </c>
      <c r="F10" s="87">
        <f>D10/6</f>
        <v/>
      </c>
      <c r="G10" s="40">
        <f>F10/1.16</f>
        <v/>
      </c>
      <c r="H10" s="87" t="n">
        <v>0</v>
      </c>
      <c r="I10" s="85" t="n">
        <v>6</v>
      </c>
      <c r="J10" s="89">
        <f>LET(dec, I10-INT(I10), IF(dec&lt;0.1, INT(I10), IF(dec&lt;=0.7, INT(I10)+0.5, INT(I10)+1)))</f>
        <v/>
      </c>
      <c r="K10" s="94" t="n">
        <v>46169</v>
      </c>
      <c r="L10" s="85" t="inlineStr">
        <is>
          <t>Emiliano</t>
        </is>
      </c>
      <c r="M10" s="63" t="inlineStr">
        <is>
          <t>DANIEL</t>
        </is>
      </c>
      <c r="N10" s="85" t="inlineStr">
        <is>
          <t>NAHOMI</t>
        </is>
      </c>
      <c r="O10" s="95" t="inlineStr">
        <is>
          <t>https://shop.tiktok.com/workbench/live/overview?room_id=7644648244324502280&amp;region=MX&amp;btm_ppre=a7207.b9503.c0.d0&amp;btm_pre=a7207.b7612.c0.d0&amp;btm_show_id=e54e0e08-7cb7-4867-bdd0-c301eae4effc</t>
        </is>
      </c>
      <c r="P10" s="85" t="n"/>
      <c r="Q10" s="85" t="n"/>
      <c r="R10" s="85" t="n"/>
      <c r="S10" s="85" t="n"/>
      <c r="T10" s="85" t="n"/>
      <c r="U10" s="85" t="n"/>
      <c r="V10" s="85" t="n"/>
      <c r="W10" s="85" t="n"/>
      <c r="X10" s="85" t="n"/>
      <c r="Y10" s="85" t="n"/>
    </row>
    <row r="12">
      <c r="A12" s="2" t="inlineStr">
        <is>
          <t>check</t>
        </is>
      </c>
    </row>
    <row r="14">
      <c r="A14" s="7" t="inlineStr">
        <is>
          <t>Room ID</t>
        </is>
      </c>
      <c r="B14" s="7" t="inlineStr">
        <is>
          <t>TT Handle</t>
        </is>
      </c>
      <c r="C14" s="7" t="inlineStr">
        <is>
          <t>Country</t>
        </is>
      </c>
      <c r="D14" s="7" t="inlineStr">
        <is>
          <t>GMV</t>
        </is>
      </c>
      <c r="E14" s="7" t="inlineStr">
        <is>
          <t>GMV/sin EVA</t>
        </is>
      </c>
      <c r="F14" s="7" t="inlineStr">
        <is>
          <t>GMV PER HOUR</t>
        </is>
      </c>
      <c r="G14" s="7" t="inlineStr">
        <is>
          <t>GMV PER HOUR/sin EVA</t>
        </is>
      </c>
      <c r="H14" s="7" t="inlineStr">
        <is>
          <t>Ads Cost</t>
        </is>
      </c>
      <c r="I14" s="7" t="inlineStr">
        <is>
          <t>Duration (H)</t>
        </is>
      </c>
      <c r="J14" s="70" t="inlineStr">
        <is>
          <t>Duration （Formula）</t>
        </is>
      </c>
      <c r="K14" s="58" t="inlineStr">
        <is>
          <t>Start date</t>
        </is>
      </c>
      <c r="L14" s="71" t="inlineStr">
        <is>
          <t>HOST 1</t>
        </is>
      </c>
      <c r="M14" s="71" t="inlineStr">
        <is>
          <t xml:space="preserve">HOST 2 </t>
        </is>
      </c>
      <c r="N14" s="71" t="inlineStr">
        <is>
          <t>Operator</t>
        </is>
      </c>
    </row>
    <row r="15">
      <c r="A15" s="85" t="inlineStr">
        <is>
          <t>7645390091296295688</t>
        </is>
      </c>
      <c r="B15" s="85" t="inlineStr">
        <is>
          <t>starlan.perfumes</t>
        </is>
      </c>
      <c r="C15" s="85" t="inlineStr">
        <is>
          <t>MX</t>
        </is>
      </c>
      <c r="D15" s="87" t="n">
        <v>10046.86</v>
      </c>
      <c r="E15" s="40">
        <f>D15/1.16</f>
        <v/>
      </c>
      <c r="F15" s="87">
        <f>D15/J15</f>
        <v/>
      </c>
      <c r="G15" s="40">
        <f>F15/1.16</f>
        <v/>
      </c>
      <c r="H15" s="87" t="n">
        <v>0</v>
      </c>
      <c r="I15" s="99" t="n">
        <v>4</v>
      </c>
      <c r="J15" s="89">
        <f>LET(dec, I15-INT(I15), IF(dec&lt;0.1, INT(I15), IF(dec&lt;=0.7, INT(I15)+0.5, INT(I15)+1)))</f>
        <v/>
      </c>
      <c r="K15" s="94" t="n">
        <v>46171</v>
      </c>
      <c r="L15" s="85" t="inlineStr">
        <is>
          <t>Emiliano</t>
        </is>
      </c>
      <c r="M15" s="85" t="n"/>
      <c r="N15" s="85" t="inlineStr">
        <is>
          <t>NAHOMI</t>
        </is>
      </c>
    </row>
    <row r="16">
      <c r="A16" s="85" t="inlineStr">
        <is>
          <t>7646132565341997832</t>
        </is>
      </c>
      <c r="B16" s="85" t="inlineStr">
        <is>
          <t>starlan.perfumes</t>
        </is>
      </c>
      <c r="C16" s="85" t="inlineStr">
        <is>
          <t>MX</t>
        </is>
      </c>
      <c r="D16" s="87" t="n">
        <v>7048.59</v>
      </c>
      <c r="E16" s="40">
        <f>D16/1.16</f>
        <v/>
      </c>
      <c r="F16" s="87">
        <f>D16/J16</f>
        <v/>
      </c>
      <c r="G16" s="40">
        <f>F16/1.16</f>
        <v/>
      </c>
      <c r="H16" s="87" t="n">
        <v>0</v>
      </c>
      <c r="I16" s="99" t="n">
        <v>4</v>
      </c>
      <c r="J16" s="89">
        <f>LET(dec, I16-INT(I16), IF(dec&lt;0.1, INT(I16), IF(dec&lt;=0.7, INT(I16)+0.5, INT(I16)+1)))</f>
        <v/>
      </c>
      <c r="K16" s="94" t="n">
        <v>46173</v>
      </c>
      <c r="L16" s="85" t="inlineStr">
        <is>
          <t>Emiliano</t>
        </is>
      </c>
      <c r="M16" s="85" t="n"/>
      <c r="N16" s="85" t="inlineStr">
        <is>
          <t>NAHOMI</t>
        </is>
      </c>
    </row>
    <row r="17">
      <c r="A17" s="85" t="inlineStr">
        <is>
          <t>7646503789704252168</t>
        </is>
      </c>
      <c r="B17" s="85" t="inlineStr">
        <is>
          <t>starlan.perfumes</t>
        </is>
      </c>
      <c r="C17" s="85" t="inlineStr">
        <is>
          <t>MX</t>
        </is>
      </c>
      <c r="D17" s="87" t="n">
        <v>12406.49</v>
      </c>
      <c r="E17" s="40">
        <f>D17/1.16</f>
        <v/>
      </c>
      <c r="F17" s="87">
        <f>D17/J17</f>
        <v/>
      </c>
      <c r="G17" s="40">
        <f>F17/1.16</f>
        <v/>
      </c>
      <c r="H17" s="87" t="n">
        <v>0</v>
      </c>
      <c r="I17" s="99" t="n">
        <v>4</v>
      </c>
      <c r="J17" s="89">
        <f>LET(dec, I17-INT(I17), IF(dec&lt;0.1, INT(I17), IF(dec&lt;=0.7, INT(I17)+0.5, INT(I17)+1)))</f>
        <v/>
      </c>
      <c r="K17" s="94" t="n">
        <v>46174</v>
      </c>
      <c r="L17" s="85" t="inlineStr">
        <is>
          <t>Emiliano</t>
        </is>
      </c>
      <c r="M17" s="85" t="n"/>
      <c r="N17" s="85" t="inlineStr">
        <is>
          <t>NAHOMI</t>
        </is>
      </c>
    </row>
    <row r="18">
      <c r="A18" s="85" t="inlineStr">
        <is>
          <t>7646882246050499335</t>
        </is>
      </c>
      <c r="B18" s="85" t="inlineStr">
        <is>
          <t>starlan.perfumes</t>
        </is>
      </c>
      <c r="C18" s="85" t="inlineStr">
        <is>
          <t>MX</t>
        </is>
      </c>
      <c r="D18" s="87" t="n">
        <v>7530.02</v>
      </c>
      <c r="E18" s="40">
        <f>D18/1.16</f>
        <v/>
      </c>
      <c r="F18" s="87">
        <f>D18/J18</f>
        <v/>
      </c>
      <c r="G18" s="40">
        <f>F18/1.16</f>
        <v/>
      </c>
      <c r="H18" s="87" t="n">
        <v>0</v>
      </c>
      <c r="I18" s="99" t="n">
        <v>6</v>
      </c>
      <c r="J18" s="89">
        <f>LET(dec, I18-INT(I18), IF(dec&lt;0.1, INT(I18), IF(dec&lt;=0.7, INT(I18)+0.5, INT(I18)+1)))</f>
        <v/>
      </c>
      <c r="K18" s="94" t="n">
        <v>46175</v>
      </c>
      <c r="L18" s="85" t="inlineStr">
        <is>
          <t>Emiliano</t>
        </is>
      </c>
      <c r="M18" s="85" t="inlineStr">
        <is>
          <t>DANIEL host</t>
        </is>
      </c>
      <c r="N18" s="85" t="inlineStr">
        <is>
          <t>NAHOMI</t>
        </is>
      </c>
    </row>
    <row r="19">
      <c r="A19" s="85" t="inlineStr">
        <is>
          <t>7647988232306952968</t>
        </is>
      </c>
      <c r="B19" s="85" t="inlineStr">
        <is>
          <t>starlan.perfumes</t>
        </is>
      </c>
      <c r="C19" s="85" t="inlineStr">
        <is>
          <t>MX</t>
        </is>
      </c>
      <c r="D19" s="87" t="n">
        <v>10740.27</v>
      </c>
      <c r="E19" s="40">
        <f>D19/1.16</f>
        <v/>
      </c>
      <c r="F19" s="87">
        <f>D19/J19</f>
        <v/>
      </c>
      <c r="G19" s="40">
        <f>F19/1.16</f>
        <v/>
      </c>
      <c r="H19" s="87" t="n">
        <v>0</v>
      </c>
      <c r="I19" s="99" t="n">
        <v>4</v>
      </c>
      <c r="J19" s="89">
        <f>LET(dec, I19-INT(I19), IF(dec&lt;0.1, INT(I19), IF(dec&lt;=0.7, INT(I19)+0.5, INT(I19)+1)))</f>
        <v/>
      </c>
      <c r="K19" s="94" t="n">
        <v>46178</v>
      </c>
      <c r="L19" s="85" t="inlineStr">
        <is>
          <t>Emiliano</t>
        </is>
      </c>
      <c r="M19" s="85" t="n"/>
      <c r="N19" s="85" t="inlineStr">
        <is>
          <t>NAHOMI</t>
        </is>
      </c>
    </row>
    <row r="20">
      <c r="A20" s="85" t="inlineStr">
        <is>
          <t>7649101296871410439</t>
        </is>
      </c>
      <c r="B20" s="85" t="inlineStr">
        <is>
          <t>starlan.perfumes</t>
        </is>
      </c>
      <c r="C20" s="85" t="inlineStr">
        <is>
          <t>MX</t>
        </is>
      </c>
      <c r="D20" s="87" t="n">
        <v>9198.969999999999</v>
      </c>
      <c r="E20" s="40">
        <f>D20/1.16</f>
        <v/>
      </c>
      <c r="F20" s="87">
        <f>D20/J20</f>
        <v/>
      </c>
      <c r="G20" s="40">
        <f>F20/1.16</f>
        <v/>
      </c>
      <c r="H20" s="87" t="n">
        <v>0</v>
      </c>
      <c r="I20" s="99" t="n">
        <v>4</v>
      </c>
      <c r="J20" s="89">
        <f>LET(dec, I20-INT(I20), IF(dec&lt;0.1, INT(I20), IF(dec&lt;=0.7, INT(I20)+0.5, INT(I20)+1)))</f>
        <v/>
      </c>
      <c r="K20" s="94" t="n">
        <v>46181</v>
      </c>
      <c r="L20" s="85" t="inlineStr">
        <is>
          <t>Emiliano</t>
        </is>
      </c>
      <c r="M20" s="85" t="n"/>
      <c r="N20" s="85" t="inlineStr">
        <is>
          <t>NAHOMI</t>
        </is>
      </c>
    </row>
    <row r="21">
      <c r="A21" s="85" t="inlineStr">
        <is>
          <t>7650585640182778632</t>
        </is>
      </c>
      <c r="B21" s="85" t="inlineStr">
        <is>
          <t>starlan.perfumes</t>
        </is>
      </c>
      <c r="C21" s="85" t="inlineStr">
        <is>
          <t>MX</t>
        </is>
      </c>
      <c r="D21" s="87" t="n">
        <v>17390.57</v>
      </c>
      <c r="E21" s="40">
        <f>D21/1.16</f>
        <v/>
      </c>
      <c r="F21" s="87">
        <f>D21/J21</f>
        <v/>
      </c>
      <c r="G21" s="40">
        <f>F21/1.16</f>
        <v/>
      </c>
      <c r="H21" s="87" t="n">
        <v>0</v>
      </c>
      <c r="I21" s="99" t="n">
        <v>4</v>
      </c>
      <c r="J21" s="89">
        <f>LET(dec, I21-INT(I21), IF(dec&lt;0.1, INT(I21), IF(dec&lt;=0.7, INT(I21)+0.5, INT(I21)+1)))</f>
        <v/>
      </c>
      <c r="K21" s="94" t="n">
        <v>46185</v>
      </c>
      <c r="L21" s="85" t="inlineStr">
        <is>
          <t>Emiliano</t>
        </is>
      </c>
      <c r="M21" s="85" t="n"/>
      <c r="N21" s="85" t="inlineStr">
        <is>
          <t>NAHOMI</t>
        </is>
      </c>
    </row>
    <row r="22">
      <c r="A22" s="85" t="inlineStr">
        <is>
          <t>7651327801048058642</t>
        </is>
      </c>
      <c r="B22" s="85" t="inlineStr">
        <is>
          <t>starlan.perfumes</t>
        </is>
      </c>
      <c r="C22" s="85" t="inlineStr">
        <is>
          <t>MX</t>
        </is>
      </c>
      <c r="D22" s="87" t="n">
        <v>15207.67</v>
      </c>
      <c r="E22" s="40">
        <f>D22/1.16</f>
        <v/>
      </c>
      <c r="F22" s="87">
        <f>D22/J22</f>
        <v/>
      </c>
      <c r="G22" s="40">
        <f>F22/1.16</f>
        <v/>
      </c>
      <c r="H22" s="87" t="n">
        <v>2041.88</v>
      </c>
      <c r="I22" s="99" t="n">
        <v>3</v>
      </c>
      <c r="J22" s="89">
        <f>LET(dec, I22-INT(I22), IF(dec&lt;0.1, INT(I22), IF(dec&lt;=0.7, INT(I22)+0.5, INT(I22)+1)))</f>
        <v/>
      </c>
      <c r="K22" s="94" t="n">
        <v>46187</v>
      </c>
      <c r="L22" s="85" t="inlineStr">
        <is>
          <t>DANIEL host</t>
        </is>
      </c>
      <c r="M22" s="85" t="n"/>
      <c r="N22" s="85" t="inlineStr">
        <is>
          <t>NAHOMI</t>
        </is>
      </c>
    </row>
    <row r="23">
      <c r="A23" s="85" t="inlineStr">
        <is>
          <t>7651698800927197959</t>
        </is>
      </c>
      <c r="B23" s="85" t="inlineStr">
        <is>
          <t>starlan.perfumes</t>
        </is>
      </c>
      <c r="C23" s="85" t="inlineStr">
        <is>
          <t>MX</t>
        </is>
      </c>
      <c r="D23" s="87" t="n">
        <v>9419.32</v>
      </c>
      <c r="E23" s="40">
        <f>D23/1.16</f>
        <v/>
      </c>
      <c r="F23" s="87">
        <f>D23/J23</f>
        <v/>
      </c>
      <c r="G23" s="40">
        <f>F23/1.16</f>
        <v/>
      </c>
      <c r="H23" s="87" t="n">
        <v>2029.43</v>
      </c>
      <c r="I23" s="99" t="n">
        <v>6</v>
      </c>
      <c r="J23" s="89">
        <f>LET(dec, I23-INT(I23), IF(dec&lt;0.1, INT(I23), IF(dec&lt;=0.7, INT(I23)+0.5, INT(I23)+1)))</f>
        <v/>
      </c>
      <c r="K23" s="94" t="n">
        <v>46188</v>
      </c>
      <c r="L23" s="85" t="inlineStr">
        <is>
          <t>DANIEL host</t>
        </is>
      </c>
      <c r="M23" s="85" t="inlineStr">
        <is>
          <t>Emiliano</t>
        </is>
      </c>
      <c r="N23" s="85" t="inlineStr">
        <is>
          <t>NAHOMI</t>
        </is>
      </c>
    </row>
    <row r="24">
      <c r="A24" s="85" t="inlineStr">
        <is>
          <t>7652441072567618322</t>
        </is>
      </c>
      <c r="B24" s="85" t="inlineStr">
        <is>
          <t>starlan.perfumes</t>
        </is>
      </c>
      <c r="C24" s="85" t="inlineStr">
        <is>
          <t>MX</t>
        </is>
      </c>
      <c r="D24" s="87" t="n">
        <v>0</v>
      </c>
      <c r="E24" s="40">
        <f>D24/1.16</f>
        <v/>
      </c>
      <c r="F24" s="87" t="n">
        <v>0</v>
      </c>
      <c r="G24" s="40">
        <f>F24/1.16</f>
        <v/>
      </c>
      <c r="H24" s="87" t="n">
        <v>0</v>
      </c>
      <c r="I24" s="99" t="n">
        <v>0</v>
      </c>
      <c r="J24" s="89">
        <f>LET(dec, I24-INT(I24), IF(dec&lt;0.1, INT(I24), IF(dec&lt;=0.7, INT(I24)+0.5, INT(I24)+1)))</f>
        <v/>
      </c>
      <c r="K24" s="94" t="n">
        <v>46190</v>
      </c>
      <c r="L24" s="85" t="inlineStr">
        <is>
          <t>Emiliano</t>
        </is>
      </c>
      <c r="M24" s="85" t="n"/>
      <c r="N24" s="85" t="inlineStr">
        <is>
          <t>NAHOMI</t>
        </is>
      </c>
    </row>
    <row r="25">
      <c r="A25" s="85" t="inlineStr">
        <is>
          <t>7652441871914502930</t>
        </is>
      </c>
      <c r="B25" s="85" t="inlineStr">
        <is>
          <t>starlan.perfumes</t>
        </is>
      </c>
      <c r="C25" s="85" t="inlineStr">
        <is>
          <t>MX</t>
        </is>
      </c>
      <c r="D25" s="87" t="n">
        <v>2222.51</v>
      </c>
      <c r="E25" s="40">
        <f>D25/1.16</f>
        <v/>
      </c>
      <c r="F25" s="87">
        <f>D25/J25</f>
        <v/>
      </c>
      <c r="G25" s="40">
        <f>F25/1.16</f>
        <v/>
      </c>
      <c r="H25" s="87" t="n">
        <v>1906.52</v>
      </c>
      <c r="I25" s="99" t="n">
        <v>1</v>
      </c>
      <c r="J25" s="89">
        <f>LET(dec, I25-INT(I25), IF(dec&lt;0.1, INT(I25), IF(dec&lt;=0.7, INT(I25)+0.5, INT(I25)+1)))</f>
        <v/>
      </c>
      <c r="K25" s="94" t="n">
        <v>46190</v>
      </c>
      <c r="L25" s="85" t="inlineStr">
        <is>
          <t>Emiliano</t>
        </is>
      </c>
      <c r="M25" s="85" t="n"/>
      <c r="N25" s="85" t="inlineStr">
        <is>
          <t>NAHOMI</t>
        </is>
      </c>
    </row>
    <row r="26">
      <c r="A26" s="85" t="inlineStr">
        <is>
          <t>7652471873414007559</t>
        </is>
      </c>
      <c r="B26" s="85" t="inlineStr">
        <is>
          <t>starlan.perfumes</t>
        </is>
      </c>
      <c r="C26" s="85" t="inlineStr">
        <is>
          <t>MX</t>
        </is>
      </c>
      <c r="D26" s="87" t="n">
        <v>1371.45</v>
      </c>
      <c r="E26" s="40">
        <f>D26/1.16</f>
        <v/>
      </c>
      <c r="F26" s="87">
        <f>D26/J26</f>
        <v/>
      </c>
      <c r="G26" s="40">
        <f>F26/1.16</f>
        <v/>
      </c>
      <c r="H26" s="87" t="n">
        <v>129.42</v>
      </c>
      <c r="I26" s="99" t="n">
        <v>1</v>
      </c>
      <c r="J26" s="89">
        <f>LET(dec, I26-INT(I26), IF(dec&lt;0.1, INT(I26), IF(dec&lt;=0.7, INT(I26)+0.5, INT(I26)+1)))</f>
        <v/>
      </c>
      <c r="K26" s="94" t="n">
        <v>46190</v>
      </c>
      <c r="L26" s="85" t="inlineStr">
        <is>
          <t>Emiliano</t>
        </is>
      </c>
      <c r="M26" s="85" t="n"/>
      <c r="N26" s="85" t="inlineStr">
        <is>
          <t>NAHOMI</t>
        </is>
      </c>
    </row>
    <row r="27">
      <c r="A27" s="85" t="inlineStr">
        <is>
          <t>7653183714094746386</t>
        </is>
      </c>
      <c r="B27" s="85" t="inlineStr">
        <is>
          <t>starlan.perfumes</t>
        </is>
      </c>
      <c r="C27" s="85" t="inlineStr">
        <is>
          <t>MX</t>
        </is>
      </c>
      <c r="D27" s="87" t="n">
        <v>71828.99000000001</v>
      </c>
      <c r="E27" s="40">
        <f>D27/1.16</f>
        <v/>
      </c>
      <c r="F27" s="87">
        <f>D27/J27</f>
        <v/>
      </c>
      <c r="G27" s="40">
        <f>F27/1.16</f>
        <v/>
      </c>
      <c r="H27" s="87" t="n">
        <v>2025.43</v>
      </c>
      <c r="I27" s="99" t="n">
        <v>4</v>
      </c>
      <c r="J27" s="89">
        <f>LET(dec, I27-INT(I27), IF(dec&lt;0.1, INT(I27), IF(dec&lt;=0.7, INT(I27)+0.5, INT(I27)+1)))</f>
        <v/>
      </c>
      <c r="K27" s="94" t="n">
        <v>46192</v>
      </c>
      <c r="L27" s="85" t="inlineStr">
        <is>
          <t>DANIEL host</t>
        </is>
      </c>
      <c r="M27" s="85" t="n"/>
      <c r="N27" s="85" t="inlineStr">
        <is>
          <t>NAHOMI</t>
        </is>
      </c>
    </row>
    <row r="28">
      <c r="A28" s="85" t="inlineStr">
        <is>
          <t>7654296283658324744</t>
        </is>
      </c>
      <c r="B28" s="85" t="inlineStr">
        <is>
          <t>starlan.perfumes</t>
        </is>
      </c>
      <c r="C28" s="85" t="inlineStr">
        <is>
          <t>MX</t>
        </is>
      </c>
      <c r="D28" s="87" t="n">
        <v>18718.23</v>
      </c>
      <c r="E28" s="40">
        <f>D28/1.16</f>
        <v/>
      </c>
      <c r="F28" s="87">
        <f>D28/J28</f>
        <v/>
      </c>
      <c r="G28" s="40">
        <f>F28/1.16</f>
        <v/>
      </c>
      <c r="H28" s="87" t="n">
        <v>2021.09</v>
      </c>
      <c r="I28" s="99" t="n">
        <v>4</v>
      </c>
      <c r="J28" s="89">
        <f>LET(dec, I28-INT(I28), IF(dec&lt;0.1, INT(I28), IF(dec&lt;=0.7, INT(I28)+0.5, INT(I28)+1)))</f>
        <v/>
      </c>
      <c r="K28" s="94" t="n">
        <v>46195</v>
      </c>
      <c r="L28" s="85" t="inlineStr">
        <is>
          <t>DANIEL host</t>
        </is>
      </c>
      <c r="M28" s="85" t="n"/>
      <c r="N28" s="85" t="inlineStr">
        <is>
          <t>NAHOMI</t>
        </is>
      </c>
    </row>
    <row r="29">
      <c r="A29" s="85" t="inlineStr">
        <is>
          <t>7654667392987335442</t>
        </is>
      </c>
      <c r="B29" s="85" t="inlineStr">
        <is>
          <t>starlan.perfumes</t>
        </is>
      </c>
      <c r="C29" s="85" t="inlineStr">
        <is>
          <t>MX</t>
        </is>
      </c>
      <c r="D29" s="87" t="n">
        <v>8240.85</v>
      </c>
      <c r="E29" s="40">
        <f>D29/1.16</f>
        <v/>
      </c>
      <c r="F29" s="87">
        <f>D29/J29</f>
        <v/>
      </c>
      <c r="G29" s="40">
        <f>F29/1.16</f>
        <v/>
      </c>
      <c r="H29" s="87" t="n">
        <v>2018.84</v>
      </c>
      <c r="I29" s="99" t="n">
        <v>3</v>
      </c>
      <c r="J29" s="89">
        <f>LET(dec, I29-INT(I29), IF(dec&lt;0.1, INT(I29), IF(dec&lt;=0.7, INT(I29)+0.5, INT(I29)+1)))</f>
        <v/>
      </c>
      <c r="K29" s="94" t="n">
        <v>46196</v>
      </c>
      <c r="L29" s="85" t="inlineStr">
        <is>
          <t>Emiliano</t>
        </is>
      </c>
      <c r="M29" s="85" t="n"/>
      <c r="N29" s="85" t="inlineStr">
        <is>
          <t>NAHOMI</t>
        </is>
      </c>
    </row>
    <row r="30">
      <c r="A30" s="85" t="inlineStr">
        <is>
          <t>7654721551590886164</t>
        </is>
      </c>
      <c r="B30" s="85" t="inlineStr">
        <is>
          <t>starlan.perfumes</t>
        </is>
      </c>
      <c r="C30" s="85" t="inlineStr">
        <is>
          <t>MX</t>
        </is>
      </c>
      <c r="D30" s="87" t="n">
        <v>0</v>
      </c>
      <c r="E30" s="40">
        <f>D30/1.16</f>
        <v/>
      </c>
      <c r="F30" s="87" t="n">
        <v>0</v>
      </c>
      <c r="G30" s="40">
        <f>F30/1.16</f>
        <v/>
      </c>
      <c r="H30" s="87" t="n">
        <v>0</v>
      </c>
      <c r="I30" s="99" t="n">
        <v>0</v>
      </c>
      <c r="J30" s="89">
        <f>LET(dec, I30-INT(I30), IF(dec&lt;0.1, INT(I30), IF(dec&lt;=0.7, INT(I30)+0.5, INT(I30)+1)))</f>
        <v/>
      </c>
      <c r="K30" s="94" t="n">
        <v>46196</v>
      </c>
      <c r="L30" s="85" t="inlineStr">
        <is>
          <t>Emiliano</t>
        </is>
      </c>
      <c r="M30" s="85" t="n"/>
      <c r="N30" s="85" t="inlineStr">
        <is>
          <t>NAHOMI</t>
        </is>
      </c>
    </row>
    <row r="31">
      <c r="A31" s="85" t="inlineStr">
        <is>
          <t>7654721805120097044</t>
        </is>
      </c>
      <c r="B31" s="85" t="inlineStr">
        <is>
          <t>starlan.perfumes</t>
        </is>
      </c>
      <c r="C31" s="85" t="inlineStr">
        <is>
          <t>MX</t>
        </is>
      </c>
      <c r="D31" s="87" t="n">
        <v>1049.07</v>
      </c>
      <c r="E31" s="40">
        <f>D31/1.16</f>
        <v/>
      </c>
      <c r="F31" s="87">
        <f>D31/J31</f>
        <v/>
      </c>
      <c r="G31" s="40">
        <f>F31/1.16</f>
        <v/>
      </c>
      <c r="H31" s="87" t="n">
        <v>0.07000000000000001</v>
      </c>
      <c r="I31" s="99" t="n">
        <v>0.5</v>
      </c>
      <c r="J31" s="89">
        <f>LET(dec, I31-INT(I31), IF(dec&lt;0.1, INT(I31), IF(dec&lt;=0.7, INT(I31)+0.5, INT(I31)+1)))</f>
        <v/>
      </c>
      <c r="K31" s="94" t="n">
        <v>46196</v>
      </c>
      <c r="L31" s="85" t="inlineStr">
        <is>
          <t>Emiliano</t>
        </is>
      </c>
      <c r="M31" s="85" t="n"/>
      <c r="N31" s="85" t="inlineStr">
        <is>
          <t>NAHOMI</t>
        </is>
      </c>
    </row>
    <row r="32">
      <c r="A32" s="85" t="inlineStr">
        <is>
          <t>7655780936138738452</t>
        </is>
      </c>
      <c r="B32" s="85" t="inlineStr">
        <is>
          <t>starlan.perfumes</t>
        </is>
      </c>
      <c r="C32" s="85" t="inlineStr">
        <is>
          <t>MX</t>
        </is>
      </c>
      <c r="D32" s="87" t="n">
        <v>50841.34</v>
      </c>
      <c r="E32" s="40">
        <f>D32/1.16</f>
        <v/>
      </c>
      <c r="F32" s="87">
        <f>D32/J32</f>
        <v/>
      </c>
      <c r="G32" s="40">
        <f>F32/1.16</f>
        <v/>
      </c>
      <c r="H32" s="87" t="n">
        <v>1988.14</v>
      </c>
      <c r="I32" s="99" t="n">
        <v>4</v>
      </c>
      <c r="J32" s="89">
        <f>LET(dec, I32-INT(I32), IF(dec&lt;0.1, INT(I32), IF(dec&lt;=0.7, INT(I32)+0.5, INT(I32)+1)))</f>
        <v/>
      </c>
      <c r="K32" s="94" t="n">
        <v>46199</v>
      </c>
      <c r="L32" s="85" t="inlineStr">
        <is>
          <t>Emiliano</t>
        </is>
      </c>
      <c r="M32" s="85" t="n"/>
      <c r="N32" s="85" t="inlineStr">
        <is>
          <t>NAHOMI</t>
        </is>
      </c>
    </row>
    <row r="35">
      <c r="A35" s="7" t="inlineStr">
        <is>
          <t>Room ID</t>
        </is>
      </c>
      <c r="B35" s="7" t="inlineStr">
        <is>
          <t>TT Handle</t>
        </is>
      </c>
      <c r="C35" s="7" t="inlineStr">
        <is>
          <t>Country</t>
        </is>
      </c>
      <c r="D35" s="7" t="inlineStr">
        <is>
          <t>GMV</t>
        </is>
      </c>
      <c r="E35" s="7" t="inlineStr">
        <is>
          <t>GMV/sin EVA</t>
        </is>
      </c>
      <c r="F35" s="7" t="inlineStr">
        <is>
          <t>GMV PER HOUR</t>
        </is>
      </c>
      <c r="G35" s="7" t="inlineStr">
        <is>
          <t>GMV PER HOUR/sin EVA</t>
        </is>
      </c>
      <c r="H35" s="7" t="inlineStr">
        <is>
          <t>Ads Cost</t>
        </is>
      </c>
      <c r="I35" s="7" t="inlineStr">
        <is>
          <t>Duration (H)</t>
        </is>
      </c>
      <c r="J35" s="70" t="inlineStr">
        <is>
          <t>Duration （Formula）</t>
        </is>
      </c>
      <c r="K35" s="58" t="inlineStr">
        <is>
          <t>Start date</t>
        </is>
      </c>
      <c r="L35" s="71" t="inlineStr">
        <is>
          <t>HOST 1</t>
        </is>
      </c>
      <c r="M35" s="71" t="inlineStr">
        <is>
          <t xml:space="preserve">HOST 2 </t>
        </is>
      </c>
      <c r="N35" s="71" t="inlineStr">
        <is>
          <t>Operator</t>
        </is>
      </c>
    </row>
    <row r="36">
      <c r="A36" s="85" t="inlineStr">
        <is>
          <t>7656523253413841685</t>
        </is>
      </c>
      <c r="B36" s="85" t="inlineStr">
        <is>
          <t>starlan.perfumes</t>
        </is>
      </c>
      <c r="C36" s="85" t="inlineStr">
        <is>
          <t>MX</t>
        </is>
      </c>
      <c r="D36" s="87" t="n">
        <v>6016.62</v>
      </c>
      <c r="E36" s="40">
        <f>D36/1.16</f>
        <v/>
      </c>
      <c r="F36" s="87">
        <f>D36/J36</f>
        <v/>
      </c>
      <c r="G36" s="40">
        <f>F36/1.16</f>
        <v/>
      </c>
      <c r="H36" s="87" t="n">
        <v>1995.05</v>
      </c>
      <c r="I36" s="99" t="n">
        <v>6</v>
      </c>
      <c r="J36" s="89">
        <f>LET(dec, I36-INT(I36), IF(dec&lt;0.1, INT(I36), IF(dec&lt;=0.7, INT(I36)+0.5, INT(I36)+1)))</f>
        <v/>
      </c>
      <c r="K36" s="102" t="n">
        <v>46201</v>
      </c>
      <c r="L36" s="85" t="inlineStr">
        <is>
          <t>DANIEL host</t>
        </is>
      </c>
      <c r="M36" s="85" t="n"/>
      <c r="N36" s="85" t="inlineStr">
        <is>
          <t>MOISES</t>
        </is>
      </c>
    </row>
    <row r="37">
      <c r="A37" s="85" t="inlineStr">
        <is>
          <t>7656895756968987413</t>
        </is>
      </c>
      <c r="B37" s="85" t="inlineStr">
        <is>
          <t>starlan.perfumes</t>
        </is>
      </c>
      <c r="C37" s="85" t="inlineStr">
        <is>
          <t>MX</t>
        </is>
      </c>
      <c r="D37" s="87" t="n">
        <v>19112.2</v>
      </c>
      <c r="E37" s="40">
        <f>D37/1.16</f>
        <v/>
      </c>
      <c r="F37" s="87">
        <f>D37/J37</f>
        <v/>
      </c>
      <c r="G37" s="40">
        <f>F37/1.16</f>
        <v/>
      </c>
      <c r="H37" s="87" t="n">
        <v>1732.67</v>
      </c>
      <c r="I37" s="99" t="n">
        <v>4</v>
      </c>
      <c r="J37" s="89">
        <f>LET(dec, I37-INT(I37), IF(dec&lt;0.1, INT(I37), IF(dec&lt;=0.7, INT(I37)+0.5, INT(I37)+1)))</f>
        <v/>
      </c>
      <c r="K37" s="102" t="n">
        <v>46202</v>
      </c>
      <c r="L37" s="85" t="inlineStr">
        <is>
          <t>Emiliano</t>
        </is>
      </c>
      <c r="M37" s="85" t="n"/>
      <c r="N37" s="85" t="inlineStr">
        <is>
          <t>MOISES</t>
        </is>
      </c>
    </row>
    <row r="38">
      <c r="A38" s="85" t="inlineStr">
        <is>
          <t>7657637155112127253</t>
        </is>
      </c>
      <c r="B38" s="85" t="inlineStr">
        <is>
          <t>starlan.perfumes</t>
        </is>
      </c>
      <c r="C38" s="85" t="inlineStr">
        <is>
          <t>MX</t>
        </is>
      </c>
      <c r="D38" s="87" t="n">
        <v>17879.85</v>
      </c>
      <c r="E38" s="40">
        <f>D38/1.16</f>
        <v/>
      </c>
      <c r="F38" s="87">
        <f>D38/J38</f>
        <v/>
      </c>
      <c r="G38" s="40">
        <f>F38/1.16</f>
        <v/>
      </c>
      <c r="H38" s="87" t="n">
        <v>0</v>
      </c>
      <c r="I38" s="99" t="n">
        <v>4</v>
      </c>
      <c r="J38" s="89">
        <f>LET(dec, I38-INT(I38), IF(dec&lt;0.1, INT(I38), IF(dec&lt;=0.7, INT(I38)+0.5, INT(I38)+1)))</f>
        <v/>
      </c>
      <c r="K38" s="94" t="n">
        <v>46204</v>
      </c>
      <c r="L38" s="85" t="inlineStr">
        <is>
          <t>DANIEL host</t>
        </is>
      </c>
      <c r="M38" s="85" t="inlineStr">
        <is>
          <t>Emiliano</t>
        </is>
      </c>
      <c r="N38" s="85" t="inlineStr">
        <is>
          <t>MOISES</t>
        </is>
      </c>
    </row>
    <row r="39">
      <c r="A39" s="85" t="inlineStr">
        <is>
          <t>7658378540926667540</t>
        </is>
      </c>
      <c r="B39" s="85" t="inlineStr">
        <is>
          <t>starlan.perfumes</t>
        </is>
      </c>
      <c r="C39" s="85" t="inlineStr">
        <is>
          <t>MX</t>
        </is>
      </c>
      <c r="D39" s="87" t="n">
        <v>13124.21</v>
      </c>
      <c r="E39" s="40">
        <f>D39/1.16</f>
        <v/>
      </c>
      <c r="F39" s="87">
        <f>D39/J39</f>
        <v/>
      </c>
      <c r="G39" s="40">
        <f>F39/1.16</f>
        <v/>
      </c>
      <c r="H39" s="87" t="n">
        <v>0</v>
      </c>
      <c r="I39" s="99" t="n">
        <v>4</v>
      </c>
      <c r="J39" s="89">
        <f>LET(dec, I39-INT(I39), IF(dec&lt;0.1, INT(I39), IF(dec&lt;=0.7, INT(I39)+0.5, INT(I39)+1)))</f>
        <v/>
      </c>
      <c r="K39" s="94" t="n">
        <v>46206</v>
      </c>
      <c r="L39" s="85" t="inlineStr">
        <is>
          <t>DANIEL host</t>
        </is>
      </c>
      <c r="M39" s="85" t="n"/>
      <c r="N39" s="85" t="inlineStr">
        <is>
          <t>MOISES</t>
        </is>
      </c>
    </row>
    <row r="40">
      <c r="A40" s="85" t="inlineStr">
        <is>
          <t>7658749865820359444</t>
        </is>
      </c>
      <c r="B40" s="85" t="inlineStr">
        <is>
          <t>starlan.perfumes</t>
        </is>
      </c>
      <c r="C40" s="85" t="inlineStr">
        <is>
          <t>MX</t>
        </is>
      </c>
      <c r="D40" s="87" t="n">
        <v>19340.98</v>
      </c>
      <c r="E40" s="40">
        <f>D40/1.16</f>
        <v/>
      </c>
      <c r="F40" s="87">
        <f>D40/J40</f>
        <v/>
      </c>
      <c r="G40" s="40">
        <f>F40/1.16</f>
        <v/>
      </c>
      <c r="H40" s="87" t="n">
        <v>0</v>
      </c>
      <c r="I40" s="99" t="n">
        <v>4</v>
      </c>
      <c r="J40" s="89">
        <f>LET(dec, I40-INT(I40), IF(dec&lt;0.1, INT(I40), IF(dec&lt;=0.7, INT(I40)+0.5, INT(I40)+1)))</f>
        <v/>
      </c>
      <c r="K40" s="94" t="n">
        <v>46207</v>
      </c>
      <c r="L40" s="85" t="inlineStr">
        <is>
          <t>Emiliano</t>
        </is>
      </c>
      <c r="M40" s="85" t="n"/>
      <c r="N40" s="85" t="inlineStr">
        <is>
          <t>MOISES</t>
        </is>
      </c>
    </row>
    <row r="41">
      <c r="A41" s="85" t="inlineStr">
        <is>
          <t>7659491738960481045</t>
        </is>
      </c>
      <c r="B41" s="85" t="inlineStr">
        <is>
          <t>starlan.perfumes</t>
        </is>
      </c>
      <c r="C41" s="85" t="inlineStr">
        <is>
          <t>MX</t>
        </is>
      </c>
      <c r="D41" s="87" t="n">
        <v>10430.42</v>
      </c>
      <c r="E41" s="40">
        <f>D41/1.16</f>
        <v/>
      </c>
      <c r="F41" s="87">
        <f>D41/J41</f>
        <v/>
      </c>
      <c r="G41" s="40">
        <f>F41/1.16</f>
        <v/>
      </c>
      <c r="H41" s="87" t="n">
        <v>0</v>
      </c>
      <c r="I41" s="99" t="n">
        <v>4</v>
      </c>
      <c r="J41" s="89">
        <f>LET(dec, I41-INT(I41), IF(dec&lt;0.1, INT(I41), IF(dec&lt;=0.7, INT(I41)+0.5, INT(I41)+1)))</f>
        <v/>
      </c>
      <c r="K41" s="94" t="n">
        <v>46209</v>
      </c>
      <c r="L41" s="85" t="inlineStr">
        <is>
          <t>Emiliano</t>
        </is>
      </c>
      <c r="M41" s="85" t="n"/>
      <c r="N41" s="85" t="inlineStr">
        <is>
          <t>MOISES</t>
        </is>
      </c>
    </row>
    <row r="42">
      <c r="A42" s="85" t="inlineStr">
        <is>
          <t>7660234056478640916</t>
        </is>
      </c>
      <c r="B42" s="85" t="inlineStr">
        <is>
          <t>starlan.perfumes</t>
        </is>
      </c>
      <c r="C42" s="85" t="inlineStr">
        <is>
          <t>MX</t>
        </is>
      </c>
      <c r="D42" s="87" t="n">
        <v>4767</v>
      </c>
      <c r="E42" s="40">
        <f>D42/1.16</f>
        <v/>
      </c>
      <c r="F42" s="87">
        <f>D42/J42</f>
        <v/>
      </c>
      <c r="G42" s="40">
        <f>F42/1.16</f>
        <v/>
      </c>
      <c r="H42" s="87" t="n">
        <v>0</v>
      </c>
      <c r="I42" s="99" t="n">
        <v>4</v>
      </c>
      <c r="J42" s="89">
        <f>LET(dec, I42-INT(I42), IF(dec&lt;0.1, INT(I42), IF(dec&lt;=0.7, INT(I42)+0.5, INT(I42)+1)))</f>
        <v/>
      </c>
      <c r="K42" s="94" t="n">
        <v>46211</v>
      </c>
      <c r="L42" s="85" t="inlineStr">
        <is>
          <t>Emiliano</t>
        </is>
      </c>
      <c r="M42" s="85" t="n"/>
      <c r="N42" s="85" t="inlineStr">
        <is>
          <t>MOISES</t>
        </is>
      </c>
    </row>
    <row r="43">
      <c r="A43" s="85" t="inlineStr">
        <is>
          <t>7660976181714094868</t>
        </is>
      </c>
      <c r="B43" s="85" t="inlineStr">
        <is>
          <t>starlan.perfumes</t>
        </is>
      </c>
      <c r="C43" s="85" t="inlineStr">
        <is>
          <t>MX</t>
        </is>
      </c>
      <c r="D43" s="87" t="n">
        <v>10059.08</v>
      </c>
      <c r="E43" s="40">
        <f>D43/1.16</f>
        <v/>
      </c>
      <c r="F43" s="87">
        <f>D43/J43</f>
        <v/>
      </c>
      <c r="G43" s="40">
        <f>F43/1.16</f>
        <v/>
      </c>
      <c r="H43" s="87" t="n">
        <v>0</v>
      </c>
      <c r="I43" s="99" t="n">
        <v>6</v>
      </c>
      <c r="J43" s="89">
        <f>LET(dec, I43-INT(I43), IF(dec&lt;0.1, INT(I43), IF(dec&lt;=0.7, INT(I43)+0.5, INT(I43)+1)))</f>
        <v/>
      </c>
      <c r="K43" s="94" t="n">
        <v>46213</v>
      </c>
      <c r="L43" s="85" t="inlineStr">
        <is>
          <t>Emiliano</t>
        </is>
      </c>
      <c r="M43" s="85" t="n"/>
      <c r="N43" s="85" t="inlineStr">
        <is>
          <t>MOISES</t>
        </is>
      </c>
    </row>
    <row r="44">
      <c r="A44" s="85" t="inlineStr">
        <is>
          <t>7662089318952864519</t>
        </is>
      </c>
      <c r="B44" s="85" t="inlineStr">
        <is>
          <t>starlan.perfumes</t>
        </is>
      </c>
      <c r="C44" s="85" t="inlineStr">
        <is>
          <t>MX</t>
        </is>
      </c>
      <c r="D44" s="87" t="n">
        <v>5957.04</v>
      </c>
      <c r="E44" s="40">
        <f>D44/1.16</f>
        <v/>
      </c>
      <c r="F44" s="87">
        <f>D44/J44</f>
        <v/>
      </c>
      <c r="G44" s="40">
        <f>F44/1.16</f>
        <v/>
      </c>
      <c r="H44" s="87" t="n">
        <v>0</v>
      </c>
      <c r="I44" s="99" t="n">
        <v>4</v>
      </c>
      <c r="J44" s="89">
        <f>LET(dec, I44-INT(I44), IF(dec&lt;0.1, INT(I44), IF(dec&lt;=0.7, INT(I44)+0.5, INT(I44)+1)))</f>
        <v/>
      </c>
      <c r="K44" s="94" t="n">
        <v>46216</v>
      </c>
      <c r="L44" s="85" t="inlineStr">
        <is>
          <t>Emiliano</t>
        </is>
      </c>
      <c r="M44" s="85" t="n"/>
      <c r="N44" s="85" t="inlineStr">
        <is>
          <t>MOISES</t>
        </is>
      </c>
    </row>
    <row r="45">
      <c r="A45" s="85" t="inlineStr">
        <is>
          <t>7662831595778886407</t>
        </is>
      </c>
      <c r="B45" s="85" t="inlineStr">
        <is>
          <t>starlan.perfumes</t>
        </is>
      </c>
      <c r="C45" s="85" t="inlineStr">
        <is>
          <t>MX</t>
        </is>
      </c>
      <c r="D45" s="87" t="n">
        <v>9026.15</v>
      </c>
      <c r="E45" s="40">
        <f>D45/1.16</f>
        <v/>
      </c>
      <c r="F45" s="87">
        <f>D45/J45</f>
        <v/>
      </c>
      <c r="G45" s="40">
        <f>F45/1.16</f>
        <v/>
      </c>
      <c r="H45" s="87" t="n">
        <v>0</v>
      </c>
      <c r="I45" s="99" t="n">
        <v>6</v>
      </c>
      <c r="J45" s="89">
        <f>LET(dec, I45-INT(I45), IF(dec&lt;0.1, INT(I45), IF(dec&lt;=0.7, INT(I45)+0.5, INT(I45)+1)))</f>
        <v/>
      </c>
      <c r="K45" s="94" t="n">
        <v>46218</v>
      </c>
      <c r="L45" s="85" t="inlineStr">
        <is>
          <t>Emiliano</t>
        </is>
      </c>
      <c r="M45" s="85" t="n"/>
      <c r="N45" s="85" t="inlineStr">
        <is>
          <t>MOISES</t>
        </is>
      </c>
    </row>
    <row r="46">
      <c r="A46" s="85" t="inlineStr">
        <is>
          <t>7663573730462878482</t>
        </is>
      </c>
      <c r="B46" s="85" t="inlineStr">
        <is>
          <t>starlan.perfumes</t>
        </is>
      </c>
      <c r="C46" s="85" t="inlineStr">
        <is>
          <t>MX</t>
        </is>
      </c>
      <c r="D46" s="87" t="n">
        <v>12785.42</v>
      </c>
      <c r="E46" s="40">
        <f>D46/1.16</f>
        <v/>
      </c>
      <c r="F46" s="87">
        <f>D46/J46</f>
        <v/>
      </c>
      <c r="G46" s="40">
        <f>F46/1.16</f>
        <v/>
      </c>
      <c r="H46" s="87" t="n">
        <v>0</v>
      </c>
      <c r="I46" s="99" t="n">
        <v>4</v>
      </c>
      <c r="J46" s="89">
        <f>LET(dec, I46-INT(I46), IF(dec&lt;0.1, INT(I46), IF(dec&lt;=0.7, INT(I46)+0.5, INT(I46)+1)))</f>
        <v/>
      </c>
      <c r="K46" s="94" t="n">
        <v>46220</v>
      </c>
      <c r="L46" s="85" t="inlineStr">
        <is>
          <t>Emiliano</t>
        </is>
      </c>
      <c r="M46" s="85" t="n"/>
      <c r="N46" s="85" t="inlineStr">
        <is>
          <t>MOISES</t>
        </is>
      </c>
    </row>
    <row r="47">
      <c r="A47" s="85" t="inlineStr">
        <is>
          <t>7664687408599943956</t>
        </is>
      </c>
      <c r="B47" s="85" t="inlineStr">
        <is>
          <t>starlan.perfumes</t>
        </is>
      </c>
      <c r="C47" s="85" t="inlineStr">
        <is>
          <t>MX</t>
        </is>
      </c>
      <c r="D47" s="87" t="n">
        <v>5161.01</v>
      </c>
      <c r="E47" s="40">
        <f>D47/1.16</f>
        <v/>
      </c>
      <c r="F47" s="87">
        <f>D47/J47</f>
        <v/>
      </c>
      <c r="G47" s="40">
        <f>F47/1.16</f>
        <v/>
      </c>
      <c r="H47" s="87" t="n">
        <v>0</v>
      </c>
      <c r="I47" s="99" t="n">
        <v>4</v>
      </c>
      <c r="J47" s="89">
        <f>LET(dec, I47-INT(I47), IF(dec&lt;0.1, INT(I47), IF(dec&lt;=0.7, INT(I47)+0.5, INT(I47)+1)))</f>
        <v/>
      </c>
      <c r="K47" s="94" t="n">
        <v>46223</v>
      </c>
      <c r="L47" s="85" t="inlineStr">
        <is>
          <t>Emiliano</t>
        </is>
      </c>
      <c r="M47" s="85" t="n"/>
      <c r="N47" s="85" t="inlineStr">
        <is>
          <t>MOISES</t>
        </is>
      </c>
    </row>
    <row r="48">
      <c r="A48" s="85" t="inlineStr">
        <is>
          <t>7665429226434169620</t>
        </is>
      </c>
      <c r="B48" s="85" t="inlineStr">
        <is>
          <t>starlan.perfumes</t>
        </is>
      </c>
      <c r="C48" s="85" t="inlineStr">
        <is>
          <t>MX</t>
        </is>
      </c>
      <c r="D48" s="87" t="n">
        <v>4865.03</v>
      </c>
      <c r="E48" s="40">
        <f>D48/1.16</f>
        <v/>
      </c>
      <c r="F48" s="87">
        <f>D48/J48</f>
        <v/>
      </c>
      <c r="G48" s="40">
        <f>F48/1.16</f>
        <v/>
      </c>
      <c r="H48" s="87" t="n">
        <v>0</v>
      </c>
      <c r="I48" s="99" t="n">
        <v>4</v>
      </c>
      <c r="J48" s="89">
        <f>LET(dec, I48-INT(I48), IF(dec&lt;0.1, INT(I48), IF(dec&lt;=0.7, INT(I48)+0.5, INT(I48)+1)))</f>
        <v/>
      </c>
      <c r="K48" s="94" t="n">
        <v>46225</v>
      </c>
      <c r="L48" s="85" t="inlineStr">
        <is>
          <t>Emiliano</t>
        </is>
      </c>
      <c r="M48" s="85" t="n"/>
      <c r="N48" s="85" t="inlineStr">
        <is>
          <t>MOISES</t>
        </is>
      </c>
    </row>
    <row r="50">
      <c r="A50" s="7" t="inlineStr">
        <is>
          <t>Room ID</t>
        </is>
      </c>
      <c r="B50" s="7" t="inlineStr">
        <is>
          <t>TT Handle</t>
        </is>
      </c>
      <c r="C50" s="7" t="inlineStr">
        <is>
          <t>Country</t>
        </is>
      </c>
      <c r="D50" s="7" t="inlineStr">
        <is>
          <t>GMV</t>
        </is>
      </c>
      <c r="E50" s="7" t="inlineStr">
        <is>
          <t>GMV/sin EVA</t>
        </is>
      </c>
      <c r="F50" s="7" t="inlineStr">
        <is>
          <t>GMV PER HOUR</t>
        </is>
      </c>
      <c r="G50" s="7" t="inlineStr">
        <is>
          <t>GMV PER HOUR/sin EVA</t>
        </is>
      </c>
      <c r="H50" s="7" t="inlineStr">
        <is>
          <t>Ads Cost</t>
        </is>
      </c>
      <c r="I50" s="7" t="inlineStr">
        <is>
          <t>Duration (H)</t>
        </is>
      </c>
      <c r="J50" s="70" t="inlineStr">
        <is>
          <t>Duration （Formula）</t>
        </is>
      </c>
      <c r="K50" s="58" t="inlineStr">
        <is>
          <t>Start date</t>
        </is>
      </c>
      <c r="L50" s="71" t="inlineStr">
        <is>
          <t>HOST 1</t>
        </is>
      </c>
      <c r="M50" s="71" t="inlineStr">
        <is>
          <t xml:space="preserve">HOST 2 </t>
        </is>
      </c>
      <c r="N50" s="71" t="inlineStr">
        <is>
          <t>Operator</t>
        </is>
      </c>
    </row>
    <row r="51">
      <c r="A51" s="85" t="inlineStr">
        <is>
          <t>7680644747186391829</t>
        </is>
      </c>
      <c r="B51" s="85" t="inlineStr">
        <is>
          <t>starlan.perfumes</t>
        </is>
      </c>
      <c r="C51" s="85" t="inlineStr">
        <is>
          <t>MX</t>
        </is>
      </c>
      <c r="D51" s="87" t="n">
        <v>3097</v>
      </c>
      <c r="E51" s="40">
        <f>D51/1.16</f>
        <v/>
      </c>
      <c r="F51" s="87">
        <f>D51/J51</f>
        <v/>
      </c>
      <c r="G51" s="40">
        <f>F51/1.16</f>
        <v/>
      </c>
      <c r="H51" s="87" t="n">
        <v>0</v>
      </c>
      <c r="I51" s="99" t="n">
        <v>4.02</v>
      </c>
      <c r="J51" s="89">
        <f>LET(dec, I51-INT(I51), IF(dec&lt;0.1, INT(I51), IF(dec&lt;=0.7, INT(I51)+0.5, INT(I51)+1)))</f>
        <v/>
      </c>
      <c r="K51" s="94" t="n">
        <v>46266</v>
      </c>
      <c r="L51" s="85" t="inlineStr">
        <is>
          <t>Ricardo Adrián Barrera Cruz</t>
        </is>
      </c>
      <c r="M51" s="85" t="n"/>
      <c r="N51" s="85" t="inlineStr">
        <is>
          <t>MOISES</t>
        </is>
      </c>
    </row>
    <row r="52">
      <c r="A52" s="85" t="inlineStr">
        <is>
          <t>7681385780717669128</t>
        </is>
      </c>
      <c r="B52" s="85" t="inlineStr">
        <is>
          <t>starlan.perfumes</t>
        </is>
      </c>
      <c r="C52" s="85" t="inlineStr">
        <is>
          <t>MX</t>
        </is>
      </c>
      <c r="D52" s="87" t="n">
        <v>6844</v>
      </c>
      <c r="E52" s="40">
        <f>D52/1.16</f>
        <v/>
      </c>
      <c r="F52" s="87">
        <f>D52/J52</f>
        <v/>
      </c>
      <c r="G52" s="40">
        <f>F52/1.16</f>
        <v/>
      </c>
      <c r="H52" s="87" t="n">
        <v>0</v>
      </c>
      <c r="I52" s="99" t="n">
        <v>4</v>
      </c>
      <c r="J52" s="89">
        <f>LET(dec, I52-INT(I52), IF(dec&lt;0.1, INT(I52), IF(dec&lt;=0.7, INT(I52)+0.5, INT(I52)+1)))</f>
        <v/>
      </c>
      <c r="K52" s="94" t="n">
        <v>46268</v>
      </c>
      <c r="L52" s="89" t="inlineStr">
        <is>
          <t>AISHA</t>
        </is>
      </c>
      <c r="M52" s="85" t="n"/>
      <c r="N52" s="85" t="inlineStr">
        <is>
          <t>MOISES</t>
        </is>
      </c>
    </row>
    <row r="53">
      <c r="A53" s="85" t="inlineStr">
        <is>
          <t>7681756982845573909</t>
        </is>
      </c>
      <c r="B53" s="85" t="inlineStr">
        <is>
          <t>starlan.perfumes</t>
        </is>
      </c>
      <c r="C53" s="85" t="inlineStr">
        <is>
          <t>MX</t>
        </is>
      </c>
      <c r="D53" s="87" t="n">
        <v>20415.15</v>
      </c>
      <c r="E53" s="40">
        <f>D53/1.16</f>
        <v/>
      </c>
      <c r="F53" s="87">
        <f>D53/J53</f>
        <v/>
      </c>
      <c r="G53" s="40">
        <f>F53/1.16</f>
        <v/>
      </c>
      <c r="H53" s="87" t="n">
        <v>0</v>
      </c>
      <c r="I53" s="99" t="n">
        <v>4.01</v>
      </c>
      <c r="J53" s="89">
        <f>LET(dec, I53-INT(I53), IF(dec&lt;0.1, INT(I53), IF(dec&lt;=0.7, INT(I53)+0.5, INT(I53)+1)))</f>
        <v/>
      </c>
      <c r="K53" s="94" t="n">
        <v>46269</v>
      </c>
      <c r="L53" s="89" t="inlineStr">
        <is>
          <t>AISHA</t>
        </is>
      </c>
      <c r="M53" s="85" t="n"/>
      <c r="N53" s="85" t="inlineStr">
        <is>
          <t>MOISES</t>
        </is>
      </c>
    </row>
    <row r="54">
      <c r="A54" s="85" t="inlineStr">
        <is>
          <t>7682870297021827860</t>
        </is>
      </c>
      <c r="B54" s="85" t="inlineStr">
        <is>
          <t>starlan.perfumes</t>
        </is>
      </c>
      <c r="C54" s="85" t="inlineStr">
        <is>
          <t>MX</t>
        </is>
      </c>
      <c r="D54" s="87" t="n">
        <v>6566.05</v>
      </c>
      <c r="E54" s="40">
        <f>D54/1.16</f>
        <v/>
      </c>
      <c r="F54" s="87">
        <f>D54/J54</f>
        <v/>
      </c>
      <c r="G54" s="40">
        <f>F54/1.16</f>
        <v/>
      </c>
      <c r="H54" s="87" t="n">
        <v>0</v>
      </c>
      <c r="I54" s="99" t="n">
        <v>4</v>
      </c>
      <c r="J54" s="89">
        <f>LET(dec, I54-INT(I54), IF(dec&lt;0.1, INT(I54), IF(dec&lt;=0.7, INT(I54)+0.5, INT(I54)+1)))</f>
        <v/>
      </c>
      <c r="K54" s="94" t="n">
        <v>46272</v>
      </c>
      <c r="L54" s="89" t="inlineStr">
        <is>
          <t>AISHA</t>
        </is>
      </c>
      <c r="M54" s="85" t="n"/>
      <c r="N54" s="85" t="inlineStr">
        <is>
          <t>MOISES</t>
        </is>
      </c>
    </row>
    <row r="55">
      <c r="A55" s="85" t="inlineStr">
        <is>
          <t>7683241263802075925</t>
        </is>
      </c>
      <c r="B55" s="85" t="inlineStr">
        <is>
          <t>starlan.perfumes</t>
        </is>
      </c>
      <c r="C55" s="85" t="inlineStr">
        <is>
          <t>MX</t>
        </is>
      </c>
      <c r="D55" s="87" t="n">
        <v>291</v>
      </c>
      <c r="E55" s="40">
        <f>D55/1.16</f>
        <v/>
      </c>
      <c r="F55" s="87">
        <f>D55/J55</f>
        <v/>
      </c>
      <c r="G55" s="40">
        <f>F55/1.16</f>
        <v/>
      </c>
      <c r="H55" s="87" t="n">
        <v>0</v>
      </c>
      <c r="I55" s="99" t="n">
        <v>4.03</v>
      </c>
      <c r="J55" s="89">
        <f>LET(dec, I55-INT(I55), IF(dec&lt;0.1, INT(I55), IF(dec&lt;=0.7, INT(I55)+0.5, INT(I55)+1)))</f>
        <v/>
      </c>
      <c r="K55" s="94" t="n">
        <v>46273</v>
      </c>
      <c r="L55" s="89" t="inlineStr">
        <is>
          <t>Fernando Aguilar</t>
        </is>
      </c>
      <c r="M55" s="85" t="n"/>
      <c r="N55" s="85" t="inlineStr">
        <is>
          <t>MOISES</t>
        </is>
      </c>
    </row>
    <row r="56">
      <c r="A56" s="85" t="inlineStr">
        <is>
          <t>7684354525817309972</t>
        </is>
      </c>
      <c r="B56" s="85" t="inlineStr">
        <is>
          <t>starlan.perfumes</t>
        </is>
      </c>
      <c r="C56" s="85" t="inlineStr">
        <is>
          <t>MX</t>
        </is>
      </c>
      <c r="D56" s="87" t="n">
        <v>6388.5</v>
      </c>
      <c r="E56" s="40">
        <f>D56/1.16</f>
        <v/>
      </c>
      <c r="F56" s="87">
        <f>D56/J56</f>
        <v/>
      </c>
      <c r="G56" s="40">
        <f>F56/1.16</f>
        <v/>
      </c>
      <c r="H56" s="87" t="n">
        <v>0</v>
      </c>
      <c r="I56" s="99" t="n">
        <v>4.01</v>
      </c>
      <c r="J56" s="89">
        <f>LET(dec, I56-INT(I56), IF(dec&lt;0.1, INT(I56), IF(dec&lt;=0.7, INT(I56)+0.5, INT(I56)+1)))</f>
        <v/>
      </c>
      <c r="K56" s="94" t="n">
        <v>46276</v>
      </c>
      <c r="L56" s="89" t="inlineStr">
        <is>
          <t>Fernando Aguilar</t>
        </is>
      </c>
      <c r="M56" s="85" t="n"/>
      <c r="N56" s="85" t="inlineStr">
        <is>
          <t>MOISES</t>
        </is>
      </c>
    </row>
    <row r="57">
      <c r="A57" s="85" t="inlineStr">
        <is>
          <t>7685467818156641044</t>
        </is>
      </c>
      <c r="B57" s="85" t="inlineStr">
        <is>
          <t>starlan.perfumes</t>
        </is>
      </c>
      <c r="C57" s="85" t="inlineStr">
        <is>
          <t>MX</t>
        </is>
      </c>
      <c r="D57" s="87" t="n">
        <v>3694.3</v>
      </c>
      <c r="E57" s="40">
        <f>D57/1.16</f>
        <v/>
      </c>
      <c r="F57" s="87">
        <f>D57/J57</f>
        <v/>
      </c>
      <c r="G57" s="40">
        <f>F57/1.16</f>
        <v/>
      </c>
      <c r="H57" s="87" t="n">
        <v>0</v>
      </c>
      <c r="I57" s="99" t="n">
        <v>4.02</v>
      </c>
      <c r="J57" s="89">
        <f>LET(dec, I57-INT(I57), IF(dec&lt;0.1, INT(I57), IF(dec&lt;=0.7, INT(I57)+0.5, INT(I57)+1)))</f>
        <v/>
      </c>
      <c r="K57" s="94" t="n">
        <v>46279</v>
      </c>
      <c r="L57" s="89" t="inlineStr">
        <is>
          <t>Fernando Aguilar</t>
        </is>
      </c>
      <c r="M57" s="85" t="n"/>
      <c r="N57" s="85" t="inlineStr">
        <is>
          <t>MOISES</t>
        </is>
      </c>
    </row>
    <row r="58">
      <c r="A58" s="85" t="inlineStr">
        <is>
          <t>7685838763355867912</t>
        </is>
      </c>
      <c r="B58" s="85" t="inlineStr">
        <is>
          <t>starlan.perfumes</t>
        </is>
      </c>
      <c r="C58" s="85" t="inlineStr">
        <is>
          <t>MX</t>
        </is>
      </c>
      <c r="D58" s="87" t="n">
        <v>3425.05</v>
      </c>
      <c r="E58" s="40">
        <f>D58/1.16</f>
        <v/>
      </c>
      <c r="F58" s="87">
        <f>D58/J58</f>
        <v/>
      </c>
      <c r="G58" s="40">
        <f>F58/1.16</f>
        <v/>
      </c>
      <c r="H58" s="87" t="n">
        <v>0</v>
      </c>
      <c r="I58" s="99" t="n">
        <v>4.02</v>
      </c>
      <c r="J58" s="89">
        <f>LET(dec, I58-INT(I58), IF(dec&lt;0.1, INT(I58), IF(dec&lt;=0.7, INT(I58)+0.5, INT(I58)+1)))</f>
        <v/>
      </c>
      <c r="K58" s="94" t="n">
        <v>46280</v>
      </c>
      <c r="L58" s="89" t="inlineStr">
        <is>
          <t>Fernando Aguilar</t>
        </is>
      </c>
      <c r="M58" s="85" t="n"/>
      <c r="N58" s="85" t="inlineStr">
        <is>
          <t>MOISES</t>
        </is>
      </c>
    </row>
    <row r="59">
      <c r="A59" s="85" t="inlineStr">
        <is>
          <t>7686580927128439570</t>
        </is>
      </c>
      <c r="B59" s="85" t="inlineStr">
        <is>
          <t>starlan.perfumes</t>
        </is>
      </c>
      <c r="C59" s="85" t="inlineStr">
        <is>
          <t>MX</t>
        </is>
      </c>
      <c r="D59" s="87" t="n">
        <v>5219.15</v>
      </c>
      <c r="E59" s="40">
        <f>D59/1.16</f>
        <v/>
      </c>
      <c r="F59" s="87">
        <f>D59/J59</f>
        <v/>
      </c>
      <c r="G59" s="40">
        <f>F59/1.16</f>
        <v/>
      </c>
      <c r="H59" s="87" t="n">
        <v>0</v>
      </c>
      <c r="I59" s="99" t="n">
        <v>4.01</v>
      </c>
      <c r="J59" s="89">
        <f>LET(dec, I59-INT(I59), IF(dec&lt;0.1, INT(I59), IF(dec&lt;=0.7, INT(I59)+0.5, INT(I59)+1)))</f>
        <v/>
      </c>
      <c r="K59" s="94" t="n">
        <v>46282</v>
      </c>
      <c r="L59" s="89" t="inlineStr">
        <is>
          <t>Fernando Aguilar</t>
        </is>
      </c>
      <c r="M59" s="85" t="n"/>
      <c r="N59" s="85" t="inlineStr">
        <is>
          <t>MOISES</t>
        </is>
      </c>
    </row>
    <row r="60">
      <c r="A60" s="85" t="inlineStr">
        <is>
          <t>7686952025266850568</t>
        </is>
      </c>
      <c r="B60" s="85" t="inlineStr">
        <is>
          <t>starlan.perfumes</t>
        </is>
      </c>
      <c r="C60" s="85" t="inlineStr">
        <is>
          <t>MX</t>
        </is>
      </c>
      <c r="D60" s="87" t="n">
        <v>2024.7</v>
      </c>
      <c r="E60" s="40">
        <f>D60/1.16</f>
        <v/>
      </c>
      <c r="F60" s="87">
        <f>D60/J60</f>
        <v/>
      </c>
      <c r="G60" s="40">
        <f>F60/1.16</f>
        <v/>
      </c>
      <c r="H60" s="87" t="n">
        <v>0</v>
      </c>
      <c r="I60" s="99" t="n">
        <v>4.03</v>
      </c>
      <c r="J60" s="89">
        <f>LET(dec, I60-INT(I60), IF(dec&lt;0.1, INT(I60), IF(dec&lt;=0.7, INT(I60)+0.5, INT(I60)+1)))</f>
        <v/>
      </c>
      <c r="K60" s="94" t="n">
        <v>46283</v>
      </c>
      <c r="L60" s="89" t="inlineStr">
        <is>
          <t>Fernando Aguilar</t>
        </is>
      </c>
      <c r="M60" s="85" t="n"/>
      <c r="N60" s="85" t="inlineStr">
        <is>
          <t>MOISES</t>
        </is>
      </c>
    </row>
    <row r="61">
      <c r="A61" s="85" t="inlineStr">
        <is>
          <t>7688436173223594773</t>
        </is>
      </c>
      <c r="B61" s="85" t="inlineStr">
        <is>
          <t>starlan.perfumes</t>
        </is>
      </c>
      <c r="C61" s="85" t="inlineStr">
        <is>
          <t>MX</t>
        </is>
      </c>
      <c r="D61" s="87" t="n">
        <v>3579.21</v>
      </c>
      <c r="E61" s="40">
        <f>D61/1.16</f>
        <v/>
      </c>
      <c r="F61" s="87">
        <f>D61/J61</f>
        <v/>
      </c>
      <c r="G61" s="40">
        <f>F61/1.16</f>
        <v/>
      </c>
      <c r="H61" s="87" t="n">
        <v>0</v>
      </c>
      <c r="I61" s="99" t="n">
        <v>4</v>
      </c>
      <c r="J61" s="89">
        <f>LET(dec, I61-INT(I61), IF(dec&lt;0.1, INT(I61), IF(dec&lt;=0.7, INT(I61)+0.5, INT(I61)+1)))</f>
        <v/>
      </c>
      <c r="K61" s="94" t="n">
        <v>46287</v>
      </c>
      <c r="L61" s="89" t="inlineStr">
        <is>
          <t>Fernando Aguilar</t>
        </is>
      </c>
      <c r="M61" s="85" t="n"/>
      <c r="N61" s="85" t="inlineStr">
        <is>
          <t>MOISES</t>
        </is>
      </c>
    </row>
    <row r="62">
      <c r="A62" s="85" t="inlineStr">
        <is>
          <t>7689549581479447303</t>
        </is>
      </c>
      <c r="B62" s="85" t="inlineStr">
        <is>
          <t>starlan.perfumes</t>
        </is>
      </c>
      <c r="C62" s="85" t="inlineStr">
        <is>
          <t>MX</t>
        </is>
      </c>
      <c r="D62" s="87" t="n">
        <v>7227.93</v>
      </c>
      <c r="E62" s="40">
        <f>D62/1.16</f>
        <v/>
      </c>
      <c r="F62" s="87">
        <f>D62/J62</f>
        <v/>
      </c>
      <c r="G62" s="40">
        <f>F62/1.16</f>
        <v/>
      </c>
      <c r="H62" s="87" t="n">
        <v>0</v>
      </c>
      <c r="I62" s="99" t="n">
        <v>4.07</v>
      </c>
      <c r="J62" s="89">
        <f>LET(dec, I62-INT(I62), IF(dec&lt;0.1, INT(I62), IF(dec&lt;=0.7, INT(I62)+0.5, INT(I62)+1)))</f>
        <v/>
      </c>
      <c r="K62" s="94" t="n">
        <v>46290</v>
      </c>
      <c r="L62" s="89" t="inlineStr">
        <is>
          <t>Fernando Aguilar</t>
        </is>
      </c>
      <c r="M62" s="85" t="n"/>
      <c r="N62" s="85" t="inlineStr">
        <is>
          <t>MOISES</t>
        </is>
      </c>
    </row>
    <row r="64">
      <c r="A64" s="7" t="inlineStr">
        <is>
          <t>Room ID</t>
        </is>
      </c>
      <c r="B64" s="7" t="inlineStr">
        <is>
          <t>TT Handle</t>
        </is>
      </c>
      <c r="C64" s="7" t="inlineStr">
        <is>
          <t>Country</t>
        </is>
      </c>
      <c r="D64" s="7" t="inlineStr">
        <is>
          <t>GMV</t>
        </is>
      </c>
      <c r="E64" s="7" t="inlineStr">
        <is>
          <t>GMV/sin EVA</t>
        </is>
      </c>
      <c r="F64" s="7" t="inlineStr">
        <is>
          <t>GMV PER HOUR</t>
        </is>
      </c>
      <c r="G64" s="7" t="inlineStr">
        <is>
          <t>GMV PER HOUR/sin EVA</t>
        </is>
      </c>
      <c r="H64" s="7" t="inlineStr">
        <is>
          <t>Ads Cost</t>
        </is>
      </c>
      <c r="I64" s="7" t="inlineStr">
        <is>
          <t>Duration (H)</t>
        </is>
      </c>
      <c r="J64" s="70" t="inlineStr">
        <is>
          <t>Duration （Formula）</t>
        </is>
      </c>
      <c r="K64" s="58" t="inlineStr">
        <is>
          <t>Start date</t>
        </is>
      </c>
      <c r="L64" s="71" t="inlineStr">
        <is>
          <t>HOST 1</t>
        </is>
      </c>
      <c r="M64" s="71" t="inlineStr">
        <is>
          <t xml:space="preserve">HOST 2 </t>
        </is>
      </c>
      <c r="N64" s="71" t="inlineStr">
        <is>
          <t>Operator</t>
        </is>
      </c>
    </row>
    <row r="65">
      <c r="A65" s="85" t="inlineStr">
        <is>
          <t>7690663052401609490</t>
        </is>
      </c>
      <c r="B65" s="85" t="inlineStr">
        <is>
          <t>starlan.perfumes</t>
        </is>
      </c>
      <c r="C65" s="85" t="inlineStr">
        <is>
          <t>MX</t>
        </is>
      </c>
      <c r="D65" s="87" t="n">
        <v>6576.65</v>
      </c>
      <c r="E65" s="40">
        <f>D65/1.16</f>
        <v/>
      </c>
      <c r="F65" s="87">
        <f>IFERROR(D65/J65,0)</f>
        <v/>
      </c>
      <c r="G65" s="40">
        <f>F65/1.16</f>
        <v/>
      </c>
      <c r="H65" s="87" t="n"/>
      <c r="I65" s="99" t="n">
        <v>4.04</v>
      </c>
      <c r="J65" s="89">
        <f>IF(I65-INT(I65)&lt;0.1,INT(I65),IF(I65-INT(I65)&lt;=0.7,INT(I65)+0.5,INT(I65)+1))</f>
        <v/>
      </c>
      <c r="K65" s="94" t="n">
        <v>46293</v>
      </c>
      <c r="L65" s="89" t="inlineStr">
        <is>
          <t>Fernando Aguilar</t>
        </is>
      </c>
      <c r="M65" s="85" t="n"/>
      <c r="N65" s="85" t="inlineStr">
        <is>
          <t>MOISES</t>
        </is>
      </c>
    </row>
    <row r="66">
      <c r="A66" s="85" t="inlineStr">
        <is>
          <t>7691033884705000213</t>
        </is>
      </c>
      <c r="B66" s="85" t="inlineStr">
        <is>
          <t>starlan.perfumes</t>
        </is>
      </c>
      <c r="C66" s="85" t="inlineStr">
        <is>
          <t>MX</t>
        </is>
      </c>
      <c r="D66" s="87" t="n">
        <v>1969.2</v>
      </c>
      <c r="E66" s="40">
        <f>D66/1.16</f>
        <v/>
      </c>
      <c r="F66" s="87">
        <f>IFERROR(D66/J66,0)</f>
        <v/>
      </c>
      <c r="G66" s="40">
        <f>F66/1.16</f>
        <v/>
      </c>
      <c r="H66" s="87" t="n"/>
      <c r="I66" s="99" t="n">
        <v>4</v>
      </c>
      <c r="J66" s="89">
        <f>IF(I66-INT(I66)&lt;0.1,INT(I66),IF(I66-INT(I66)&lt;=0.7,INT(I66)+0.5,INT(I66)+1))</f>
        <v/>
      </c>
      <c r="K66" s="94" t="n">
        <v>46294</v>
      </c>
      <c r="L66" s="89" t="inlineStr">
        <is>
          <t>Fernando Aguilar</t>
        </is>
      </c>
      <c r="M66" s="85" t="n"/>
      <c r="N66" s="85" t="inlineStr">
        <is>
          <t>MOISES</t>
        </is>
      </c>
    </row>
    <row r="67">
      <c r="A67" s="85" t="inlineStr">
        <is>
          <t>7691404897396345618</t>
        </is>
      </c>
      <c r="B67" s="85" t="inlineStr">
        <is>
          <t>starlan.perfumes</t>
        </is>
      </c>
      <c r="C67" s="85" t="inlineStr">
        <is>
          <t>MX</t>
        </is>
      </c>
      <c r="D67" s="87" t="n">
        <v>2362.3</v>
      </c>
      <c r="E67" s="40">
        <f>D67/1.16</f>
        <v/>
      </c>
      <c r="F67" s="87">
        <f>IFERROR(D67/J67,0)</f>
        <v/>
      </c>
      <c r="G67" s="40">
        <f>F67/1.16</f>
        <v/>
      </c>
      <c r="H67" s="87" t="n"/>
      <c r="I67" s="99" t="n">
        <v>4.02</v>
      </c>
      <c r="J67" s="89">
        <f>IF(I67-INT(I67)&lt;0.1,INT(I67),IF(I67-INT(I67)&lt;=0.7,INT(I67)+0.5,INT(I67)+1))</f>
        <v/>
      </c>
      <c r="K67" s="94" t="n">
        <v>46295</v>
      </c>
      <c r="L67" s="89" t="inlineStr">
        <is>
          <t>Fernando Aguilar</t>
        </is>
      </c>
      <c r="M67" s="85" t="n"/>
      <c r="N67" s="85" t="inlineStr">
        <is>
          <t>MOISES</t>
        </is>
      </c>
    </row>
    <row r="68">
      <c r="A68" s="85" t="inlineStr">
        <is>
          <t>7691776027992099591</t>
        </is>
      </c>
      <c r="B68" s="85" t="inlineStr">
        <is>
          <t>starlan.perfumes</t>
        </is>
      </c>
      <c r="C68" s="85" t="inlineStr">
        <is>
          <t>MX</t>
        </is>
      </c>
      <c r="D68" s="87" t="n">
        <v>5112</v>
      </c>
      <c r="E68" s="40">
        <f>D68/1.16</f>
        <v/>
      </c>
      <c r="F68" s="87">
        <f>IFERROR(D68/J68,0)</f>
        <v/>
      </c>
      <c r="G68" s="40">
        <f>F68/1.16</f>
        <v/>
      </c>
      <c r="H68" s="87" t="n"/>
      <c r="I68" s="99" t="n">
        <v>4</v>
      </c>
      <c r="J68" s="89">
        <f>IF(I68-INT(I68)&lt;0.1,INT(I68),IF(I68-INT(I68)&lt;=0.7,INT(I68)+0.5,INT(I68)+1))</f>
        <v/>
      </c>
      <c r="K68" s="94" t="n">
        <v>46296</v>
      </c>
      <c r="L68" s="89" t="inlineStr">
        <is>
          <t>Fernando Aguilar</t>
        </is>
      </c>
      <c r="M68" s="85" t="n"/>
      <c r="N68" s="85" t="inlineStr">
        <is>
          <t>MOISES</t>
        </is>
      </c>
    </row>
    <row r="69">
      <c r="A69" s="85" t="inlineStr">
        <is>
          <t>7693260456399473415</t>
        </is>
      </c>
      <c r="B69" s="85" t="inlineStr">
        <is>
          <t>starlan.perfumes</t>
        </is>
      </c>
      <c r="C69" s="85" t="inlineStr">
        <is>
          <t>MX</t>
        </is>
      </c>
      <c r="D69" s="87" t="n">
        <v>6775.8</v>
      </c>
      <c r="E69" s="40">
        <f>D69/1.16</f>
        <v/>
      </c>
      <c r="F69" s="87">
        <f>IFERROR(D69/J69,0)</f>
        <v/>
      </c>
      <c r="G69" s="40">
        <f>F69/1.16</f>
        <v/>
      </c>
      <c r="H69" s="87" t="n"/>
      <c r="I69" s="99" t="n">
        <v>4.02</v>
      </c>
      <c r="J69" s="89">
        <f>IF(I69-INT(I69)&lt;0.1,INT(I69),IF(I69-INT(I69)&lt;=0.7,INT(I69)+0.5,INT(I69)+1))</f>
        <v/>
      </c>
      <c r="K69" s="94" t="n">
        <v>46300</v>
      </c>
      <c r="L69" s="89" t="inlineStr">
        <is>
          <t>Fernando Aguilar</t>
        </is>
      </c>
      <c r="M69" s="85" t="n"/>
      <c r="N69" s="85" t="inlineStr">
        <is>
          <t>MOISES</t>
        </is>
      </c>
    </row>
    <row r="70">
      <c r="A70" s="85" t="inlineStr">
        <is>
          <t>7694002625848757013</t>
        </is>
      </c>
      <c r="B70" s="85" t="inlineStr">
        <is>
          <t>starlan.perfumes</t>
        </is>
      </c>
      <c r="C70" s="85" t="inlineStr">
        <is>
          <t>MX</t>
        </is>
      </c>
      <c r="D70" s="87" t="n">
        <v>2936.48</v>
      </c>
      <c r="E70" s="40">
        <f>D70/1.16</f>
        <v/>
      </c>
      <c r="F70" s="87">
        <f>IFERROR(D70/J70,0)</f>
        <v/>
      </c>
      <c r="G70" s="40">
        <f>F70/1.16</f>
        <v/>
      </c>
      <c r="H70" s="87" t="n"/>
      <c r="I70" s="99" t="n">
        <v>4</v>
      </c>
      <c r="J70" s="89">
        <f>IF(I70-INT(I70)&lt;0.1,INT(I70),IF(I70-INT(I70)&lt;=0.7,INT(I70)+0.5,INT(I70)+1))</f>
        <v/>
      </c>
      <c r="K70" s="94" t="n">
        <v>46302</v>
      </c>
      <c r="L70" s="89" t="inlineStr">
        <is>
          <t>Fernando Aguilar</t>
        </is>
      </c>
      <c r="M70" s="85" t="n"/>
      <c r="N70" s="85" t="inlineStr">
        <is>
          <t>MOISES</t>
        </is>
      </c>
    </row>
    <row r="71">
      <c r="A71" s="85" t="inlineStr">
        <is>
          <t>7694373726738320146</t>
        </is>
      </c>
      <c r="B71" s="85" t="inlineStr">
        <is>
          <t>starlan.perfumes</t>
        </is>
      </c>
      <c r="C71" s="85" t="inlineStr">
        <is>
          <t>MX</t>
        </is>
      </c>
      <c r="D71" s="87" t="n">
        <v>6270.65</v>
      </c>
      <c r="E71" s="40">
        <f>D71/1.16</f>
        <v/>
      </c>
      <c r="F71" s="87">
        <f>IFERROR(D71/J71,0)</f>
        <v/>
      </c>
      <c r="G71" s="40">
        <f>F71/1.16</f>
        <v/>
      </c>
      <c r="H71" s="87" t="n"/>
      <c r="I71" s="99" t="n">
        <v>4</v>
      </c>
      <c r="J71" s="89">
        <f>IF(I71-INT(I71)&lt;0.1,INT(I71),IF(I71-INT(I71)&lt;=0.7,INT(I71)+0.5,INT(I71)+1))</f>
        <v/>
      </c>
      <c r="K71" s="94" t="n">
        <v>46303</v>
      </c>
      <c r="L71" s="89" t="inlineStr">
        <is>
          <t>Fernando Aguilar</t>
        </is>
      </c>
      <c r="M71" s="85" t="n"/>
      <c r="N71" s="85" t="inlineStr">
        <is>
          <t>MOISES</t>
        </is>
      </c>
    </row>
    <row r="72">
      <c r="A72" s="85" t="inlineStr">
        <is>
          <t>7694744898968931092</t>
        </is>
      </c>
      <c r="B72" s="85" t="inlineStr">
        <is>
          <t>starlan.perfumes</t>
        </is>
      </c>
      <c r="C72" s="85" t="inlineStr">
        <is>
          <t>MX</t>
        </is>
      </c>
      <c r="D72" s="87" t="n">
        <v>4502.93</v>
      </c>
      <c r="E72" s="40">
        <f>D72/1.16</f>
        <v/>
      </c>
      <c r="F72" s="87">
        <f>IFERROR(D72/J72,0)</f>
        <v/>
      </c>
      <c r="G72" s="40">
        <f>F72/1.16</f>
        <v/>
      </c>
      <c r="H72" s="87" t="n"/>
      <c r="I72" s="99" t="n">
        <v>4.01</v>
      </c>
      <c r="J72" s="89">
        <f>IF(I72-INT(I72)&lt;0.1,INT(I72),IF(I72-INT(I72)&lt;=0.7,INT(I72)+0.5,INT(I72)+1))</f>
        <v/>
      </c>
      <c r="K72" s="94" t="n">
        <v>46304</v>
      </c>
      <c r="L72" s="89" t="inlineStr">
        <is>
          <t>Fernando Aguilar</t>
        </is>
      </c>
      <c r="M72" s="85" t="inlineStr">
        <is>
          <t>DANIEL</t>
        </is>
      </c>
      <c r="N72" s="85" t="inlineStr">
        <is>
          <t>MOISES</t>
        </is>
      </c>
    </row>
    <row r="73">
      <c r="A73" s="85" t="inlineStr">
        <is>
          <t>7696971217253403399</t>
        </is>
      </c>
      <c r="B73" s="85" t="inlineStr">
        <is>
          <t>starlan.perfumes</t>
        </is>
      </c>
      <c r="C73" s="85" t="inlineStr">
        <is>
          <t>MX</t>
        </is>
      </c>
      <c r="D73" s="87" t="n">
        <v>7581.08</v>
      </c>
      <c r="E73" s="40">
        <f>D73/1.16</f>
        <v/>
      </c>
      <c r="F73" s="87">
        <f>IFERROR(D73/J73,0)</f>
        <v/>
      </c>
      <c r="G73" s="40">
        <f>F73/1.16</f>
        <v/>
      </c>
      <c r="H73" s="87" t="n"/>
      <c r="I73" s="99" t="n">
        <v>4</v>
      </c>
      <c r="J73" s="89">
        <f>IF(I73-INT(I73)&lt;0.1,INT(I73),IF(I73-INT(I73)&lt;=0.7,INT(I73)+0.5,INT(I73)+1))</f>
        <v/>
      </c>
      <c r="K73" s="94" t="n">
        <v>46310</v>
      </c>
      <c r="L73" s="89" t="inlineStr">
        <is>
          <t>Fernando Aguilar</t>
        </is>
      </c>
      <c r="M73" s="85" t="n"/>
      <c r="N73" s="85" t="inlineStr">
        <is>
          <t>MOISES</t>
        </is>
      </c>
    </row>
  </sheetData>
  <dataValidations count="3">
    <dataValidation sqref="L52:L62 L65:L73" showDropDown="0" showInputMessage="0" showErrorMessage="1" allowBlank="1" type="list">
      <formula1>"AISHA,MILLY,Fernando Aguilar"</formula1>
    </dataValidation>
    <dataValidation sqref="L5:L6 L9 M8 M10" showDropDown="0" showInputMessage="0" showErrorMessage="1" allowBlank="1" type="list">
      <formula1>"NAHOMI,DANIEL host"</formula1>
    </dataValidation>
    <dataValidation sqref="L2:M4 L7:M7 L8 L10 L15:M32 L36:L37 L38:M38 L39:L48 M5:M6 M9" showDropDown="0" showInputMessage="0" showErrorMessage="1" allowBlank="1" type="list">
      <formula1>"Emiliano,Daniel,DANIEL host"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86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18" min="1" max="1"/>
    <col width="19" customWidth="1" style="118" min="2" max="2"/>
    <col width="15.25" customWidth="1" style="118" min="10" max="10"/>
    <col width="15.5" customWidth="1" style="118" min="12" max="12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70" t="inlineStr">
        <is>
          <t>Duration （Formula）</t>
        </is>
      </c>
      <c r="K1" s="58" t="inlineStr">
        <is>
          <t>Start date</t>
        </is>
      </c>
      <c r="L1" s="71" t="inlineStr">
        <is>
          <t>HOST 1</t>
        </is>
      </c>
      <c r="M1" s="71" t="inlineStr">
        <is>
          <t xml:space="preserve">HOST 2 </t>
        </is>
      </c>
      <c r="N1" s="71" t="inlineStr">
        <is>
          <t>Operator</t>
        </is>
      </c>
    </row>
    <row r="2">
      <c r="A2" s="96" t="inlineStr">
        <is>
          <t>7623125370501991176</t>
        </is>
      </c>
      <c r="B2" s="98" t="inlineStr">
        <is>
          <t>yvesrochermexico</t>
        </is>
      </c>
      <c r="C2" s="40" t="inlineStr">
        <is>
          <t>MX</t>
        </is>
      </c>
      <c r="D2" s="39" t="n">
        <v>450</v>
      </c>
      <c r="E2" s="40">
        <f>D2/1.16</f>
        <v/>
      </c>
      <c r="F2" s="40" t="n">
        <v>149.38</v>
      </c>
      <c r="G2" s="92">
        <f>F2/1.16</f>
        <v/>
      </c>
      <c r="H2" s="92" t="n">
        <v>0</v>
      </c>
      <c r="I2" s="74" t="n">
        <v>3.012778</v>
      </c>
      <c r="J2" s="74">
        <f>LET(dec, I2-INT(I2), IF(dec&lt;0.1, INT(I2), IF(dec&lt;=0.7, INT(I2)+0.5, INT(I2)+1)))</f>
        <v/>
      </c>
      <c r="K2" s="93" t="n">
        <v>46111</v>
      </c>
      <c r="L2" s="89" t="inlineStr">
        <is>
          <t>JOCELYN</t>
        </is>
      </c>
      <c r="M2" s="89" t="n"/>
      <c r="N2" s="89" t="inlineStr">
        <is>
          <t>GUILLERMO</t>
        </is>
      </c>
    </row>
    <row r="3">
      <c r="A3" s="96" t="inlineStr">
        <is>
          <t>7623867979700931336</t>
        </is>
      </c>
      <c r="B3" s="98" t="inlineStr">
        <is>
          <t>yvesrochermexico</t>
        </is>
      </c>
      <c r="C3" s="40" t="inlineStr">
        <is>
          <t>MX</t>
        </is>
      </c>
      <c r="D3" s="39" t="n">
        <v>3403</v>
      </c>
      <c r="E3" s="40">
        <f>D3/1.16</f>
        <v/>
      </c>
      <c r="F3" s="40" t="n">
        <v>838.98</v>
      </c>
      <c r="G3" s="92">
        <f>F3/1.16</f>
        <v/>
      </c>
      <c r="H3" s="92" t="n">
        <v>2056.73</v>
      </c>
      <c r="I3" s="74" t="n">
        <v>4.05</v>
      </c>
      <c r="J3" s="74">
        <f>LET(dec, I3-INT(I3), IF(dec&lt;0.1, INT(I3), IF(dec&lt;=0.7, INT(I3)+0.5, INT(I3)+1)))</f>
        <v/>
      </c>
      <c r="K3" s="93" t="n">
        <v>46113</v>
      </c>
      <c r="L3" s="89" t="inlineStr">
        <is>
          <t>SILVANA</t>
        </is>
      </c>
      <c r="M3" s="89" t="n"/>
      <c r="N3" s="89" t="inlineStr">
        <is>
          <t>GUILLERMO</t>
        </is>
      </c>
    </row>
    <row r="4">
      <c r="A4" s="96" t="inlineStr">
        <is>
          <t>7625800458375908114</t>
        </is>
      </c>
      <c r="B4" s="98" t="inlineStr">
        <is>
          <t>yvesrochermexico</t>
        </is>
      </c>
      <c r="C4" s="40" t="inlineStr">
        <is>
          <t>MX</t>
        </is>
      </c>
      <c r="D4" s="39" t="n">
        <v>4902</v>
      </c>
      <c r="E4" s="40">
        <f>D4/1.16</f>
        <v/>
      </c>
      <c r="F4" s="40" t="n">
        <v>1635.06</v>
      </c>
      <c r="G4" s="92">
        <f>F4/1.16</f>
        <v/>
      </c>
      <c r="H4" s="92" t="n">
        <v>2284.35</v>
      </c>
      <c r="I4" s="74" t="n">
        <v>2.983333</v>
      </c>
      <c r="J4" s="74">
        <f>LET(dec, I4-INT(I4), IF(dec&lt;0.1, INT(I4), IF(dec&lt;=0.7, INT(I4)+0.5, INT(I4)+1)))</f>
        <v/>
      </c>
      <c r="K4" s="93" t="n">
        <v>46118</v>
      </c>
      <c r="L4" s="89" t="inlineStr">
        <is>
          <t>SILVANA</t>
        </is>
      </c>
      <c r="M4" s="89" t="n"/>
      <c r="N4" s="89" t="inlineStr">
        <is>
          <t>GUILLERMO</t>
        </is>
      </c>
    </row>
    <row r="5">
      <c r="A5" s="96" t="inlineStr">
        <is>
          <t>7626465611263298312</t>
        </is>
      </c>
      <c r="B5" s="98" t="inlineStr">
        <is>
          <t>yvesrochermexico</t>
        </is>
      </c>
      <c r="C5" s="40" t="inlineStr">
        <is>
          <t>MX</t>
        </is>
      </c>
      <c r="D5" s="39" t="n">
        <v>1625</v>
      </c>
      <c r="E5" s="40">
        <f>D5/1.16</f>
        <v/>
      </c>
      <c r="F5" s="40" t="n">
        <v>512.8200000000001</v>
      </c>
      <c r="G5" s="92">
        <f>F5/1.16</f>
        <v/>
      </c>
      <c r="H5" s="92" t="n">
        <v>0</v>
      </c>
      <c r="I5" s="74" t="n">
        <v>3.166667</v>
      </c>
      <c r="J5" s="74">
        <f>LET(dec, I5-INT(I5), IF(dec&lt;0.1, INT(I5), IF(dec&lt;=0.7, INT(I5)+0.5, INT(I5)+1)))</f>
        <v/>
      </c>
      <c r="K5" s="93" t="n">
        <v>46120</v>
      </c>
      <c r="L5" s="89" t="inlineStr">
        <is>
          <t>SILVANA</t>
        </is>
      </c>
      <c r="M5" s="89" t="n"/>
      <c r="N5" s="89" t="inlineStr">
        <is>
          <t>GUILLERMO</t>
        </is>
      </c>
    </row>
    <row r="6">
      <c r="A6" s="96" t="inlineStr">
        <is>
          <t>7627207603197594376</t>
        </is>
      </c>
      <c r="B6" s="98" t="inlineStr">
        <is>
          <t>yvesrochermexico</t>
        </is>
      </c>
      <c r="C6" s="40" t="inlineStr">
        <is>
          <t>MX</t>
        </is>
      </c>
      <c r="D6" s="39" t="n">
        <v>2349</v>
      </c>
      <c r="E6" s="40">
        <f>D6/1.16</f>
        <v/>
      </c>
      <c r="F6" s="40" t="n">
        <v>761.5599999999999</v>
      </c>
      <c r="G6" s="92">
        <f>F6/1.16</f>
        <v/>
      </c>
      <c r="H6" s="92" t="n">
        <v>1108.03</v>
      </c>
      <c r="I6" s="74" t="n">
        <v>3.083333</v>
      </c>
      <c r="J6" s="74">
        <f>LET(dec, I6-INT(I6), IF(dec&lt;0.1, INT(I6), IF(dec&lt;=0.7, INT(I6)+0.5, INT(I6)+1)))</f>
        <v/>
      </c>
      <c r="K6" s="93" t="n">
        <v>46122</v>
      </c>
      <c r="L6" s="89" t="inlineStr">
        <is>
          <t>SILVANA</t>
        </is>
      </c>
      <c r="M6" s="89" t="n"/>
      <c r="N6" s="89" t="inlineStr">
        <is>
          <t>GUILLERMO</t>
        </is>
      </c>
    </row>
    <row r="7">
      <c r="A7" s="96" t="inlineStr">
        <is>
          <t>7628259302846925575</t>
        </is>
      </c>
      <c r="B7" s="98" t="inlineStr">
        <is>
          <t>yvesrochermexico</t>
        </is>
      </c>
      <c r="C7" s="40" t="inlineStr">
        <is>
          <t>MX</t>
        </is>
      </c>
      <c r="D7" s="39" t="n">
        <v>1948</v>
      </c>
      <c r="E7" s="40">
        <f>D7/1.16</f>
        <v/>
      </c>
      <c r="F7" s="40" t="n">
        <v>641.5</v>
      </c>
      <c r="G7" s="92">
        <f>F7/1.16</f>
        <v/>
      </c>
      <c r="H7" s="92" t="n">
        <v>505.36</v>
      </c>
      <c r="I7" s="74" t="n">
        <v>3.033333</v>
      </c>
      <c r="J7" s="74">
        <f>LET(dec, I7-INT(I7), IF(dec&lt;0.1, INT(I7), IF(dec&lt;=0.7, INT(I7)+0.5, INT(I7)+1)))</f>
        <v/>
      </c>
      <c r="K7" s="93" t="n">
        <v>46125</v>
      </c>
      <c r="L7" s="89" t="inlineStr">
        <is>
          <t>SILVANA</t>
        </is>
      </c>
      <c r="M7" s="89" t="n"/>
      <c r="N7" s="89" t="inlineStr">
        <is>
          <t>GUILLERMO</t>
        </is>
      </c>
    </row>
    <row r="8">
      <c r="A8" s="96" t="inlineStr">
        <is>
          <t>7629109559755967250</t>
        </is>
      </c>
      <c r="B8" s="98" t="inlineStr">
        <is>
          <t>yvesrochermexico</t>
        </is>
      </c>
      <c r="C8" s="40" t="inlineStr">
        <is>
          <t>MX</t>
        </is>
      </c>
      <c r="D8" s="39" t="n">
        <v>5698</v>
      </c>
      <c r="E8" s="40">
        <f>D8/1.16</f>
        <v/>
      </c>
      <c r="F8" s="40" t="n">
        <v>947.5</v>
      </c>
      <c r="G8" s="92">
        <f>F8/1.16</f>
        <v/>
      </c>
      <c r="H8" s="92" t="n">
        <v>2788.05</v>
      </c>
      <c r="I8" s="74" t="n">
        <v>6.01361</v>
      </c>
      <c r="J8" s="74">
        <f>LET(dec, I8-INT(I8), IF(dec&lt;0.1, INT(I8), IF(dec&lt;=0.7, INT(I8)+0.5, INT(I8)+1)))</f>
        <v/>
      </c>
      <c r="K8" s="93" t="n">
        <v>46127</v>
      </c>
      <c r="L8" s="89" t="inlineStr">
        <is>
          <t>ARI</t>
        </is>
      </c>
      <c r="M8" s="89" t="inlineStr">
        <is>
          <t>SILVANA</t>
        </is>
      </c>
      <c r="N8" s="89" t="inlineStr">
        <is>
          <t>GUILLERMO</t>
        </is>
      </c>
    </row>
    <row r="9">
      <c r="A9" s="96" t="inlineStr">
        <is>
          <t>7629882225521150728</t>
        </is>
      </c>
      <c r="B9" s="98" t="inlineStr">
        <is>
          <t>yvesrochermexico</t>
        </is>
      </c>
      <c r="C9" s="40" t="inlineStr">
        <is>
          <t>MX</t>
        </is>
      </c>
      <c r="D9" s="39" t="n">
        <v>1749</v>
      </c>
      <c r="E9" s="40">
        <f>D9/1.16</f>
        <v/>
      </c>
      <c r="F9" s="40" t="n">
        <v>576.1</v>
      </c>
      <c r="G9" s="92">
        <f>F9/1.16</f>
        <v/>
      </c>
      <c r="H9" s="92" t="n">
        <v>974.75</v>
      </c>
      <c r="I9" s="74" t="n">
        <v>3.03611</v>
      </c>
      <c r="J9" s="74">
        <f>LET(dec, I9-INT(I9), IF(dec&lt;0.1, INT(I9), IF(dec&lt;=0.7, INT(I9)+0.5, INT(I9)+1)))</f>
        <v/>
      </c>
      <c r="K9" s="93" t="n">
        <v>46129</v>
      </c>
      <c r="L9" s="89" t="inlineStr">
        <is>
          <t>ARI</t>
        </is>
      </c>
      <c r="M9" s="89" t="n"/>
      <c r="N9" s="89" t="inlineStr">
        <is>
          <t>GUILLERMO</t>
        </is>
      </c>
    </row>
    <row r="10">
      <c r="A10" s="96" t="inlineStr">
        <is>
          <t>7630995544260758279</t>
        </is>
      </c>
      <c r="B10" s="98" t="inlineStr">
        <is>
          <t>yvesrochermexico</t>
        </is>
      </c>
      <c r="C10" s="40" t="inlineStr">
        <is>
          <t>MX</t>
        </is>
      </c>
      <c r="D10" s="39" t="n">
        <v>2072</v>
      </c>
      <c r="E10" s="40">
        <f>D10/1.16</f>
        <v/>
      </c>
      <c r="F10" s="40" t="n">
        <v>687.1900000000001</v>
      </c>
      <c r="G10" s="92">
        <f>F10/1.16</f>
        <v/>
      </c>
      <c r="H10" s="92" t="n">
        <v>1124.3</v>
      </c>
      <c r="I10" s="74" t="n">
        <v>3.01639</v>
      </c>
      <c r="J10" s="74">
        <f>LET(dec, I10-INT(I10), IF(dec&lt;0.1, INT(I10), IF(dec&lt;=0.7, INT(I10)+0.5, INT(I10)+1)))</f>
        <v/>
      </c>
      <c r="K10" s="93" t="n">
        <v>46132</v>
      </c>
      <c r="L10" s="89" t="inlineStr">
        <is>
          <t>SILVANA</t>
        </is>
      </c>
      <c r="M10" s="89" t="n"/>
      <c r="N10" s="89" t="inlineStr">
        <is>
          <t>GUILLERMO</t>
        </is>
      </c>
    </row>
    <row r="11">
      <c r="A11" s="96" t="inlineStr">
        <is>
          <t>7631737584691596039</t>
        </is>
      </c>
      <c r="B11" s="98" t="inlineStr">
        <is>
          <t>yvesrochermexico</t>
        </is>
      </c>
      <c r="C11" s="40" t="inlineStr">
        <is>
          <t>MX</t>
        </is>
      </c>
      <c r="D11" s="39" t="n">
        <v>2380</v>
      </c>
      <c r="E11" s="40">
        <f>D11/1.16</f>
        <v/>
      </c>
      <c r="F11" s="40" t="n">
        <v>787.17</v>
      </c>
      <c r="G11" s="92">
        <f>F11/1.16</f>
        <v/>
      </c>
      <c r="H11" s="92" t="n">
        <v>1342.63</v>
      </c>
      <c r="I11" s="74" t="n">
        <v>3.02361</v>
      </c>
      <c r="J11" s="74">
        <f>LET(dec, I11-INT(I11), IF(dec&lt;0.1, INT(I11), IF(dec&lt;=0.7, INT(I11)+0.5, INT(I11)+1)))</f>
        <v/>
      </c>
      <c r="K11" s="93" t="n">
        <v>46134</v>
      </c>
      <c r="L11" s="89" t="inlineStr">
        <is>
          <t>ARI</t>
        </is>
      </c>
      <c r="M11" s="89" t="n"/>
      <c r="N11" s="89" t="inlineStr">
        <is>
          <t>GUILLERMO</t>
        </is>
      </c>
    </row>
    <row r="12">
      <c r="A12" s="96" t="inlineStr">
        <is>
          <t>7632482392007035656</t>
        </is>
      </c>
      <c r="B12" s="98" t="inlineStr">
        <is>
          <t>yvesrochermexico</t>
        </is>
      </c>
      <c r="C12" s="40" t="inlineStr">
        <is>
          <t>MX</t>
        </is>
      </c>
      <c r="D12" s="39" t="n">
        <v>5407</v>
      </c>
      <c r="E12" s="40">
        <f>D12/1.16</f>
        <v/>
      </c>
      <c r="F12" s="40" t="n">
        <v>1762.67</v>
      </c>
      <c r="G12" s="92">
        <f>F12/1.16</f>
        <v/>
      </c>
      <c r="H12" s="92" t="n">
        <v>1452.28</v>
      </c>
      <c r="I12" s="74" t="n">
        <v>3.06778</v>
      </c>
      <c r="J12" s="74">
        <f>LET(dec, I12-INT(I12), IF(dec&lt;0.1, INT(I12), IF(dec&lt;=0.7, INT(I12)+0.5, INT(I12)+1)))</f>
        <v/>
      </c>
      <c r="K12" s="93" t="n">
        <v>46136</v>
      </c>
      <c r="L12" s="89" t="inlineStr">
        <is>
          <t>SILVANA</t>
        </is>
      </c>
      <c r="M12" s="89" t="n"/>
      <c r="N12" s="89" t="inlineStr">
        <is>
          <t>GUILLERMO</t>
        </is>
      </c>
    </row>
    <row r="14">
      <c r="K14" s="84" t="n"/>
    </row>
    <row r="15">
      <c r="A15" s="7" t="inlineStr">
        <is>
          <t>Room ID</t>
        </is>
      </c>
      <c r="B15" s="7" t="inlineStr">
        <is>
          <t>TT Handle</t>
        </is>
      </c>
      <c r="C15" s="7" t="inlineStr">
        <is>
          <t>Country</t>
        </is>
      </c>
      <c r="D15" s="7" t="inlineStr">
        <is>
          <t>GMV</t>
        </is>
      </c>
      <c r="E15" s="7" t="inlineStr">
        <is>
          <t>GMV/sin EVA</t>
        </is>
      </c>
      <c r="F15" s="7" t="inlineStr">
        <is>
          <t>GMV PER HOUR</t>
        </is>
      </c>
      <c r="G15" s="7" t="inlineStr">
        <is>
          <t>GMV PER HOUR/sin EVA</t>
        </is>
      </c>
      <c r="H15" s="7" t="inlineStr">
        <is>
          <t>Ads Cost</t>
        </is>
      </c>
      <c r="I15" s="7" t="inlineStr">
        <is>
          <t>Duration (H)</t>
        </is>
      </c>
      <c r="J15" s="70" t="inlineStr">
        <is>
          <t>Duration （Formula）</t>
        </is>
      </c>
      <c r="K15" s="58" t="inlineStr">
        <is>
          <t>Start date</t>
        </is>
      </c>
      <c r="L15" s="71" t="inlineStr">
        <is>
          <t>HOST 1</t>
        </is>
      </c>
      <c r="M15" s="71" t="inlineStr">
        <is>
          <t xml:space="preserve">HOST 2 </t>
        </is>
      </c>
      <c r="N15" s="71" t="inlineStr">
        <is>
          <t>Operator</t>
        </is>
      </c>
    </row>
    <row r="16">
      <c r="A16" s="96" t="inlineStr">
        <is>
          <t>7646472883972000530</t>
        </is>
      </c>
      <c r="B16" s="98" t="inlineStr">
        <is>
          <t>yvesrochermexico</t>
        </is>
      </c>
      <c r="C16" s="40" t="inlineStr">
        <is>
          <t>MX</t>
        </is>
      </c>
      <c r="D16" s="39" t="n">
        <v>1262.15</v>
      </c>
      <c r="E16" s="40">
        <f>D16/1.16</f>
        <v/>
      </c>
      <c r="F16" s="40">
        <f>E16/I16</f>
        <v/>
      </c>
      <c r="G16" s="92">
        <f>F16/1.16</f>
        <v/>
      </c>
      <c r="H16" s="92" t="n">
        <v>472.95</v>
      </c>
      <c r="I16" s="26" t="n">
        <v>5</v>
      </c>
      <c r="J16" s="74">
        <f>LET(dec, I16-INT(I16), IF(dec&lt;0.1, INT(I16), IF(dec&lt;=0.7, INT(I16)+0.5, INT(I16)+1)))</f>
        <v/>
      </c>
      <c r="K16" s="93" t="n">
        <v>46174</v>
      </c>
      <c r="L16" s="89" t="inlineStr">
        <is>
          <t>SILVANA</t>
        </is>
      </c>
      <c r="M16" s="89" t="n"/>
      <c r="N16" s="89" t="inlineStr">
        <is>
          <t>GUILLERMO</t>
        </is>
      </c>
    </row>
    <row r="17">
      <c r="A17" s="96" t="inlineStr">
        <is>
          <t>7647323216742009608</t>
        </is>
      </c>
      <c r="B17" s="98" t="inlineStr">
        <is>
          <t>yvesrochermexico</t>
        </is>
      </c>
      <c r="C17" s="40" t="inlineStr">
        <is>
          <t>MX</t>
        </is>
      </c>
      <c r="D17" s="39" t="n">
        <v>2262.01</v>
      </c>
      <c r="E17" s="40">
        <f>D17/1.16</f>
        <v/>
      </c>
      <c r="F17" s="40">
        <f>E17/I17</f>
        <v/>
      </c>
      <c r="G17" s="92">
        <f>F17/1.16</f>
        <v/>
      </c>
      <c r="H17" s="92" t="n">
        <v>1743.47</v>
      </c>
      <c r="I17" s="26" t="n">
        <v>3</v>
      </c>
      <c r="J17" s="74">
        <f>LET(dec, I17-INT(I17), IF(dec&lt;0.1, INT(I17), IF(dec&lt;=0.7, INT(I17)+0.5, INT(I17)+1)))</f>
        <v/>
      </c>
      <c r="K17" s="93" t="n">
        <v>46176</v>
      </c>
      <c r="L17" s="89" t="inlineStr">
        <is>
          <t>ARI</t>
        </is>
      </c>
      <c r="M17" s="89" t="n"/>
      <c r="N17" s="89" t="inlineStr">
        <is>
          <t>GUILLERMO</t>
        </is>
      </c>
    </row>
    <row r="18">
      <c r="A18" s="96" t="inlineStr">
        <is>
          <t>7648065750938258183</t>
        </is>
      </c>
      <c r="B18" s="98" t="inlineStr">
        <is>
          <t>yvesrochermexico</t>
        </is>
      </c>
      <c r="C18" s="40" t="inlineStr">
        <is>
          <t>MX</t>
        </is>
      </c>
      <c r="D18" s="39" t="n">
        <v>763</v>
      </c>
      <c r="E18" s="40">
        <f>D18/1.16</f>
        <v/>
      </c>
      <c r="F18" s="40">
        <f>E18/I18</f>
        <v/>
      </c>
      <c r="G18" s="92">
        <f>F18/1.16</f>
        <v/>
      </c>
      <c r="H18" s="92" t="n">
        <v>1069.29</v>
      </c>
      <c r="I18" s="26" t="n">
        <v>3</v>
      </c>
      <c r="J18" s="74">
        <f>LET(dec, I18-INT(I18), IF(dec&lt;0.1, INT(I18), IF(dec&lt;=0.7, INT(I18)+0.5, INT(I18)+1)))</f>
        <v/>
      </c>
      <c r="K18" s="93" t="n">
        <v>46178</v>
      </c>
      <c r="L18" s="89" t="inlineStr">
        <is>
          <t>SILVANA</t>
        </is>
      </c>
      <c r="M18" s="89" t="n"/>
      <c r="N18" s="89" t="inlineStr">
        <is>
          <t>GUILLERMO</t>
        </is>
      </c>
    </row>
    <row r="19">
      <c r="A19" s="96" t="inlineStr">
        <is>
          <t>7649180044899765013</t>
        </is>
      </c>
      <c r="B19" s="98" t="inlineStr">
        <is>
          <t>yvesrochermexico</t>
        </is>
      </c>
      <c r="C19" s="40" t="inlineStr">
        <is>
          <t>MX</t>
        </is>
      </c>
      <c r="D19" s="39" t="n">
        <v>1468.72</v>
      </c>
      <c r="E19" s="40">
        <f>D19/1.16</f>
        <v/>
      </c>
      <c r="F19" s="40">
        <f>E19/I19</f>
        <v/>
      </c>
      <c r="G19" s="92">
        <f>F19/1.16</f>
        <v/>
      </c>
      <c r="H19" s="92" t="n">
        <v>1728.65</v>
      </c>
      <c r="I19" s="26" t="n">
        <v>3</v>
      </c>
      <c r="J19" s="74">
        <f>LET(dec, I19-INT(I19), IF(dec&lt;0.1, INT(I19), IF(dec&lt;=0.7, INT(I19)+0.5, INT(I19)+1)))</f>
        <v/>
      </c>
      <c r="K19" s="93" t="n">
        <v>46181</v>
      </c>
      <c r="L19" s="89" t="inlineStr">
        <is>
          <t>ARI</t>
        </is>
      </c>
      <c r="M19" s="89" t="n"/>
      <c r="N19" s="89" t="inlineStr">
        <is>
          <t>GUILLERMO</t>
        </is>
      </c>
    </row>
    <row r="20">
      <c r="A20" s="96" t="inlineStr">
        <is>
          <t>7649922291954518791</t>
        </is>
      </c>
      <c r="B20" s="98" t="inlineStr">
        <is>
          <t>yvesrochermexico</t>
        </is>
      </c>
      <c r="C20" s="40" t="inlineStr">
        <is>
          <t>MX</t>
        </is>
      </c>
      <c r="D20" s="39" t="n">
        <v>2841.09</v>
      </c>
      <c r="E20" s="40">
        <f>D20/1.16</f>
        <v/>
      </c>
      <c r="F20" s="40">
        <f>E20/I20</f>
        <v/>
      </c>
      <c r="G20" s="92">
        <f>F20/1.16</f>
        <v/>
      </c>
      <c r="H20" s="92" t="n">
        <v>174.08</v>
      </c>
      <c r="I20" s="26" t="n">
        <v>3</v>
      </c>
      <c r="J20" s="74">
        <f>LET(dec, I20-INT(I20), IF(dec&lt;0.1, INT(I20), IF(dec&lt;=0.7, INT(I20)+0.5, INT(I20)+1)))</f>
        <v/>
      </c>
      <c r="K20" s="93" t="n">
        <v>46183</v>
      </c>
      <c r="L20" s="89" t="inlineStr">
        <is>
          <t>SILVANA</t>
        </is>
      </c>
      <c r="M20" s="89" t="n"/>
      <c r="N20" s="89" t="inlineStr">
        <is>
          <t>GUILLERMO</t>
        </is>
      </c>
    </row>
    <row r="21">
      <c r="A21" s="96" t="inlineStr">
        <is>
          <t>7651003068099922695</t>
        </is>
      </c>
      <c r="B21" s="98" t="inlineStr">
        <is>
          <t>yvesrochermexico</t>
        </is>
      </c>
      <c r="C21" s="40" t="inlineStr">
        <is>
          <t>MX</t>
        </is>
      </c>
      <c r="D21" s="39" t="n">
        <v>1244.78</v>
      </c>
      <c r="E21" s="40">
        <f>D21/1.16</f>
        <v/>
      </c>
      <c r="F21" s="40">
        <f>E21/I21</f>
        <v/>
      </c>
      <c r="G21" s="92">
        <f>F21/1.16</f>
        <v/>
      </c>
      <c r="H21" s="92" t="n">
        <v>154.5</v>
      </c>
      <c r="I21" s="26" t="n">
        <v>3</v>
      </c>
      <c r="J21" s="74">
        <f>LET(dec, I21-INT(I21), IF(dec&lt;0.1, INT(I21), IF(dec&lt;=0.7, INT(I21)+0.5, INT(I21)+1)))</f>
        <v/>
      </c>
      <c r="K21" s="93" t="n">
        <v>46186</v>
      </c>
      <c r="L21" s="89" t="inlineStr">
        <is>
          <t>ARI</t>
        </is>
      </c>
      <c r="M21" s="89" t="n"/>
      <c r="N21" s="89" t="inlineStr">
        <is>
          <t>GUILLERMO</t>
        </is>
      </c>
    </row>
    <row r="22">
      <c r="A22" s="96" t="inlineStr">
        <is>
          <t>7651778320467594002</t>
        </is>
      </c>
      <c r="B22" s="98" t="inlineStr">
        <is>
          <t>yvesrochermexico</t>
        </is>
      </c>
      <c r="C22" s="40" t="inlineStr">
        <is>
          <t>MX</t>
        </is>
      </c>
      <c r="D22" s="39" t="n">
        <v>3356.81</v>
      </c>
      <c r="E22" s="40">
        <f>D22/1.16</f>
        <v/>
      </c>
      <c r="F22" s="40">
        <f>E22/I22</f>
        <v/>
      </c>
      <c r="G22" s="92">
        <f>F22/1.16</f>
        <v/>
      </c>
      <c r="H22" s="92" t="n">
        <v>401.44</v>
      </c>
      <c r="I22" s="26" t="n">
        <v>5</v>
      </c>
      <c r="J22" s="74">
        <f>LET(dec, I22-INT(I22), IF(dec&lt;0.1, INT(I22), IF(dec&lt;=0.7, INT(I22)+0.5, INT(I22)+1)))</f>
        <v/>
      </c>
      <c r="K22" s="93" t="n">
        <v>46188</v>
      </c>
      <c r="L22" s="89" t="inlineStr">
        <is>
          <t>SILVANA</t>
        </is>
      </c>
      <c r="M22" s="89" t="inlineStr">
        <is>
          <t>ARI</t>
        </is>
      </c>
      <c r="N22" s="89" t="inlineStr">
        <is>
          <t>GUILLERMO</t>
        </is>
      </c>
    </row>
    <row r="23">
      <c r="A23" s="96" t="inlineStr">
        <is>
          <t>7653262643968379656</t>
        </is>
      </c>
      <c r="B23" s="98" t="inlineStr">
        <is>
          <t>yvesrochermexico</t>
        </is>
      </c>
      <c r="C23" s="40" t="inlineStr">
        <is>
          <t>MX</t>
        </is>
      </c>
      <c r="D23" s="39" t="n">
        <v>679.38</v>
      </c>
      <c r="E23" s="40">
        <f>D23/1.16</f>
        <v/>
      </c>
      <c r="F23" s="40">
        <f>E23/I23</f>
        <v/>
      </c>
      <c r="G23" s="92">
        <f>F23/1.16</f>
        <v/>
      </c>
      <c r="H23" s="92" t="n">
        <v>190.94</v>
      </c>
      <c r="I23" s="26" t="n">
        <v>3</v>
      </c>
      <c r="J23" s="74">
        <f>LET(dec, I23-INT(I23), IF(dec&lt;0.1, INT(I23), IF(dec&lt;=0.7, INT(I23)+0.5, INT(I23)+1)))</f>
        <v/>
      </c>
      <c r="K23" s="93" t="n">
        <v>46192</v>
      </c>
      <c r="L23" s="89" t="inlineStr">
        <is>
          <t>ARI</t>
        </is>
      </c>
      <c r="M23" s="89" t="n"/>
      <c r="N23" s="89" t="inlineStr">
        <is>
          <t>GUILLERMO</t>
        </is>
      </c>
    </row>
    <row r="24">
      <c r="A24" s="96" t="inlineStr">
        <is>
          <t>7654760141304761109</t>
        </is>
      </c>
      <c r="B24" s="98" t="inlineStr">
        <is>
          <t>yvesrochermexico</t>
        </is>
      </c>
      <c r="C24" s="40" t="inlineStr">
        <is>
          <t>MX</t>
        </is>
      </c>
      <c r="D24" s="39" t="n">
        <v>976.41</v>
      </c>
      <c r="E24" s="40">
        <f>D24/1.16</f>
        <v/>
      </c>
      <c r="F24" s="40">
        <f>E24/I24</f>
        <v/>
      </c>
      <c r="G24" s="92">
        <f>F24/1.16</f>
        <v/>
      </c>
      <c r="H24" s="92" t="n">
        <v>187.64</v>
      </c>
      <c r="I24" s="26" t="n">
        <v>3</v>
      </c>
      <c r="J24" s="74">
        <f>LET(dec, I24-INT(I24), IF(dec&lt;0.1, INT(I24), IF(dec&lt;=0.7, INT(I24)+0.5, INT(I24)+1)))</f>
        <v/>
      </c>
      <c r="K24" s="93" t="n">
        <v>46196</v>
      </c>
      <c r="L24" s="89" t="inlineStr">
        <is>
          <t>SILVANA</t>
        </is>
      </c>
      <c r="M24" s="89" t="n"/>
      <c r="N24" s="89" t="inlineStr">
        <is>
          <t>GUILLERMO</t>
        </is>
      </c>
    </row>
    <row r="25">
      <c r="A25" s="96" t="inlineStr">
        <is>
          <t>7655518145591593748</t>
        </is>
      </c>
      <c r="B25" s="98" t="inlineStr">
        <is>
          <t>yvesrochermexico</t>
        </is>
      </c>
      <c r="C25" s="40" t="inlineStr">
        <is>
          <t>MX</t>
        </is>
      </c>
      <c r="D25" s="39" t="n">
        <v>1165.83</v>
      </c>
      <c r="E25" s="40">
        <f>D25/1.16</f>
        <v/>
      </c>
      <c r="F25" s="40">
        <f>E25/I25</f>
        <v/>
      </c>
      <c r="G25" s="92">
        <f>F25/1.16</f>
        <v/>
      </c>
      <c r="H25" s="92" t="n">
        <v>260.46</v>
      </c>
      <c r="I25" s="26" t="n">
        <v>3</v>
      </c>
      <c r="J25" s="74">
        <f>LET(dec, I25-INT(I25), IF(dec&lt;0.1, INT(I25), IF(dec&lt;=0.7, INT(I25)+0.5, INT(I25)+1)))</f>
        <v/>
      </c>
      <c r="K25" s="93" t="n">
        <v>46198</v>
      </c>
      <c r="L25" s="89" t="inlineStr">
        <is>
          <t>SILVANA</t>
        </is>
      </c>
      <c r="M25" s="89" t="n"/>
      <c r="N25" s="89" t="inlineStr">
        <is>
          <t>GUILLERMO</t>
        </is>
      </c>
    </row>
    <row r="26">
      <c r="K26" s="84" t="n"/>
    </row>
    <row r="27">
      <c r="K27" s="84" t="n"/>
    </row>
    <row r="28">
      <c r="A28" s="7" t="inlineStr">
        <is>
          <t>Room ID</t>
        </is>
      </c>
      <c r="B28" s="7" t="inlineStr">
        <is>
          <t>TT Handle</t>
        </is>
      </c>
      <c r="C28" s="7" t="inlineStr">
        <is>
          <t>Country</t>
        </is>
      </c>
      <c r="D28" s="7" t="inlineStr">
        <is>
          <t>GMV</t>
        </is>
      </c>
      <c r="E28" s="7" t="inlineStr">
        <is>
          <t>GMV/sin EVA</t>
        </is>
      </c>
      <c r="F28" s="7" t="inlineStr">
        <is>
          <t>GMV PER HOUR</t>
        </is>
      </c>
      <c r="G28" s="7" t="inlineStr">
        <is>
          <t>GMV PER HOUR/sin EVA</t>
        </is>
      </c>
      <c r="H28" s="7" t="inlineStr">
        <is>
          <t>Ads Cost</t>
        </is>
      </c>
      <c r="I28" s="7" t="inlineStr">
        <is>
          <t>Duration (H)</t>
        </is>
      </c>
      <c r="J28" s="70" t="inlineStr">
        <is>
          <t>Duration （Formula）</t>
        </is>
      </c>
      <c r="K28" s="58" t="inlineStr">
        <is>
          <t>Start date</t>
        </is>
      </c>
      <c r="L28" s="71" t="inlineStr">
        <is>
          <t>HOST 1</t>
        </is>
      </c>
      <c r="M28" s="71" t="inlineStr">
        <is>
          <t xml:space="preserve">HOST 2 </t>
        </is>
      </c>
      <c r="N28" s="71" t="inlineStr">
        <is>
          <t>Operator</t>
        </is>
      </c>
    </row>
    <row r="29">
      <c r="A29" s="96" t="inlineStr">
        <is>
          <t>7656623568310078229</t>
        </is>
      </c>
      <c r="B29" s="98" t="inlineStr">
        <is>
          <t>yvesrochermexico</t>
        </is>
      </c>
      <c r="C29" s="40" t="inlineStr">
        <is>
          <t>MX</t>
        </is>
      </c>
      <c r="D29" s="39" t="n">
        <v>2820.28</v>
      </c>
      <c r="E29" s="40">
        <f>D29/1.16</f>
        <v/>
      </c>
      <c r="F29" s="40">
        <f>D29/J29</f>
        <v/>
      </c>
      <c r="G29" s="92">
        <f>F29/1.16</f>
        <v/>
      </c>
      <c r="H29" s="92" t="n">
        <v>856.8099999999999</v>
      </c>
      <c r="I29" s="26" t="n">
        <v>3</v>
      </c>
      <c r="J29" s="74">
        <f>LET(dec, I29-INT(I29), IF(dec&lt;0.1, INT(I29), IF(dec&lt;=0.7, INT(I29)+0.5, INT(I29)+1)))</f>
        <v/>
      </c>
      <c r="K29" s="93" t="n">
        <v>46201</v>
      </c>
      <c r="L29" s="89" t="inlineStr">
        <is>
          <t>SILVANA</t>
        </is>
      </c>
      <c r="M29" s="89" t="n"/>
      <c r="N29" s="89" t="inlineStr">
        <is>
          <t>GUILLERMO</t>
        </is>
      </c>
    </row>
    <row r="30">
      <c r="A30" s="96" t="inlineStr">
        <is>
          <t>7656972475557514004</t>
        </is>
      </c>
      <c r="B30" s="98" t="inlineStr">
        <is>
          <t>yvesrochermexico</t>
        </is>
      </c>
      <c r="C30" s="40" t="inlineStr">
        <is>
          <t>MX</t>
        </is>
      </c>
      <c r="D30" s="39" t="n">
        <v>2178.57</v>
      </c>
      <c r="E30" s="40">
        <f>D30/1.16</f>
        <v/>
      </c>
      <c r="F30" s="40">
        <f>D30/J30</f>
        <v/>
      </c>
      <c r="G30" s="92">
        <f>F30/1.16</f>
        <v/>
      </c>
      <c r="H30" s="92" t="n">
        <v>584.47</v>
      </c>
      <c r="I30" s="26" t="n">
        <v>3</v>
      </c>
      <c r="J30" s="74">
        <f>LET(dec, I30-INT(I30), IF(dec&lt;0.1, INT(I30), IF(dec&lt;=0.7, INT(I30)+0.5, INT(I30)+1)))</f>
        <v/>
      </c>
      <c r="K30" s="93" t="n">
        <v>46202</v>
      </c>
      <c r="L30" s="89" t="inlineStr">
        <is>
          <t>SILVANA</t>
        </is>
      </c>
      <c r="M30" s="89" t="n"/>
      <c r="N30" s="89" t="inlineStr">
        <is>
          <t>GUILLERMO</t>
        </is>
      </c>
    </row>
    <row r="31">
      <c r="A31" s="96" t="inlineStr">
        <is>
          <t>7658115687524715285</t>
        </is>
      </c>
      <c r="B31" s="98" t="inlineStr">
        <is>
          <t>yvesrochermexico</t>
        </is>
      </c>
      <c r="C31" s="40" t="inlineStr">
        <is>
          <t>MX</t>
        </is>
      </c>
      <c r="D31" s="39" t="n">
        <v>3090.09</v>
      </c>
      <c r="E31" s="40">
        <f>D31/1.16</f>
        <v/>
      </c>
      <c r="F31" s="40">
        <f>D31/J31</f>
        <v/>
      </c>
      <c r="G31" s="92">
        <f>F31/1.16</f>
        <v/>
      </c>
      <c r="H31" s="92" t="n">
        <v>829.02</v>
      </c>
      <c r="I31" s="26" t="n">
        <v>3</v>
      </c>
      <c r="J31" s="74">
        <f>LET(dec, I31-INT(I31), IF(dec&lt;0.1, INT(I31), IF(dec&lt;=0.7, INT(I31)+0.5, INT(I31)+1)))</f>
        <v/>
      </c>
      <c r="K31" s="93" t="n">
        <v>46205</v>
      </c>
      <c r="L31" s="89" t="inlineStr">
        <is>
          <t>SILVANA</t>
        </is>
      </c>
      <c r="M31" s="89" t="n"/>
      <c r="N31" s="89" t="inlineStr">
        <is>
          <t>GUILLERMO</t>
        </is>
      </c>
    </row>
    <row r="32">
      <c r="A32" s="96" t="inlineStr">
        <is>
          <t>7659584514926742293</t>
        </is>
      </c>
      <c r="B32" s="98" t="inlineStr">
        <is>
          <t>yvesrochermexico</t>
        </is>
      </c>
      <c r="C32" s="40" t="inlineStr">
        <is>
          <t>MX</t>
        </is>
      </c>
      <c r="D32" s="39" t="n">
        <v>3042.78</v>
      </c>
      <c r="E32" s="40">
        <f>D32/1.16</f>
        <v/>
      </c>
      <c r="F32" s="40">
        <f>D32/J32</f>
        <v/>
      </c>
      <c r="G32" s="92">
        <f>F32/1.16</f>
        <v/>
      </c>
      <c r="H32" s="92" t="n">
        <v>664.98</v>
      </c>
      <c r="I32" s="26" t="n">
        <v>3</v>
      </c>
      <c r="J32" s="74">
        <f>LET(dec, I32-INT(I32), IF(dec&lt;0.1, INT(I32), IF(dec&lt;=0.7, INT(I32)+0.5, INT(I32)+1)))</f>
        <v/>
      </c>
      <c r="K32" s="93" t="n">
        <v>46209</v>
      </c>
      <c r="L32" s="36" t="inlineStr">
        <is>
          <t>PAOLA LUNA</t>
        </is>
      </c>
      <c r="M32" s="89" t="n"/>
      <c r="N32" s="89" t="inlineStr">
        <is>
          <t>GUILLERMO</t>
        </is>
      </c>
    </row>
    <row r="33">
      <c r="A33" s="96" t="inlineStr">
        <is>
          <t>7660334617483889428</t>
        </is>
      </c>
      <c r="B33" s="98" t="inlineStr">
        <is>
          <t>yvesrochermexico</t>
        </is>
      </c>
      <c r="C33" s="40" t="inlineStr">
        <is>
          <t>MX</t>
        </is>
      </c>
      <c r="D33" s="39" t="n">
        <v>2261.18</v>
      </c>
      <c r="E33" s="40">
        <f>D33/1.16</f>
        <v/>
      </c>
      <c r="F33" s="40">
        <f>D33/J33</f>
        <v/>
      </c>
      <c r="G33" s="92">
        <f>F33/1.16</f>
        <v/>
      </c>
      <c r="H33" s="92" t="n">
        <v>925.91</v>
      </c>
      <c r="I33" s="26" t="n">
        <v>3</v>
      </c>
      <c r="J33" s="74">
        <f>LET(dec, I33-INT(I33), IF(dec&lt;0.1, INT(I33), IF(dec&lt;=0.7, INT(I33)+0.5, INT(I33)+1)))</f>
        <v/>
      </c>
      <c r="K33" s="93" t="n">
        <v>46211</v>
      </c>
      <c r="L33" s="89" t="inlineStr">
        <is>
          <t>SILVANA</t>
        </is>
      </c>
      <c r="M33" s="89" t="n"/>
      <c r="N33" s="89" t="inlineStr">
        <is>
          <t>GUILLERMO</t>
        </is>
      </c>
    </row>
    <row r="34">
      <c r="A34" s="96" t="inlineStr">
        <is>
          <t>7661796046948027154</t>
        </is>
      </c>
      <c r="B34" s="98" t="inlineStr">
        <is>
          <t>yvesrochermexico</t>
        </is>
      </c>
      <c r="C34" s="40" t="inlineStr">
        <is>
          <t>MX</t>
        </is>
      </c>
      <c r="D34" s="39" t="n">
        <v>2638.14</v>
      </c>
      <c r="E34" s="40">
        <f>D34/1.16</f>
        <v/>
      </c>
      <c r="F34" s="40">
        <f>D34/J34</f>
        <v/>
      </c>
      <c r="G34" s="92">
        <f>F34/1.16</f>
        <v/>
      </c>
      <c r="H34" s="92" t="n">
        <v>864.67</v>
      </c>
      <c r="I34" s="26" t="n">
        <v>3</v>
      </c>
      <c r="J34" s="74">
        <f>LET(dec, I34-INT(I34), IF(dec&lt;0.1, INT(I34), IF(dec&lt;=0.7, INT(I34)+0.5, INT(I34)+1)))</f>
        <v/>
      </c>
      <c r="K34" s="93" t="n">
        <v>46215</v>
      </c>
      <c r="L34" s="36" t="inlineStr">
        <is>
          <t>EMILIA</t>
        </is>
      </c>
      <c r="M34" s="89" t="n"/>
      <c r="N34" s="89" t="inlineStr">
        <is>
          <t>GUILLERMO</t>
        </is>
      </c>
    </row>
    <row r="35">
      <c r="A35" s="96" t="inlineStr">
        <is>
          <t>7662181776320482056</t>
        </is>
      </c>
      <c r="B35" s="98" t="inlineStr">
        <is>
          <t>yvesrochermexico</t>
        </is>
      </c>
      <c r="C35" s="40" t="inlineStr">
        <is>
          <t>MX</t>
        </is>
      </c>
      <c r="D35" s="39" t="n">
        <v>2138.52</v>
      </c>
      <c r="E35" s="40">
        <f>D35/1.16</f>
        <v/>
      </c>
      <c r="F35" s="40">
        <f>D35/J35</f>
        <v/>
      </c>
      <c r="G35" s="92">
        <f>F35/1.16</f>
        <v/>
      </c>
      <c r="H35" s="92" t="n">
        <v>534.17</v>
      </c>
      <c r="I35" s="26" t="n">
        <v>3</v>
      </c>
      <c r="J35" s="74">
        <f>LET(dec, I35-INT(I35), IF(dec&lt;0.1, INT(I35), IF(dec&lt;=0.7, INT(I35)+0.5, INT(I35)+1)))</f>
        <v/>
      </c>
      <c r="K35" s="93" t="n">
        <v>46216</v>
      </c>
      <c r="L35" s="36" t="inlineStr">
        <is>
          <t>PAOLA LUNA</t>
        </is>
      </c>
      <c r="M35" s="89" t="n"/>
      <c r="N35" s="89" t="inlineStr">
        <is>
          <t>GUILLERMO</t>
        </is>
      </c>
    </row>
    <row r="36">
      <c r="A36" s="96" t="inlineStr">
        <is>
          <t>7662925904264055560</t>
        </is>
      </c>
      <c r="B36" s="98" t="inlineStr">
        <is>
          <t>yvesrochermexico</t>
        </is>
      </c>
      <c r="C36" s="40" t="inlineStr">
        <is>
          <t>MX</t>
        </is>
      </c>
      <c r="D36" s="39" t="n">
        <v>1925.15</v>
      </c>
      <c r="E36" s="40">
        <f>D36/1.16</f>
        <v/>
      </c>
      <c r="F36" s="40">
        <f>D36/J36</f>
        <v/>
      </c>
      <c r="G36" s="92">
        <f>F36/1.16</f>
        <v/>
      </c>
      <c r="H36" s="92" t="n">
        <v>713.7</v>
      </c>
      <c r="I36" s="26" t="n">
        <v>3</v>
      </c>
      <c r="J36" s="74">
        <f>LET(dec, I36-INT(I36), IF(dec&lt;0.1, INT(I36), IF(dec&lt;=0.7, INT(I36)+0.5, INT(I36)+1)))</f>
        <v/>
      </c>
      <c r="K36" s="93" t="n">
        <v>46218</v>
      </c>
      <c r="L36" s="89" t="inlineStr">
        <is>
          <t>SILVANA</t>
        </is>
      </c>
      <c r="M36" s="89" t="n"/>
      <c r="N36" s="89" t="inlineStr">
        <is>
          <t>GUILLERMO</t>
        </is>
      </c>
    </row>
    <row r="37">
      <c r="A37" s="96" t="inlineStr">
        <is>
          <t>7663297736294402823</t>
        </is>
      </c>
      <c r="B37" s="98" t="inlineStr">
        <is>
          <t>yvesrochermexico</t>
        </is>
      </c>
      <c r="C37" s="40" t="inlineStr">
        <is>
          <t>MX</t>
        </is>
      </c>
      <c r="D37" s="39" t="n">
        <v>1854.32</v>
      </c>
      <c r="E37" s="40">
        <f>D37/1.16</f>
        <v/>
      </c>
      <c r="F37" s="40">
        <f>D37/J37</f>
        <v/>
      </c>
      <c r="G37" s="92">
        <f>F37/1.16</f>
        <v/>
      </c>
      <c r="H37" s="92" t="n">
        <v>554.89</v>
      </c>
      <c r="I37" s="26" t="n">
        <v>3</v>
      </c>
      <c r="J37" s="74">
        <f>LET(dec, I37-INT(I37), IF(dec&lt;0.1, INT(I37), IF(dec&lt;=0.7, INT(I37)+0.5, INT(I37)+1)))</f>
        <v/>
      </c>
      <c r="K37" s="93" t="n">
        <v>46219</v>
      </c>
      <c r="L37" s="36" t="inlineStr">
        <is>
          <t>PAOLA LUNA</t>
        </is>
      </c>
      <c r="M37" s="89" t="n"/>
      <c r="N37" s="89" t="inlineStr">
        <is>
          <t>GUILLERMO</t>
        </is>
      </c>
    </row>
    <row r="38">
      <c r="A38" s="96" t="inlineStr">
        <is>
          <t>7664779958635547413</t>
        </is>
      </c>
      <c r="B38" s="98" t="inlineStr">
        <is>
          <t>yvesrochermexico</t>
        </is>
      </c>
      <c r="C38" s="40" t="inlineStr">
        <is>
          <t>MX</t>
        </is>
      </c>
      <c r="D38" s="39" t="n">
        <v>4823.06</v>
      </c>
      <c r="E38" s="40">
        <f>D38/1.16</f>
        <v/>
      </c>
      <c r="F38" s="40">
        <f>D38/J38</f>
        <v/>
      </c>
      <c r="G38" s="92">
        <f>F38/1.16</f>
        <v/>
      </c>
      <c r="H38" s="92" t="n">
        <v>1206.76</v>
      </c>
      <c r="I38" s="26" t="n">
        <v>3</v>
      </c>
      <c r="J38" s="74">
        <f>LET(dec, I38-INT(I38), IF(dec&lt;0.1, INT(I38), IF(dec&lt;=0.7, INT(I38)+0.5, INT(I38)+1)))</f>
        <v/>
      </c>
      <c r="K38" s="93" t="n">
        <v>46223</v>
      </c>
      <c r="L38" s="36" t="inlineStr">
        <is>
          <t>PAOLA LUNA</t>
        </is>
      </c>
      <c r="M38" s="89" t="n"/>
      <c r="N38" s="89" t="inlineStr">
        <is>
          <t>GUILLERMO</t>
        </is>
      </c>
    </row>
    <row r="39">
      <c r="A39" s="96" t="inlineStr">
        <is>
          <t>7665522708996557588</t>
        </is>
      </c>
      <c r="B39" s="98" t="inlineStr">
        <is>
          <t>yvesrochermexico</t>
        </is>
      </c>
      <c r="C39" s="40" t="inlineStr">
        <is>
          <t>MX</t>
        </is>
      </c>
      <c r="D39" s="39" t="n">
        <v>5399.06</v>
      </c>
      <c r="E39" s="40">
        <f>D39/1.16</f>
        <v/>
      </c>
      <c r="F39" s="40">
        <f>D39/J39</f>
        <v/>
      </c>
      <c r="G39" s="92">
        <f>F39/1.16</f>
        <v/>
      </c>
      <c r="H39" s="92" t="n">
        <v>1404.85</v>
      </c>
      <c r="I39" s="26" t="n">
        <v>3</v>
      </c>
      <c r="J39" s="74">
        <f>LET(dec, I39-INT(I39), IF(dec&lt;0.1, INT(I39), IF(dec&lt;=0.7, INT(I39)+0.5, INT(I39)+1)))</f>
        <v/>
      </c>
      <c r="K39" s="93" t="n">
        <v>46225</v>
      </c>
      <c r="L39" s="89" t="inlineStr">
        <is>
          <t>SILVANA</t>
        </is>
      </c>
      <c r="M39" s="89" t="n"/>
      <c r="N39" s="89" t="inlineStr">
        <is>
          <t>GUILLERMO</t>
        </is>
      </c>
    </row>
    <row r="40">
      <c r="A40" s="96" t="inlineStr">
        <is>
          <t>7666990622144580359</t>
        </is>
      </c>
      <c r="B40" s="98" t="inlineStr">
        <is>
          <t>yvesrochermexico</t>
        </is>
      </c>
      <c r="C40" s="40" t="inlineStr">
        <is>
          <t>MX</t>
        </is>
      </c>
      <c r="D40" s="39" t="n">
        <v>6819.84</v>
      </c>
      <c r="E40" s="40">
        <f>D40/1.16</f>
        <v/>
      </c>
      <c r="F40" s="40">
        <f>D40/J40</f>
        <v/>
      </c>
      <c r="G40" s="92">
        <f>F40/1.16</f>
        <v/>
      </c>
      <c r="H40" s="92" t="n">
        <v>1786.02</v>
      </c>
      <c r="I40" s="26" t="n">
        <v>3</v>
      </c>
      <c r="J40" s="74">
        <f>LET(dec, I40-INT(I40), IF(dec&lt;0.1, INT(I40), IF(dec&lt;=0.7, INT(I40)+0.5, INT(I40)+1)))</f>
        <v/>
      </c>
      <c r="K40" s="93" t="n">
        <v>46229</v>
      </c>
      <c r="L40" s="89" t="inlineStr">
        <is>
          <t>SILVANA</t>
        </is>
      </c>
      <c r="M40" s="89" t="n"/>
      <c r="N40" s="89" t="inlineStr">
        <is>
          <t>GUILLERMO</t>
        </is>
      </c>
    </row>
    <row r="41">
      <c r="A41" s="96" t="inlineStr">
        <is>
          <t>7667377390110345992</t>
        </is>
      </c>
      <c r="B41" s="98" t="inlineStr">
        <is>
          <t>yvesrochermexico</t>
        </is>
      </c>
      <c r="C41" s="40" t="inlineStr">
        <is>
          <t>MX</t>
        </is>
      </c>
      <c r="D41" s="39" t="n">
        <v>0</v>
      </c>
      <c r="E41" s="40">
        <f>D41/1.16</f>
        <v/>
      </c>
      <c r="F41" s="40" t="n">
        <v>0</v>
      </c>
      <c r="G41" s="92">
        <f>F41/1.16</f>
        <v/>
      </c>
      <c r="H41" s="92" t="n">
        <v>0</v>
      </c>
      <c r="I41" s="26" t="n">
        <v>0</v>
      </c>
      <c r="J41" s="74">
        <f>LET(dec, I41-INT(I41), IF(dec&lt;0.1, INT(I41), IF(dec&lt;=0.7, INT(I41)+0.5, INT(I41)+1)))</f>
        <v/>
      </c>
      <c r="K41" s="93" t="n">
        <v>46230</v>
      </c>
      <c r="L41" s="89" t="inlineStr">
        <is>
          <t>SILVANA</t>
        </is>
      </c>
      <c r="M41" s="89" t="n"/>
      <c r="N41" s="89" t="inlineStr">
        <is>
          <t>GUILLERMO</t>
        </is>
      </c>
    </row>
    <row r="42">
      <c r="A42" s="96" t="inlineStr">
        <is>
          <t>7667378040225418002</t>
        </is>
      </c>
      <c r="B42" s="98" t="inlineStr">
        <is>
          <t>yvesrochermexico</t>
        </is>
      </c>
      <c r="C42" s="40" t="inlineStr">
        <is>
          <t>MX</t>
        </is>
      </c>
      <c r="D42" s="39" t="n">
        <v>3172.84</v>
      </c>
      <c r="E42" s="40">
        <f>D42/1.16</f>
        <v/>
      </c>
      <c r="F42" s="40">
        <f>D42/J42</f>
        <v/>
      </c>
      <c r="G42" s="92">
        <f>F42/1.16</f>
        <v/>
      </c>
      <c r="H42" s="92" t="n">
        <v>784.45</v>
      </c>
      <c r="I42" s="26" t="n">
        <v>3</v>
      </c>
      <c r="J42" s="74">
        <f>LET(dec, I42-INT(I42), IF(dec&lt;0.1, INT(I42), IF(dec&lt;=0.7, INT(I42)+0.5, INT(I42)+1)))</f>
        <v/>
      </c>
      <c r="K42" s="93" t="n">
        <v>46230</v>
      </c>
      <c r="L42" s="89" t="inlineStr">
        <is>
          <t>SILVANA</t>
        </is>
      </c>
      <c r="M42" s="89" t="n"/>
      <c r="N42" s="89" t="inlineStr">
        <is>
          <t>GUILLERMO</t>
        </is>
      </c>
    </row>
    <row r="43">
      <c r="K43" s="84" t="n"/>
    </row>
    <row r="44">
      <c r="A44" s="7" t="inlineStr">
        <is>
          <t>Room ID</t>
        </is>
      </c>
      <c r="B44" s="7" t="inlineStr">
        <is>
          <t>TT Handle</t>
        </is>
      </c>
      <c r="C44" s="7" t="inlineStr">
        <is>
          <t>Country</t>
        </is>
      </c>
      <c r="D44" s="7" t="inlineStr">
        <is>
          <t>GMV</t>
        </is>
      </c>
      <c r="E44" s="7" t="inlineStr">
        <is>
          <t>GMV/sin EVA</t>
        </is>
      </c>
      <c r="F44" s="7" t="inlineStr">
        <is>
          <t>GMV PER HOUR</t>
        </is>
      </c>
      <c r="G44" s="7" t="inlineStr">
        <is>
          <t>GMV PER HOUR/sin EVA</t>
        </is>
      </c>
      <c r="H44" s="7" t="inlineStr">
        <is>
          <t>Ads Cost</t>
        </is>
      </c>
      <c r="I44" s="7" t="inlineStr">
        <is>
          <t>Duration (H)</t>
        </is>
      </c>
      <c r="J44" s="70" t="inlineStr">
        <is>
          <t>Duration （Formula）</t>
        </is>
      </c>
      <c r="K44" s="58" t="inlineStr">
        <is>
          <t>Start date</t>
        </is>
      </c>
      <c r="L44" s="71" t="inlineStr">
        <is>
          <t>HOST 1</t>
        </is>
      </c>
      <c r="M44" s="71" t="inlineStr">
        <is>
          <t xml:space="preserve">HOST 2 </t>
        </is>
      </c>
      <c r="N44" s="71" t="inlineStr">
        <is>
          <t>Operator</t>
        </is>
      </c>
    </row>
    <row r="45">
      <c r="A45" s="96" t="inlineStr">
        <is>
          <t>7667748467120327432</t>
        </is>
      </c>
      <c r="B45" s="98" t="inlineStr">
        <is>
          <t>yvesrochermexico</t>
        </is>
      </c>
      <c r="C45" s="40" t="inlineStr">
        <is>
          <t>MX</t>
        </is>
      </c>
      <c r="D45" s="100" t="n">
        <v>3135.22</v>
      </c>
      <c r="E45" s="40">
        <f>D45/1.16</f>
        <v/>
      </c>
      <c r="F45" s="40">
        <f>D45/J45</f>
        <v/>
      </c>
      <c r="G45" s="92">
        <f>F45/1.16</f>
        <v/>
      </c>
      <c r="H45" s="92" t="n">
        <v>687.02</v>
      </c>
      <c r="I45" s="26" t="n">
        <v>3</v>
      </c>
      <c r="J45" s="74">
        <f>LET(dec, I45-INT(I45), IF(dec&lt;0.1, INT(I45), IF(dec&lt;=0.7, INT(I45)+0.5, INT(I45)+1)))</f>
        <v/>
      </c>
      <c r="K45" s="93" t="n">
        <v>46231</v>
      </c>
      <c r="L45" s="36" t="inlineStr">
        <is>
          <t>PAOLA LUNA</t>
        </is>
      </c>
      <c r="M45" s="89" t="n"/>
      <c r="N45" s="89" t="inlineStr">
        <is>
          <t>GUILLERMO</t>
        </is>
      </c>
    </row>
    <row r="46">
      <c r="A46" s="96" t="inlineStr">
        <is>
          <t>7668490688811748114</t>
        </is>
      </c>
      <c r="B46" s="98" t="inlineStr">
        <is>
          <t>yvesrochermexico</t>
        </is>
      </c>
      <c r="C46" s="40" t="inlineStr">
        <is>
          <t>MX</t>
        </is>
      </c>
      <c r="D46" s="100" t="n">
        <v>4447.98</v>
      </c>
      <c r="E46" s="40">
        <f>D46/1.16</f>
        <v/>
      </c>
      <c r="F46" s="40">
        <f>D46/J46</f>
        <v/>
      </c>
      <c r="G46" s="92">
        <f>F46/1.16</f>
        <v/>
      </c>
      <c r="H46" s="92" t="n"/>
      <c r="I46" s="26" t="n">
        <v>4</v>
      </c>
      <c r="J46" s="74">
        <f>LET(dec, I46-INT(I46), IF(dec&lt;0.1, INT(I46), IF(dec&lt;=0.7, INT(I46)+0.5, INT(I46)+1)))</f>
        <v/>
      </c>
      <c r="K46" s="93" t="n">
        <v>46233</v>
      </c>
      <c r="L46" s="36" t="inlineStr">
        <is>
          <t>PAOLA LUNA</t>
        </is>
      </c>
      <c r="M46" s="89" t="n"/>
      <c r="N46" s="89" t="inlineStr">
        <is>
          <t>GUILLERMO</t>
        </is>
      </c>
    </row>
    <row r="47">
      <c r="A47" s="96" t="inlineStr">
        <is>
          <t>7669588424264846087</t>
        </is>
      </c>
      <c r="B47" s="98" t="inlineStr">
        <is>
          <t>yvesrochermexico</t>
        </is>
      </c>
      <c r="C47" s="40" t="inlineStr">
        <is>
          <t>MX</t>
        </is>
      </c>
      <c r="D47" s="100" t="n">
        <v>8500.809999999999</v>
      </c>
      <c r="E47" s="40">
        <f>D47/1.16</f>
        <v/>
      </c>
      <c r="F47" s="40">
        <f>D47/J47</f>
        <v/>
      </c>
      <c r="G47" s="92">
        <f>F47/1.16</f>
        <v/>
      </c>
      <c r="H47" s="92" t="n">
        <v>1957.44</v>
      </c>
      <c r="I47" s="26" t="n">
        <v>3</v>
      </c>
      <c r="J47" s="74">
        <f>LET(dec, I47-INT(I47), IF(dec&lt;0.1, INT(I47), IF(dec&lt;=0.7, INT(I47)+0.5, INT(I47)+1)))</f>
        <v/>
      </c>
      <c r="K47" s="93" t="n">
        <v>46236</v>
      </c>
      <c r="L47" s="36" t="inlineStr">
        <is>
          <t>PAOLA LUNA</t>
        </is>
      </c>
      <c r="M47" s="89" t="n"/>
      <c r="N47" s="89" t="inlineStr">
        <is>
          <t>GUILLERMO</t>
        </is>
      </c>
    </row>
    <row r="48">
      <c r="A48" s="96" t="inlineStr">
        <is>
          <t>7670345846724528903</t>
        </is>
      </c>
      <c r="B48" s="98" t="inlineStr">
        <is>
          <t>yvesrochermexico</t>
        </is>
      </c>
      <c r="C48" s="40" t="inlineStr">
        <is>
          <t>MX</t>
        </is>
      </c>
      <c r="D48" s="100" t="n">
        <v>3243.58</v>
      </c>
      <c r="E48" s="40">
        <f>D48/1.16</f>
        <v/>
      </c>
      <c r="F48" s="40">
        <f>D48/J48</f>
        <v/>
      </c>
      <c r="G48" s="92">
        <f>F48/1.16</f>
        <v/>
      </c>
      <c r="H48" s="92" t="n">
        <v>587.84</v>
      </c>
      <c r="I48" s="26" t="n">
        <v>1</v>
      </c>
      <c r="J48" s="74">
        <f>LET(dec, I48-INT(I48), IF(dec&lt;0.1, INT(I48), IF(dec&lt;=0.7, INT(I48)+0.5, INT(I48)+1)))</f>
        <v/>
      </c>
      <c r="K48" s="93" t="n">
        <v>46238</v>
      </c>
      <c r="L48" s="36" t="inlineStr">
        <is>
          <t>PAOLA LUNA</t>
        </is>
      </c>
      <c r="M48" s="89" t="n"/>
      <c r="N48" s="89" t="inlineStr">
        <is>
          <t>GUILLERMO</t>
        </is>
      </c>
    </row>
    <row r="49">
      <c r="A49" s="96" t="inlineStr">
        <is>
          <t>7671087914637478674</t>
        </is>
      </c>
      <c r="B49" s="98" t="inlineStr">
        <is>
          <t>yvesrochermexico</t>
        </is>
      </c>
      <c r="C49" s="40" t="inlineStr">
        <is>
          <t>MX</t>
        </is>
      </c>
      <c r="D49" s="100" t="n">
        <v>8590.99</v>
      </c>
      <c r="E49" s="40">
        <f>D49/1.16</f>
        <v/>
      </c>
      <c r="F49" s="40">
        <f>D49/J49</f>
        <v/>
      </c>
      <c r="G49" s="92">
        <f>F49/1.16</f>
        <v/>
      </c>
      <c r="H49" s="92" t="n">
        <v>1502.72</v>
      </c>
      <c r="I49" s="26" t="n">
        <v>3</v>
      </c>
      <c r="J49" s="74">
        <f>LET(dec, I49-INT(I49), IF(dec&lt;0.1, INT(I49), IF(dec&lt;=0.7, INT(I49)+0.5, INT(I49)+1)))</f>
        <v/>
      </c>
      <c r="K49" s="93" t="n">
        <v>46240</v>
      </c>
      <c r="L49" s="36" t="inlineStr">
        <is>
          <t>PAOLA LUNA</t>
        </is>
      </c>
      <c r="M49" s="89" t="n"/>
      <c r="N49" s="89" t="inlineStr">
        <is>
          <t>GUILLERMO</t>
        </is>
      </c>
    </row>
    <row r="50">
      <c r="A50" s="96" t="inlineStr">
        <is>
          <t>7672185830623382292</t>
        </is>
      </c>
      <c r="B50" s="98" t="inlineStr">
        <is>
          <t>yvesrochermexico</t>
        </is>
      </c>
      <c r="C50" s="40" t="inlineStr">
        <is>
          <t>MX</t>
        </is>
      </c>
      <c r="D50" s="100" t="n">
        <v>4132.24</v>
      </c>
      <c r="E50" s="40">
        <f>D50/1.16</f>
        <v/>
      </c>
      <c r="F50" s="40">
        <f>D50/J50</f>
        <v/>
      </c>
      <c r="G50" s="92">
        <f>F50/1.16</f>
        <v/>
      </c>
      <c r="H50" s="92" t="n">
        <v>1128.66</v>
      </c>
      <c r="I50" s="26" t="n">
        <v>3</v>
      </c>
      <c r="J50" s="74">
        <f>LET(dec, I50-INT(I50), IF(dec&lt;0.1, INT(I50), IF(dec&lt;=0.7, INT(I50)+0.5, INT(I50)+1)))</f>
        <v/>
      </c>
      <c r="K50" s="93" t="n">
        <v>46243</v>
      </c>
      <c r="L50" s="36" t="inlineStr">
        <is>
          <t>PAOLA LUNA</t>
        </is>
      </c>
      <c r="M50" s="89" t="n"/>
      <c r="N50" s="89" t="inlineStr">
        <is>
          <t>GUILLERMO</t>
        </is>
      </c>
    </row>
    <row r="51">
      <c r="A51" s="96" t="inlineStr">
        <is>
          <t>7672943598114966293</t>
        </is>
      </c>
      <c r="B51" s="98" t="inlineStr">
        <is>
          <t>yvesrochermexico</t>
        </is>
      </c>
      <c r="C51" s="40" t="inlineStr">
        <is>
          <t>MX</t>
        </is>
      </c>
      <c r="D51" s="100" t="n">
        <v>4352.51</v>
      </c>
      <c r="E51" s="40">
        <f>D51/1.16</f>
        <v/>
      </c>
      <c r="F51" s="40">
        <f>D51/J51</f>
        <v/>
      </c>
      <c r="G51" s="92">
        <f>F51/1.16</f>
        <v/>
      </c>
      <c r="H51" s="92" t="n">
        <v>645.39</v>
      </c>
      <c r="I51" s="26" t="n">
        <v>3</v>
      </c>
      <c r="J51" s="74">
        <f>LET(dec, I51-INT(I51), IF(dec&lt;0.1, INT(I51), IF(dec&lt;=0.7, INT(I51)+0.5, INT(I51)+1)))</f>
        <v/>
      </c>
      <c r="K51" s="93" t="n">
        <v>46245</v>
      </c>
      <c r="L51" s="36" t="inlineStr">
        <is>
          <t>PAOLA LUNA</t>
        </is>
      </c>
      <c r="M51" s="89" t="n"/>
      <c r="N51" s="89" t="inlineStr">
        <is>
          <t>GUILLERMO</t>
        </is>
      </c>
    </row>
    <row r="52">
      <c r="A52" s="96" t="inlineStr">
        <is>
          <t>7673686403603647239</t>
        </is>
      </c>
      <c r="B52" s="98" t="inlineStr">
        <is>
          <t>yvesrochermexico</t>
        </is>
      </c>
      <c r="C52" s="40" t="inlineStr">
        <is>
          <t>MX</t>
        </is>
      </c>
      <c r="D52" s="100" t="n">
        <v>2343.22</v>
      </c>
      <c r="E52" s="40">
        <f>D52/1.16</f>
        <v/>
      </c>
      <c r="F52" s="40">
        <f>D52/J52</f>
        <v/>
      </c>
      <c r="G52" s="92">
        <f>F52/1.16</f>
        <v/>
      </c>
      <c r="H52" s="92" t="n">
        <v>476.18</v>
      </c>
      <c r="I52" s="26" t="n">
        <v>3</v>
      </c>
      <c r="J52" s="74">
        <f>LET(dec, I52-INT(I52), IF(dec&lt;0.1, INT(I52), IF(dec&lt;=0.7, INT(I52)+0.5, INT(I52)+1)))</f>
        <v/>
      </c>
      <c r="K52" s="93" t="n">
        <v>46247</v>
      </c>
      <c r="L52" s="36" t="inlineStr">
        <is>
          <t>PAOLA LUNA</t>
        </is>
      </c>
      <c r="M52" s="89" t="n"/>
      <c r="N52" s="89" t="inlineStr">
        <is>
          <t>GUILLERMO</t>
        </is>
      </c>
    </row>
    <row r="53">
      <c r="A53" s="96" t="inlineStr">
        <is>
          <t>7674788436410813204</t>
        </is>
      </c>
      <c r="B53" s="98" t="inlineStr">
        <is>
          <t>yvesrochermexico</t>
        </is>
      </c>
      <c r="C53" s="40" t="inlineStr">
        <is>
          <t>MX</t>
        </is>
      </c>
      <c r="D53" s="100" t="n">
        <v>3185.24</v>
      </c>
      <c r="E53" s="40">
        <f>D53/1.16</f>
        <v/>
      </c>
      <c r="F53" s="40">
        <f>D53/J53</f>
        <v/>
      </c>
      <c r="G53" s="92">
        <f>F53/1.16</f>
        <v/>
      </c>
      <c r="H53" s="92" t="n">
        <v>632.5599999999999</v>
      </c>
      <c r="I53" s="26" t="n">
        <v>4</v>
      </c>
      <c r="J53" s="74">
        <f>LET(dec, I53-INT(I53), IF(dec&lt;0.1, INT(I53), IF(dec&lt;=0.7, INT(I53)+0.5, INT(I53)+1)))</f>
        <v/>
      </c>
      <c r="K53" s="93" t="n">
        <v>46250</v>
      </c>
      <c r="L53" s="36" t="inlineStr">
        <is>
          <t>PAOLA LUNA</t>
        </is>
      </c>
      <c r="M53" s="89" t="n"/>
      <c r="N53" s="89" t="inlineStr">
        <is>
          <t>GUILLERMO</t>
        </is>
      </c>
    </row>
    <row r="54">
      <c r="A54" s="96" t="inlineStr">
        <is>
          <t>7675541282610268936</t>
        </is>
      </c>
      <c r="B54" s="98" t="inlineStr">
        <is>
          <t>yvesrochermexico</t>
        </is>
      </c>
      <c r="C54" s="40" t="inlineStr">
        <is>
          <t>MX</t>
        </is>
      </c>
      <c r="D54" s="100" t="n">
        <v>4095.93</v>
      </c>
      <c r="E54" s="40">
        <f>D54/1.16</f>
        <v/>
      </c>
      <c r="F54" s="40">
        <f>D54/J54</f>
        <v/>
      </c>
      <c r="G54" s="92">
        <f>F54/1.16</f>
        <v/>
      </c>
      <c r="H54" s="92" t="n">
        <v>855.67</v>
      </c>
      <c r="I54" s="26" t="n">
        <v>3</v>
      </c>
      <c r="J54" s="74">
        <f>LET(dec, I54-INT(I54), IF(dec&lt;0.1, INT(I54), IF(dec&lt;=0.7, INT(I54)+0.5, INT(I54)+1)))</f>
        <v/>
      </c>
      <c r="K54" s="93" t="n">
        <v>46252</v>
      </c>
      <c r="L54" s="36" t="inlineStr">
        <is>
          <t>PAOLA LUNA</t>
        </is>
      </c>
      <c r="M54" s="89" t="n"/>
      <c r="N54" s="89" t="inlineStr">
        <is>
          <t>GUILLERMO</t>
        </is>
      </c>
    </row>
    <row r="55">
      <c r="A55" s="96" t="inlineStr">
        <is>
          <t>7676283406876527380</t>
        </is>
      </c>
      <c r="B55" s="98" t="inlineStr">
        <is>
          <t>yvesrochermexico</t>
        </is>
      </c>
      <c r="C55" s="40" t="inlineStr">
        <is>
          <t>MX</t>
        </is>
      </c>
      <c r="D55" s="100" t="n">
        <v>4716.23</v>
      </c>
      <c r="E55" s="40">
        <f>D55/1.16</f>
        <v/>
      </c>
      <c r="F55" s="40">
        <f>D55/J55</f>
        <v/>
      </c>
      <c r="G55" s="92">
        <f>F55/1.16</f>
        <v/>
      </c>
      <c r="H55" s="92" t="n">
        <v>865.79</v>
      </c>
      <c r="I55" s="26" t="n">
        <v>3</v>
      </c>
      <c r="J55" s="74">
        <f>LET(dec, I55-INT(I55), IF(dec&lt;0.1, INT(I55), IF(dec&lt;=0.7, INT(I55)+0.5, INT(I55)+1)))</f>
        <v/>
      </c>
      <c r="K55" s="93" t="n">
        <v>46254</v>
      </c>
      <c r="L55" s="89" t="inlineStr">
        <is>
          <t>SILVANA</t>
        </is>
      </c>
      <c r="M55" s="89" t="n"/>
      <c r="N55" s="89" t="inlineStr">
        <is>
          <t>GUILLERMO</t>
        </is>
      </c>
    </row>
    <row r="56">
      <c r="A56" s="96" t="inlineStr">
        <is>
          <t>7677381141180238610</t>
        </is>
      </c>
      <c r="B56" s="98" t="inlineStr">
        <is>
          <t>yvesrochermexico</t>
        </is>
      </c>
      <c r="C56" s="40" t="inlineStr">
        <is>
          <t>MX</t>
        </is>
      </c>
      <c r="D56" s="100" t="n">
        <v>5610.98</v>
      </c>
      <c r="E56" s="40">
        <f>D56/1.16</f>
        <v/>
      </c>
      <c r="F56" s="40">
        <f>D56/J56</f>
        <v/>
      </c>
      <c r="G56" s="92">
        <f>F56/1.16</f>
        <v/>
      </c>
      <c r="H56" s="92" t="n">
        <v>344.77</v>
      </c>
      <c r="I56" s="26" t="n">
        <v>3</v>
      </c>
      <c r="J56" s="74">
        <f>LET(dec, I56-INT(I56), IF(dec&lt;0.1, INT(I56), IF(dec&lt;=0.7, INT(I56)+0.5, INT(I56)+1)))</f>
        <v/>
      </c>
      <c r="K56" s="93" t="n">
        <v>46257</v>
      </c>
      <c r="L56" s="36" t="inlineStr">
        <is>
          <t>PAOLA LUNA</t>
        </is>
      </c>
      <c r="M56" s="89" t="n"/>
      <c r="N56" s="89" t="inlineStr">
        <is>
          <t>GUILLERMO</t>
        </is>
      </c>
    </row>
    <row r="57">
      <c r="A57" s="96" t="inlineStr">
        <is>
          <t>7678138748903475975</t>
        </is>
      </c>
      <c r="B57" s="98" t="inlineStr">
        <is>
          <t>yvesrochermexico</t>
        </is>
      </c>
      <c r="C57" s="40" t="inlineStr">
        <is>
          <t>MX</t>
        </is>
      </c>
      <c r="D57" s="100" t="n">
        <v>1646.75</v>
      </c>
      <c r="E57" s="40">
        <f>D57/1.16</f>
        <v/>
      </c>
      <c r="F57" s="40">
        <f>D57/J57</f>
        <v/>
      </c>
      <c r="G57" s="92">
        <f>F57/1.16</f>
        <v/>
      </c>
      <c r="H57" s="92" t="n">
        <v>398.4</v>
      </c>
      <c r="I57" s="26" t="n">
        <v>3</v>
      </c>
      <c r="J57" s="74">
        <f>LET(dec, I57-INT(I57), IF(dec&lt;0.1, INT(I57), IF(dec&lt;=0.7, INT(I57)+0.5, INT(I57)+1)))</f>
        <v/>
      </c>
      <c r="K57" s="93" t="n">
        <v>46259</v>
      </c>
      <c r="L57" s="89" t="inlineStr">
        <is>
          <t>SILVANA</t>
        </is>
      </c>
      <c r="M57" s="89" t="n"/>
      <c r="N57" s="89" t="inlineStr">
        <is>
          <t>GUILLERMO</t>
        </is>
      </c>
    </row>
    <row r="58">
      <c r="A58" s="96" t="inlineStr">
        <is>
          <t>7678880793904614152</t>
        </is>
      </c>
      <c r="B58" s="98" t="inlineStr">
        <is>
          <t>yvesrochermexico</t>
        </is>
      </c>
      <c r="C58" s="40" t="inlineStr">
        <is>
          <t>MX</t>
        </is>
      </c>
      <c r="D58" s="100" t="n">
        <v>6338.61</v>
      </c>
      <c r="E58" s="40">
        <f>D58/1.16</f>
        <v/>
      </c>
      <c r="F58" s="40">
        <f>D58/J58</f>
        <v/>
      </c>
      <c r="G58" s="92">
        <f>F58/1.16</f>
        <v/>
      </c>
      <c r="H58" s="92" t="inlineStr">
        <is>
          <t>1.19K</t>
        </is>
      </c>
      <c r="I58" s="26" t="n">
        <v>3</v>
      </c>
      <c r="J58" s="74">
        <f>LET(dec, I58-INT(I58), IF(dec&lt;0.1, INT(I58), IF(dec&lt;=0.7, INT(I58)+0.5, INT(I58)+1)))</f>
        <v/>
      </c>
      <c r="K58" s="93" t="n">
        <v>46261</v>
      </c>
      <c r="L58" s="36" t="inlineStr">
        <is>
          <t>PAOLA LUNA</t>
        </is>
      </c>
      <c r="M58" s="89" t="n"/>
      <c r="N58" s="89" t="inlineStr">
        <is>
          <t>GUILLERMO</t>
        </is>
      </c>
    </row>
    <row r="59">
      <c r="K59" s="84" t="n"/>
    </row>
    <row r="60">
      <c r="A60" s="7" t="inlineStr">
        <is>
          <t>Room ID</t>
        </is>
      </c>
      <c r="B60" s="7" t="inlineStr">
        <is>
          <t>TT Handle</t>
        </is>
      </c>
      <c r="C60" s="7" t="inlineStr">
        <is>
          <t>Country</t>
        </is>
      </c>
      <c r="D60" s="7" t="inlineStr">
        <is>
          <t>GMV</t>
        </is>
      </c>
      <c r="E60" s="7" t="inlineStr">
        <is>
          <t>GMV/sin EVA</t>
        </is>
      </c>
      <c r="F60" s="7" t="inlineStr">
        <is>
          <t>GMV PER HOUR</t>
        </is>
      </c>
      <c r="G60" s="7" t="inlineStr">
        <is>
          <t>GMV PER HOUR/sin EVA</t>
        </is>
      </c>
      <c r="H60" s="7" t="inlineStr">
        <is>
          <t>Ads Cost</t>
        </is>
      </c>
      <c r="I60" s="7" t="inlineStr">
        <is>
          <t>Duration (H)</t>
        </is>
      </c>
      <c r="J60" s="70" t="inlineStr">
        <is>
          <t>Duration （Formula）</t>
        </is>
      </c>
      <c r="K60" s="58" t="inlineStr">
        <is>
          <t>Start date</t>
        </is>
      </c>
      <c r="L60" s="71" t="inlineStr">
        <is>
          <t>HOST 1</t>
        </is>
      </c>
      <c r="M60" s="71" t="inlineStr">
        <is>
          <t xml:space="preserve">HOST 2 </t>
        </is>
      </c>
      <c r="N60" s="71" t="inlineStr">
        <is>
          <t>Operator</t>
        </is>
      </c>
    </row>
    <row r="61">
      <c r="A61" s="96" t="inlineStr">
        <is>
          <t>7679994298525829909</t>
        </is>
      </c>
      <c r="B61" s="98" t="inlineStr">
        <is>
          <t>yvesrochermexico</t>
        </is>
      </c>
      <c r="C61" s="40" t="inlineStr">
        <is>
          <t>MX</t>
        </is>
      </c>
      <c r="D61" s="100" t="n">
        <v>6513.43</v>
      </c>
      <c r="E61" s="40">
        <f>D61/1.16</f>
        <v/>
      </c>
      <c r="F61" s="40">
        <f>D61/J61</f>
        <v/>
      </c>
      <c r="G61" s="92">
        <f>F61/1.16</f>
        <v/>
      </c>
      <c r="H61" s="92" t="n">
        <v>1388.56</v>
      </c>
      <c r="I61" s="26" t="n">
        <v>3.01</v>
      </c>
      <c r="J61" s="74">
        <f>LET(dec, I61-INT(I61), IF(dec&lt;0.1, INT(I61), IF(dec&lt;=0.7, INT(I61)+0.5, INT(I61)+1)))</f>
        <v/>
      </c>
      <c r="K61" s="93" t="n">
        <v>46264</v>
      </c>
      <c r="L61" s="89" t="inlineStr">
        <is>
          <t>SILVANA</t>
        </is>
      </c>
      <c r="M61" s="89" t="n"/>
      <c r="N61" s="89" t="inlineStr">
        <is>
          <t>GUILLERMO</t>
        </is>
      </c>
    </row>
    <row r="62">
      <c r="A62" s="96" t="inlineStr">
        <is>
          <t>7680365681514236679</t>
        </is>
      </c>
      <c r="B62" s="98" t="inlineStr">
        <is>
          <t>yvesrochermexico</t>
        </is>
      </c>
      <c r="C62" s="40" t="inlineStr">
        <is>
          <t>MX</t>
        </is>
      </c>
      <c r="D62" s="100" t="n">
        <v>3378.44</v>
      </c>
      <c r="E62" s="40">
        <f>D62/1.16</f>
        <v/>
      </c>
      <c r="F62" s="40">
        <f>D62/J62</f>
        <v/>
      </c>
      <c r="G62" s="92">
        <f>F62/1.16</f>
        <v/>
      </c>
      <c r="H62" s="92" t="n">
        <v>640.62</v>
      </c>
      <c r="I62" s="26" t="n">
        <v>3.01</v>
      </c>
      <c r="J62" s="74">
        <f>LET(dec, I62-INT(I62), IF(dec&lt;0.1, INT(I62), IF(dec&lt;=0.7, INT(I62)+0.5, INT(I62)+1)))</f>
        <v/>
      </c>
      <c r="K62" s="93" t="n">
        <v>46265</v>
      </c>
      <c r="L62" s="36" t="inlineStr">
        <is>
          <t>PAOLA LUNA</t>
        </is>
      </c>
      <c r="M62" s="89" t="n"/>
      <c r="N62" s="89" t="inlineStr">
        <is>
          <t>GUILLERMO</t>
        </is>
      </c>
    </row>
    <row r="63">
      <c r="A63" s="96" t="inlineStr">
        <is>
          <t>7681108122284198676</t>
        </is>
      </c>
      <c r="B63" s="98" t="inlineStr">
        <is>
          <t>yvesrochermexico</t>
        </is>
      </c>
      <c r="C63" s="40" t="inlineStr">
        <is>
          <t>MX</t>
        </is>
      </c>
      <c r="D63" s="100" t="n">
        <v>3777.16</v>
      </c>
      <c r="E63" s="40">
        <f>D63/1.16</f>
        <v/>
      </c>
      <c r="F63" s="40">
        <f>D63/J63</f>
        <v/>
      </c>
      <c r="G63" s="92">
        <f>F63/1.16</f>
        <v/>
      </c>
      <c r="H63" s="92" t="n">
        <v>830</v>
      </c>
      <c r="I63" s="26" t="n">
        <v>3.01</v>
      </c>
      <c r="J63" s="74">
        <f>LET(dec, I63-INT(I63), IF(dec&lt;0.1, INT(I63), IF(dec&lt;=0.7, INT(I63)+0.5, INT(I63)+1)))</f>
        <v/>
      </c>
      <c r="K63" s="93" t="n">
        <v>46267</v>
      </c>
      <c r="L63" s="36" t="inlineStr">
        <is>
          <t>PAOLA LUNA</t>
        </is>
      </c>
      <c r="M63" s="89" t="n"/>
      <c r="N63" s="89" t="inlineStr">
        <is>
          <t>GUILLERMO</t>
        </is>
      </c>
    </row>
    <row r="64">
      <c r="A64" s="96" t="inlineStr">
        <is>
          <t>7681725999704738581</t>
        </is>
      </c>
      <c r="B64" s="98" t="inlineStr">
        <is>
          <t>yvesrochermexico</t>
        </is>
      </c>
      <c r="C64" s="40" t="inlineStr">
        <is>
          <t>MX</t>
        </is>
      </c>
      <c r="D64" s="100" t="n">
        <v>2154.22</v>
      </c>
      <c r="E64" s="40">
        <f>D64/1.16</f>
        <v/>
      </c>
      <c r="F64" s="40">
        <f>D64/J64</f>
        <v/>
      </c>
      <c r="G64" s="92">
        <f>F64/1.16</f>
        <v/>
      </c>
      <c r="H64" s="92" t="n">
        <v>400</v>
      </c>
      <c r="I64" s="26" t="n">
        <v>3.01</v>
      </c>
      <c r="J64" s="74">
        <f>LET(dec, I64-INT(I64), IF(dec&lt;0.1, INT(I64), IF(dec&lt;=0.7, INT(I64)+0.5, INT(I64)+1)))</f>
        <v/>
      </c>
      <c r="K64" s="93" t="n">
        <v>46269</v>
      </c>
      <c r="L64" s="36" t="inlineStr">
        <is>
          <t>PAOLA LUNA</t>
        </is>
      </c>
      <c r="M64" s="89" t="n"/>
      <c r="N64" s="89" t="inlineStr">
        <is>
          <t>GUILLERMO</t>
        </is>
      </c>
    </row>
    <row r="65">
      <c r="A65" s="96" t="inlineStr">
        <is>
          <t>7682082681068440340</t>
        </is>
      </c>
      <c r="B65" s="98" t="inlineStr">
        <is>
          <t>yvesrochermexico</t>
        </is>
      </c>
      <c r="C65" s="40" t="inlineStr">
        <is>
          <t>MX</t>
        </is>
      </c>
      <c r="D65" s="100" t="n">
        <v>3720.7</v>
      </c>
      <c r="E65" s="40">
        <f>D65/1.16</f>
        <v/>
      </c>
      <c r="F65" s="40">
        <f>D65/J65</f>
        <v/>
      </c>
      <c r="G65" s="92">
        <f>F65/1.16</f>
        <v/>
      </c>
      <c r="H65" s="92" t="n">
        <v>787</v>
      </c>
      <c r="I65" s="26" t="n">
        <v>3</v>
      </c>
      <c r="J65" s="74">
        <f>LET(dec, I65-INT(I65), IF(dec&lt;0.1, INT(I65), IF(dec&lt;=0.7, INT(I65)+0.5, INT(I65)+1)))</f>
        <v/>
      </c>
      <c r="K65" s="93" t="n">
        <v>46270</v>
      </c>
      <c r="L65" s="89" t="inlineStr">
        <is>
          <t>SILVANA</t>
        </is>
      </c>
      <c r="M65" s="89" t="n"/>
      <c r="N65" s="38" t="inlineStr">
        <is>
          <t>RODRIGO LOPEZ</t>
        </is>
      </c>
    </row>
    <row r="66">
      <c r="A66" s="96" t="inlineStr">
        <is>
          <t>7682962962042522389</t>
        </is>
      </c>
      <c r="B66" s="98" t="inlineStr">
        <is>
          <t>yvesrochermexico</t>
        </is>
      </c>
      <c r="C66" s="40" t="inlineStr">
        <is>
          <t>MX</t>
        </is>
      </c>
      <c r="D66" s="100" t="n">
        <v>668.13</v>
      </c>
      <c r="E66" s="40">
        <f>D66/1.16</f>
        <v/>
      </c>
      <c r="F66" s="40">
        <f>D66/J66</f>
        <v/>
      </c>
      <c r="G66" s="92">
        <f>F66/1.16</f>
        <v/>
      </c>
      <c r="H66" s="92" t="n">
        <v>595</v>
      </c>
      <c r="I66" s="26" t="n">
        <v>2.62</v>
      </c>
      <c r="J66" s="74">
        <f>LET(dec, I66-INT(I66), IF(dec&lt;0.1, INT(I66), IF(dec&lt;=0.7, INT(I66)+0.5, INT(I66)+1)))</f>
        <v/>
      </c>
      <c r="K66" s="93" t="n">
        <v>46272</v>
      </c>
      <c r="L66" s="89" t="inlineStr">
        <is>
          <t>SILVANA</t>
        </is>
      </c>
      <c r="M66" s="89" t="n"/>
      <c r="N66" s="89" t="inlineStr">
        <is>
          <t>GUILLERMO</t>
        </is>
      </c>
    </row>
    <row r="67">
      <c r="A67" s="96" t="inlineStr">
        <is>
          <t>7684068391259573012</t>
        </is>
      </c>
      <c r="B67" s="98" t="inlineStr">
        <is>
          <t>yvesrochermexico</t>
        </is>
      </c>
      <c r="C67" s="40" t="inlineStr">
        <is>
          <t>MX</t>
        </is>
      </c>
      <c r="D67" s="100" t="n">
        <v>4692.27</v>
      </c>
      <c r="E67" s="40">
        <f>D67/1.16</f>
        <v/>
      </c>
      <c r="F67" s="40">
        <f>D67/J67</f>
        <v/>
      </c>
      <c r="G67" s="92">
        <f>F67/1.16</f>
        <v/>
      </c>
      <c r="H67" s="92" t="n">
        <v>1080</v>
      </c>
      <c r="I67" s="26" t="n">
        <v>3.5</v>
      </c>
      <c r="J67" s="74">
        <f>LET(dec, I67-INT(I67), IF(dec&lt;0.1, INT(I67), IF(dec&lt;=0.7, INT(I67)+0.5, INT(I67)+1)))</f>
        <v/>
      </c>
      <c r="K67" s="93" t="n">
        <v>46275</v>
      </c>
      <c r="L67" s="36" t="inlineStr">
        <is>
          <t>PAOLA LUNA</t>
        </is>
      </c>
      <c r="M67" s="89" t="n"/>
      <c r="N67" s="89" t="inlineStr">
        <is>
          <t>GUILLERMO</t>
        </is>
      </c>
    </row>
    <row r="68">
      <c r="A68" s="96" t="inlineStr">
        <is>
          <t>7684679518251797255</t>
        </is>
      </c>
      <c r="B68" s="98" t="inlineStr">
        <is>
          <t>yvesrochermexico</t>
        </is>
      </c>
      <c r="C68" s="40" t="inlineStr">
        <is>
          <t>MX</t>
        </is>
      </c>
      <c r="D68" s="100" t="n">
        <v>3822.95</v>
      </c>
      <c r="E68" s="40">
        <f>D68/1.16</f>
        <v/>
      </c>
      <c r="F68" s="40">
        <f>D68/J68</f>
        <v/>
      </c>
      <c r="G68" s="92">
        <f>F68/1.16</f>
        <v/>
      </c>
      <c r="H68" s="92" t="n">
        <v>1050</v>
      </c>
      <c r="I68" s="26" t="n">
        <v>3</v>
      </c>
      <c r="J68" s="74">
        <f>LET(dec, I68-INT(I68), IF(dec&lt;0.1, INT(I68), IF(dec&lt;=0.7, INT(I68)+0.5, INT(I68)+1)))</f>
        <v/>
      </c>
      <c r="K68" s="93" t="n">
        <v>46277</v>
      </c>
      <c r="L68" s="36" t="inlineStr">
        <is>
          <t>PAOLA LUNA</t>
        </is>
      </c>
      <c r="M68" s="89" t="n"/>
      <c r="N68" s="89" t="inlineStr">
        <is>
          <t>GUILLERMO</t>
        </is>
      </c>
    </row>
    <row r="69">
      <c r="A69" s="96" t="inlineStr">
        <is>
          <t>7685560573295889172</t>
        </is>
      </c>
      <c r="B69" s="98" t="inlineStr">
        <is>
          <t>yvesrochermexico</t>
        </is>
      </c>
      <c r="C69" s="40" t="inlineStr">
        <is>
          <t>MX</t>
        </is>
      </c>
      <c r="D69" s="100" t="n">
        <v>305.41</v>
      </c>
      <c r="E69" s="40">
        <f>D69/1.16</f>
        <v/>
      </c>
      <c r="F69" s="40">
        <f>D69/J69</f>
        <v/>
      </c>
      <c r="G69" s="92">
        <f>F69/1.16</f>
        <v/>
      </c>
      <c r="H69" s="92" t="n">
        <v>522</v>
      </c>
      <c r="I69" s="26" t="n">
        <v>1.51</v>
      </c>
      <c r="J69" s="74">
        <f>LET(dec, I69-INT(I69), IF(dec&lt;0.1, INT(I69), IF(dec&lt;=0.7, INT(I69)+0.5, INT(I69)+1)))</f>
        <v/>
      </c>
      <c r="K69" s="93" t="n">
        <v>46279</v>
      </c>
      <c r="L69" s="36" t="inlineStr">
        <is>
          <t>PAOLA LUNA</t>
        </is>
      </c>
      <c r="M69" s="89" t="n"/>
      <c r="N69" s="89" t="inlineStr">
        <is>
          <t>GUILLERMO</t>
        </is>
      </c>
    </row>
    <row r="70">
      <c r="A70" s="96" t="inlineStr">
        <is>
          <t>7686657818293717780</t>
        </is>
      </c>
      <c r="B70" s="98" t="inlineStr">
        <is>
          <t>yvesrochermexico</t>
        </is>
      </c>
      <c r="C70" s="40" t="inlineStr">
        <is>
          <t>MX</t>
        </is>
      </c>
      <c r="D70" s="100" t="n">
        <v>2785.83</v>
      </c>
      <c r="E70" s="40">
        <f>D70/1.16</f>
        <v/>
      </c>
      <c r="F70" s="40">
        <f>D70/J70</f>
        <v/>
      </c>
      <c r="G70" s="92">
        <f>F70/1.16</f>
        <v/>
      </c>
      <c r="H70" s="92" t="n">
        <v>485</v>
      </c>
      <c r="I70" s="26" t="n">
        <v>4.01</v>
      </c>
      <c r="J70" s="74">
        <f>LET(dec, I70-INT(I70), IF(dec&lt;0.1, INT(I70), IF(dec&lt;=0.7, INT(I70)+0.5, INT(I70)+1)))</f>
        <v/>
      </c>
      <c r="K70" s="93" t="n">
        <v>46282</v>
      </c>
      <c r="L70" s="89" t="inlineStr">
        <is>
          <t>SILVANA</t>
        </is>
      </c>
      <c r="M70" s="89" t="n"/>
      <c r="N70" s="89" t="inlineStr">
        <is>
          <t>GUILLERMO</t>
        </is>
      </c>
    </row>
    <row r="71">
      <c r="A71" s="96" t="inlineStr">
        <is>
          <t>7687277285392665364</t>
        </is>
      </c>
      <c r="B71" s="98" t="inlineStr">
        <is>
          <t>yvesrochermexico</t>
        </is>
      </c>
      <c r="C71" s="40" t="inlineStr">
        <is>
          <t>MX</t>
        </is>
      </c>
      <c r="D71" s="100" t="n">
        <v>3067.83</v>
      </c>
      <c r="E71" s="40">
        <f>D71/1.16</f>
        <v/>
      </c>
      <c r="F71" s="40">
        <f>D71/J71</f>
        <v/>
      </c>
      <c r="G71" s="92">
        <f>F71/1.16</f>
        <v/>
      </c>
      <c r="H71" s="92" t="n">
        <v>900</v>
      </c>
      <c r="I71" s="26" t="n">
        <v>4</v>
      </c>
      <c r="J71" s="74">
        <f>LET(dec, I71-INT(I71), IF(dec&lt;0.1, INT(I71), IF(dec&lt;=0.7, INT(I71)+0.5, INT(I71)+1)))</f>
        <v/>
      </c>
      <c r="K71" s="93" t="n">
        <v>46284</v>
      </c>
      <c r="L71" s="36" t="inlineStr">
        <is>
          <t>PAOLA LUNA</t>
        </is>
      </c>
      <c r="M71" s="89" t="n"/>
      <c r="N71" s="89" t="inlineStr">
        <is>
          <t>GUILLERMO</t>
        </is>
      </c>
    </row>
    <row r="72">
      <c r="A72" s="96" t="inlineStr">
        <is>
          <t>7688513527619537682</t>
        </is>
      </c>
      <c r="B72" s="98" t="inlineStr">
        <is>
          <t>yvesrochermexico</t>
        </is>
      </c>
      <c r="C72" s="40" t="inlineStr">
        <is>
          <t>MX</t>
        </is>
      </c>
      <c r="D72" s="100" t="n">
        <v>4891.83</v>
      </c>
      <c r="E72" s="40">
        <f>D72/1.16</f>
        <v/>
      </c>
      <c r="F72" s="40">
        <f>D72/J72</f>
        <v/>
      </c>
      <c r="G72" s="92">
        <f>F72/1.16</f>
        <v/>
      </c>
      <c r="H72" s="92" t="n">
        <v>1030</v>
      </c>
      <c r="I72" s="26" t="n">
        <v>4</v>
      </c>
      <c r="J72" s="74">
        <f>LET(dec, I72-INT(I72), IF(dec&lt;0.1, INT(I72), IF(dec&lt;=0.7, INT(I72)+0.5, INT(I72)+1)))</f>
        <v/>
      </c>
      <c r="K72" s="93" t="n">
        <v>46287</v>
      </c>
      <c r="L72" s="36" t="inlineStr">
        <is>
          <t>PAOLA LUNA</t>
        </is>
      </c>
      <c r="M72" s="89" t="n"/>
      <c r="N72" s="89" t="inlineStr">
        <is>
          <t>GUILLERMO</t>
        </is>
      </c>
    </row>
    <row r="73">
      <c r="A73" s="96" t="inlineStr">
        <is>
          <t>7688884750630619911</t>
        </is>
      </c>
      <c r="B73" s="98" t="inlineStr">
        <is>
          <t>yvesrochermexico</t>
        </is>
      </c>
      <c r="C73" s="40" t="inlineStr">
        <is>
          <t>MX</t>
        </is>
      </c>
      <c r="D73" s="100" t="n">
        <v>3846.74</v>
      </c>
      <c r="E73" s="40">
        <f>D73/1.16</f>
        <v/>
      </c>
      <c r="F73" s="40">
        <f>D73/J73</f>
        <v/>
      </c>
      <c r="G73" s="92">
        <f>F73/1.16</f>
        <v/>
      </c>
      <c r="H73" s="92" t="n">
        <v>1200</v>
      </c>
      <c r="I73" s="26" t="n">
        <v>3.01</v>
      </c>
      <c r="J73" s="74">
        <f>LET(dec, I73-INT(I73), IF(dec&lt;0.1, INT(I73), IF(dec&lt;=0.7, INT(I73)+0.5, INT(I73)+1)))</f>
        <v/>
      </c>
      <c r="K73" s="93" t="n">
        <v>46288</v>
      </c>
      <c r="L73" s="89" t="inlineStr">
        <is>
          <t>SILVANA</t>
        </is>
      </c>
      <c r="M73" s="89" t="n"/>
      <c r="N73" s="89" t="inlineStr">
        <is>
          <t>GUILLERMO</t>
        </is>
      </c>
    </row>
    <row r="74">
      <c r="A74" s="96" t="inlineStr">
        <is>
          <t>7689132109578898196</t>
        </is>
      </c>
      <c r="B74" s="98" t="inlineStr">
        <is>
          <t>yvesrochermexico</t>
        </is>
      </c>
      <c r="C74" s="40" t="inlineStr">
        <is>
          <t>MX</t>
        </is>
      </c>
      <c r="D74" s="100" t="n">
        <v>1902.74</v>
      </c>
      <c r="E74" s="40">
        <f>D74/1.16</f>
        <v/>
      </c>
      <c r="F74" s="40">
        <f>D74/J74</f>
        <v/>
      </c>
      <c r="G74" s="92">
        <f>F74/1.16</f>
        <v/>
      </c>
      <c r="H74" s="92" t="n">
        <v>424.92</v>
      </c>
      <c r="I74" s="26" t="n">
        <v>3</v>
      </c>
      <c r="J74" s="74">
        <f>LET(dec, I74-INT(I74), IF(dec&lt;0.1, INT(I74), IF(dec&lt;=0.7, INT(I74)+0.5, INT(I74)+1)))</f>
        <v/>
      </c>
      <c r="K74" s="93" t="n">
        <v>46289</v>
      </c>
      <c r="L74" s="36" t="inlineStr">
        <is>
          <t>PAOLA LUNA</t>
        </is>
      </c>
      <c r="M74" s="89" t="n"/>
      <c r="N74" s="89" t="inlineStr">
        <is>
          <t>GUILLERMO</t>
        </is>
      </c>
    </row>
    <row r="75">
      <c r="K75" s="84" t="n"/>
    </row>
    <row r="76">
      <c r="A76" s="7" t="inlineStr">
        <is>
          <t>Room ID</t>
        </is>
      </c>
      <c r="B76" s="7" t="inlineStr">
        <is>
          <t>TT Handle</t>
        </is>
      </c>
      <c r="C76" s="7" t="inlineStr">
        <is>
          <t>Country</t>
        </is>
      </c>
      <c r="D76" s="7" t="inlineStr">
        <is>
          <t>GMV</t>
        </is>
      </c>
      <c r="E76" s="7" t="inlineStr">
        <is>
          <t>GMV/sin EVA</t>
        </is>
      </c>
      <c r="F76" s="7" t="inlineStr">
        <is>
          <t>GMV PER HOUR</t>
        </is>
      </c>
      <c r="G76" s="7" t="inlineStr">
        <is>
          <t>GMV PER HOUR/sin EVA</t>
        </is>
      </c>
      <c r="H76" s="7" t="inlineStr">
        <is>
          <t>Ads Cost</t>
        </is>
      </c>
      <c r="I76" s="7" t="inlineStr">
        <is>
          <t>Duration (H)</t>
        </is>
      </c>
      <c r="J76" s="70" t="inlineStr">
        <is>
          <t>Duration （Formula）</t>
        </is>
      </c>
      <c r="K76" s="58" t="inlineStr">
        <is>
          <t>Start date</t>
        </is>
      </c>
      <c r="L76" s="71" t="inlineStr">
        <is>
          <t>HOST 1</t>
        </is>
      </c>
      <c r="M76" s="71" t="inlineStr">
        <is>
          <t xml:space="preserve">HOST 2 </t>
        </is>
      </c>
      <c r="N76" s="71" t="inlineStr">
        <is>
          <t>Operator</t>
        </is>
      </c>
    </row>
    <row r="77">
      <c r="A77" s="96" t="n"/>
      <c r="B77" s="98" t="inlineStr">
        <is>
          <t>yvesrochermexico</t>
        </is>
      </c>
      <c r="C77" s="40" t="inlineStr">
        <is>
          <t>MX</t>
        </is>
      </c>
      <c r="D77" s="100" t="n">
        <v>2632.93</v>
      </c>
      <c r="E77" s="40">
        <f>D77/1.16</f>
        <v/>
      </c>
      <c r="F77" s="40">
        <f>IFERROR(D77/J77,0)</f>
        <v/>
      </c>
      <c r="G77" s="92">
        <f>F77/1.16</f>
        <v/>
      </c>
      <c r="H77" s="92" t="n"/>
      <c r="I77" s="26" t="n">
        <v>3</v>
      </c>
      <c r="J77" s="74">
        <f>IF(I77-INT(I77)&lt;0.1,INT(I77),IF(I77-INT(I77)&lt;=0.7,INT(I77)+0.5,INT(I77)+1))</f>
        <v/>
      </c>
      <c r="K77" s="93" t="n">
        <v>46293</v>
      </c>
      <c r="L77" s="36" t="inlineStr">
        <is>
          <t>SILVANA</t>
        </is>
      </c>
      <c r="M77" s="89" t="n"/>
      <c r="N77" s="89" t="inlineStr">
        <is>
          <t>GUILLERMO</t>
        </is>
      </c>
    </row>
    <row r="78">
      <c r="A78" s="96" t="n"/>
      <c r="B78" s="98" t="inlineStr">
        <is>
          <t>yvesrochermexico</t>
        </is>
      </c>
      <c r="C78" s="40" t="inlineStr">
        <is>
          <t>MX</t>
        </is>
      </c>
      <c r="D78" s="100" t="n">
        <v>975.65</v>
      </c>
      <c r="E78" s="40">
        <f>D78/1.16</f>
        <v/>
      </c>
      <c r="F78" s="40">
        <f>IFERROR(D78/J78,0)</f>
        <v/>
      </c>
      <c r="G78" s="92">
        <f>F78/1.16</f>
        <v/>
      </c>
      <c r="H78" s="92" t="n"/>
      <c r="I78" s="26" t="n">
        <v>3</v>
      </c>
      <c r="J78" s="74">
        <f>IF(I78-INT(I78)&lt;0.1,INT(I78),IF(I78-INT(I78)&lt;=0.7,INT(I78)+0.5,INT(I78)+1))</f>
        <v/>
      </c>
      <c r="K78" s="93" t="n">
        <v>46294</v>
      </c>
      <c r="L78" s="36" t="inlineStr">
        <is>
          <t>PAOLA LUNA</t>
        </is>
      </c>
      <c r="M78" s="89" t="n"/>
      <c r="N78" s="89" t="inlineStr">
        <is>
          <t>GUILLERMO</t>
        </is>
      </c>
    </row>
    <row r="79">
      <c r="A79" s="96" t="n"/>
      <c r="B79" s="98" t="inlineStr">
        <is>
          <t>yvesrochermexico</t>
        </is>
      </c>
      <c r="C79" s="40" t="inlineStr">
        <is>
          <t>MX</t>
        </is>
      </c>
      <c r="D79" s="100" t="n">
        <v>3996.79</v>
      </c>
      <c r="E79" s="40">
        <f>D79/1.16</f>
        <v/>
      </c>
      <c r="F79" s="40">
        <f>IFERROR(D79/J79,0)</f>
        <v/>
      </c>
      <c r="G79" s="92">
        <f>F79/1.16</f>
        <v/>
      </c>
      <c r="H79" s="92" t="n"/>
      <c r="I79" s="26" t="n">
        <v>3.95</v>
      </c>
      <c r="J79" s="74">
        <f>IF(I79-INT(I79)&lt;0.1,INT(I79),IF(I79-INT(I79)&lt;=0.7,INT(I79)+0.5,INT(I79)+1))</f>
        <v/>
      </c>
      <c r="K79" s="93" t="n">
        <v>46295</v>
      </c>
      <c r="L79" s="36" t="inlineStr">
        <is>
          <t>PAOLA LUNA</t>
        </is>
      </c>
      <c r="M79" s="89" t="n"/>
      <c r="N79" s="89" t="inlineStr">
        <is>
          <t>GUILLERMO</t>
        </is>
      </c>
    </row>
    <row r="80">
      <c r="A80" s="96" t="n"/>
      <c r="B80" s="98" t="inlineStr">
        <is>
          <t>yvesrochermexico</t>
        </is>
      </c>
      <c r="C80" s="40" t="inlineStr">
        <is>
          <t>MX</t>
        </is>
      </c>
      <c r="D80" s="100" t="n">
        <v>2295.52</v>
      </c>
      <c r="E80" s="40">
        <f>D80/1.16</f>
        <v/>
      </c>
      <c r="F80" s="40">
        <f>IFERROR(D80/J80,0)</f>
        <v/>
      </c>
      <c r="G80" s="92">
        <f>F80/1.16</f>
        <v/>
      </c>
      <c r="H80" s="92" t="n"/>
      <c r="I80" s="26" t="n">
        <v>4</v>
      </c>
      <c r="J80" s="74">
        <f>IF(I80-INT(I80)&lt;0.1,INT(I80),IF(I80-INT(I80)&lt;=0.7,INT(I80)+0.5,INT(I80)+1))</f>
        <v/>
      </c>
      <c r="K80" s="93" t="n">
        <v>46296</v>
      </c>
      <c r="L80" s="36" t="inlineStr">
        <is>
          <t>SILVANA</t>
        </is>
      </c>
      <c r="M80" s="89" t="n"/>
      <c r="N80" s="89" t="inlineStr">
        <is>
          <t>MAURICIO</t>
        </is>
      </c>
    </row>
    <row r="81">
      <c r="A81" s="96" t="n"/>
      <c r="B81" s="98" t="inlineStr">
        <is>
          <t>yvesrochermexico</t>
        </is>
      </c>
      <c r="C81" s="40" t="inlineStr">
        <is>
          <t>MX</t>
        </is>
      </c>
      <c r="D81" s="100" t="n">
        <v>6828.06</v>
      </c>
      <c r="E81" s="40">
        <f>D81/1.16</f>
        <v/>
      </c>
      <c r="F81" s="40">
        <f>IFERROR(D81/J81,0)</f>
        <v/>
      </c>
      <c r="G81" s="92">
        <f>F81/1.16</f>
        <v/>
      </c>
      <c r="H81" s="92" t="n"/>
      <c r="I81" s="26" t="n">
        <v>4.37</v>
      </c>
      <c r="J81" s="74">
        <f>IF(I81-INT(I81)&lt;0.1,INT(I81),IF(I81-INT(I81)&lt;=0.7,INT(I81)+0.5,INT(I81)+1))</f>
        <v/>
      </c>
      <c r="K81" s="93" t="n">
        <v>46301</v>
      </c>
      <c r="L81" s="36" t="inlineStr">
        <is>
          <t>PAOLA LUNA</t>
        </is>
      </c>
      <c r="M81" s="89" t="n"/>
      <c r="N81" s="89" t="inlineStr">
        <is>
          <t>MAURICIO</t>
        </is>
      </c>
    </row>
    <row r="82">
      <c r="A82" s="96" t="n"/>
      <c r="B82" s="98" t="inlineStr">
        <is>
          <t>yvesrochermexico</t>
        </is>
      </c>
      <c r="C82" s="40" t="inlineStr">
        <is>
          <t>MX</t>
        </is>
      </c>
      <c r="D82" s="100" t="n">
        <v>4857.14</v>
      </c>
      <c r="E82" s="40">
        <f>D82/1.16</f>
        <v/>
      </c>
      <c r="F82" s="40">
        <f>IFERROR(D82/J82,0)</f>
        <v/>
      </c>
      <c r="G82" s="92">
        <f>F82/1.16</f>
        <v/>
      </c>
      <c r="H82" s="92" t="n"/>
      <c r="I82" s="26" t="n">
        <v>3.78</v>
      </c>
      <c r="J82" s="74">
        <f>IF(I82-INT(I82)&lt;0.1,INT(I82),IF(I82-INT(I82)&lt;=0.7,INT(I82)+0.5,INT(I82)+1))</f>
        <v/>
      </c>
      <c r="K82" s="93" t="n">
        <v>46303</v>
      </c>
      <c r="L82" s="36" t="inlineStr">
        <is>
          <t>BRENDA LOPEZ</t>
        </is>
      </c>
      <c r="M82" s="89" t="n"/>
      <c r="N82" s="89" t="inlineStr">
        <is>
          <t>MAURICIO</t>
        </is>
      </c>
    </row>
    <row r="83">
      <c r="A83" s="96" t="n"/>
      <c r="B83" s="98" t="inlineStr">
        <is>
          <t>yvesrochermexico</t>
        </is>
      </c>
      <c r="C83" s="40" t="inlineStr">
        <is>
          <t>MX</t>
        </is>
      </c>
      <c r="D83" s="100" t="n">
        <v>5553.12</v>
      </c>
      <c r="E83" s="40">
        <f>D83/1.16</f>
        <v/>
      </c>
      <c r="F83" s="40">
        <f>IFERROR(D83/J83,0)</f>
        <v/>
      </c>
      <c r="G83" s="92">
        <f>F83/1.16</f>
        <v/>
      </c>
      <c r="H83" s="92" t="n"/>
      <c r="I83" s="26" t="n">
        <v>4.05</v>
      </c>
      <c r="J83" s="74">
        <f>IF(I83-INT(I83)&lt;0.1,INT(I83),IF(I83-INT(I83)&lt;=0.7,INT(I83)+0.5,INT(I83)+1))</f>
        <v/>
      </c>
      <c r="K83" s="93" t="n">
        <v>46305</v>
      </c>
      <c r="L83" s="36" t="inlineStr">
        <is>
          <t>BRENDA LOPEZ</t>
        </is>
      </c>
      <c r="M83" s="89" t="n"/>
      <c r="N83" s="89" t="inlineStr">
        <is>
          <t>MAURICIO</t>
        </is>
      </c>
    </row>
    <row r="84">
      <c r="A84" s="96" t="n"/>
      <c r="B84" s="98" t="inlineStr">
        <is>
          <t>yvesrochermexico</t>
        </is>
      </c>
      <c r="C84" s="40" t="inlineStr">
        <is>
          <t>MX</t>
        </is>
      </c>
      <c r="D84" s="100" t="n">
        <v>847.8</v>
      </c>
      <c r="E84" s="40">
        <f>D84/1.16</f>
        <v/>
      </c>
      <c r="F84" s="40">
        <f>IFERROR(D84/J84,0)</f>
        <v/>
      </c>
      <c r="G84" s="92">
        <f>F84/1.16</f>
        <v/>
      </c>
      <c r="H84" s="92" t="n"/>
      <c r="I84" s="26" t="n">
        <v>3.98</v>
      </c>
      <c r="J84" s="74">
        <f>IF(I84-INT(I84)&lt;0.1,INT(I84),IF(I84-INT(I84)&lt;=0.7,INT(I84)+0.5,INT(I84)+1))</f>
        <v/>
      </c>
      <c r="K84" s="93" t="n">
        <v>46308</v>
      </c>
      <c r="L84" s="36" t="inlineStr">
        <is>
          <t>BRENDA LOPEZ</t>
        </is>
      </c>
      <c r="M84" s="89" t="n"/>
      <c r="N84" s="89" t="inlineStr">
        <is>
          <t>MAURICIO</t>
        </is>
      </c>
    </row>
    <row r="85">
      <c r="A85" s="96" t="n"/>
      <c r="B85" s="98" t="inlineStr">
        <is>
          <t>yvesrochermexico</t>
        </is>
      </c>
      <c r="C85" s="40" t="inlineStr">
        <is>
          <t>MX</t>
        </is>
      </c>
      <c r="D85" s="100" t="n">
        <v>3253.41</v>
      </c>
      <c r="E85" s="40">
        <f>D85/1.16</f>
        <v/>
      </c>
      <c r="F85" s="40">
        <f>IFERROR(D85/J85,0)</f>
        <v/>
      </c>
      <c r="G85" s="92">
        <f>F85/1.16</f>
        <v/>
      </c>
      <c r="H85" s="92" t="n"/>
      <c r="I85" s="26" t="n">
        <v>3.98</v>
      </c>
      <c r="J85" s="74">
        <f>IF(I85-INT(I85)&lt;0.1,INT(I85),IF(I85-INT(I85)&lt;=0.7,INT(I85)+0.5,INT(I85)+1))</f>
        <v/>
      </c>
      <c r="K85" s="93" t="n">
        <v>46310</v>
      </c>
      <c r="L85" s="36" t="inlineStr">
        <is>
          <t>SILVANA</t>
        </is>
      </c>
      <c r="M85" s="89" t="n"/>
      <c r="N85" s="89" t="inlineStr">
        <is>
          <t>MAURICIO</t>
        </is>
      </c>
    </row>
    <row r="86">
      <c r="A86" s="96" t="n"/>
      <c r="B86" s="98" t="inlineStr">
        <is>
          <t>yvesrochermexico</t>
        </is>
      </c>
      <c r="C86" s="40" t="inlineStr">
        <is>
          <t>MX</t>
        </is>
      </c>
      <c r="D86" s="100" t="n">
        <v>3663.9</v>
      </c>
      <c r="E86" s="40">
        <f>D86/1.16</f>
        <v/>
      </c>
      <c r="F86" s="40">
        <f>IFERROR(D86/J86,0)</f>
        <v/>
      </c>
      <c r="G86" s="92">
        <f>F86/1.16</f>
        <v/>
      </c>
      <c r="H86" s="92" t="n"/>
      <c r="I86" s="26" t="n">
        <v>4.02</v>
      </c>
      <c r="J86" s="74">
        <f>IF(I86-INT(I86)&lt;0.1,INT(I86),IF(I86-INT(I86)&lt;=0.7,INT(I86)+0.5,INT(I86)+1))</f>
        <v/>
      </c>
      <c r="K86" s="93" t="n">
        <v>46312</v>
      </c>
      <c r="L86" s="36" t="inlineStr">
        <is>
          <t>BRENDA LOPEZ</t>
        </is>
      </c>
      <c r="M86" s="89" t="n"/>
      <c r="N86" s="89" t="inlineStr">
        <is>
          <t>MAURICIO</t>
        </is>
      </c>
    </row>
    <row r="87">
      <c r="A87" s="96" t="n"/>
      <c r="B87" s="98" t="inlineStr">
        <is>
          <t>yvesrochermexico</t>
        </is>
      </c>
      <c r="C87" s="40" t="inlineStr">
        <is>
          <t>MX</t>
        </is>
      </c>
      <c r="D87" s="100" t="n">
        <v>3031.88</v>
      </c>
      <c r="E87" s="40">
        <f>D87/1.16</f>
        <v/>
      </c>
      <c r="F87" s="40">
        <f>IFERROR(D87/J87,0)</f>
        <v/>
      </c>
      <c r="G87" s="92">
        <f>F87/1.16</f>
        <v/>
      </c>
      <c r="H87" s="92" t="n"/>
      <c r="I87" s="26" t="n">
        <v>3.98</v>
      </c>
      <c r="J87" s="74">
        <f>IF(I87-INT(I87)&lt;0.1,INT(I87),IF(I87-INT(I87)&lt;=0.7,INT(I87)+0.5,INT(I87)+1))</f>
        <v/>
      </c>
      <c r="K87" s="93" t="n">
        <v>46315</v>
      </c>
      <c r="L87" s="36" t="inlineStr">
        <is>
          <t>SILVANA</t>
        </is>
      </c>
      <c r="M87" s="89" t="n"/>
      <c r="N87" s="89" t="inlineStr">
        <is>
          <t>MAURICIO</t>
        </is>
      </c>
    </row>
    <row r="88">
      <c r="A88" s="96" t="n"/>
      <c r="B88" s="98" t="inlineStr">
        <is>
          <t>yvesrochermexico</t>
        </is>
      </c>
      <c r="C88" s="40" t="inlineStr">
        <is>
          <t>MX</t>
        </is>
      </c>
      <c r="D88" s="100" t="n">
        <v>1644.08</v>
      </c>
      <c r="E88" s="40">
        <f>D88/1.16</f>
        <v/>
      </c>
      <c r="F88" s="40">
        <f>IFERROR(D88/J88,0)</f>
        <v/>
      </c>
      <c r="G88" s="92">
        <f>F88/1.16</f>
        <v/>
      </c>
      <c r="H88" s="92" t="n"/>
      <c r="I88" s="26" t="n">
        <v>4</v>
      </c>
      <c r="J88" s="74">
        <f>IF(I88-INT(I88)&lt;0.1,INT(I88),IF(I88-INT(I88)&lt;=0.7,INT(I88)+0.5,INT(I88)+1))</f>
        <v/>
      </c>
      <c r="K88" s="93" t="n">
        <v>46317</v>
      </c>
      <c r="L88" s="36" t="inlineStr">
        <is>
          <t>BRENDA LOPEZ</t>
        </is>
      </c>
      <c r="M88" s="89" t="n"/>
      <c r="N88" s="89" t="inlineStr">
        <is>
          <t>MAURICIO</t>
        </is>
      </c>
    </row>
    <row r="89">
      <c r="A89" s="96" t="n"/>
      <c r="B89" s="98" t="inlineStr">
        <is>
          <t>yvesrochermexico</t>
        </is>
      </c>
      <c r="C89" s="40" t="inlineStr">
        <is>
          <t>MX</t>
        </is>
      </c>
      <c r="D89" s="100" t="n">
        <v>5200.68</v>
      </c>
      <c r="E89" s="40">
        <f>D89/1.16</f>
        <v/>
      </c>
      <c r="F89" s="40">
        <f>IFERROR(D89/J89,0)</f>
        <v/>
      </c>
      <c r="G89" s="92">
        <f>F89/1.16</f>
        <v/>
      </c>
      <c r="H89" s="92" t="n"/>
      <c r="I89" s="26" t="n">
        <v>4.47</v>
      </c>
      <c r="J89" s="74">
        <f>IF(I89-INT(I89)&lt;0.1,INT(I89),IF(I89-INT(I89)&lt;=0.7,INT(I89)+0.5,INT(I89)+1))</f>
        <v/>
      </c>
      <c r="K89" s="93" t="n">
        <v>46319</v>
      </c>
      <c r="L89" s="36" t="inlineStr">
        <is>
          <t>BRENDA LOPEZ</t>
        </is>
      </c>
      <c r="M89" s="89" t="n"/>
      <c r="N89" s="89" t="inlineStr">
        <is>
          <t>MAURICIO</t>
        </is>
      </c>
    </row>
    <row r="90">
      <c r="K90" s="84" t="n"/>
    </row>
    <row r="91">
      <c r="K91" s="84" t="n"/>
    </row>
    <row r="92">
      <c r="K92" s="84" t="n"/>
    </row>
    <row r="93">
      <c r="K93" s="84" t="n"/>
    </row>
    <row r="94">
      <c r="K94" s="84" t="n"/>
    </row>
    <row r="95">
      <c r="K95" s="84" t="n"/>
    </row>
    <row r="96">
      <c r="K96" s="84" t="n"/>
    </row>
    <row r="97">
      <c r="K97" s="84" t="n"/>
    </row>
    <row r="98">
      <c r="K98" s="84" t="n"/>
    </row>
    <row r="99">
      <c r="K99" s="84" t="n"/>
    </row>
    <row r="100">
      <c r="K100" s="84" t="n"/>
    </row>
    <row r="101">
      <c r="K101" s="84" t="n"/>
    </row>
    <row r="102">
      <c r="K102" s="84" t="n"/>
    </row>
    <row r="103">
      <c r="K103" s="84" t="n"/>
    </row>
    <row r="104">
      <c r="K104" s="84" t="n"/>
    </row>
    <row r="105">
      <c r="K105" s="84" t="n"/>
    </row>
    <row r="106">
      <c r="K106" s="84" t="n"/>
    </row>
    <row r="107">
      <c r="K107" s="84" t="n"/>
    </row>
    <row r="108">
      <c r="K108" s="84" t="n"/>
    </row>
    <row r="109">
      <c r="K109" s="84" t="n"/>
    </row>
    <row r="110">
      <c r="K110" s="84" t="n"/>
    </row>
    <row r="111">
      <c r="K111" s="84" t="n"/>
    </row>
    <row r="112">
      <c r="K112" s="84" t="n"/>
    </row>
    <row r="113">
      <c r="K113" s="84" t="n"/>
    </row>
    <row r="114">
      <c r="K114" s="84" t="n"/>
    </row>
    <row r="115">
      <c r="K115" s="84" t="n"/>
    </row>
    <row r="116">
      <c r="K116" s="84" t="n"/>
    </row>
    <row r="117">
      <c r="K117" s="84" t="n"/>
    </row>
    <row r="118">
      <c r="K118" s="84" t="n"/>
    </row>
    <row r="119">
      <c r="K119" s="84" t="n"/>
    </row>
    <row r="120">
      <c r="K120" s="84" t="n"/>
    </row>
    <row r="121">
      <c r="K121" s="84" t="n"/>
    </row>
    <row r="122">
      <c r="K122" s="84" t="n"/>
    </row>
    <row r="123">
      <c r="K123" s="84" t="n"/>
    </row>
    <row r="124">
      <c r="K124" s="84" t="n"/>
    </row>
    <row r="125">
      <c r="K125" s="84" t="n"/>
    </row>
    <row r="126">
      <c r="K126" s="84" t="n"/>
    </row>
    <row r="127">
      <c r="K127" s="84" t="n"/>
    </row>
    <row r="128">
      <c r="K128" s="84" t="n"/>
    </row>
    <row r="129">
      <c r="K129" s="84" t="n"/>
    </row>
    <row r="130">
      <c r="K130" s="84" t="n"/>
    </row>
    <row r="131">
      <c r="K131" s="84" t="n"/>
    </row>
    <row r="132">
      <c r="K132" s="84" t="n"/>
    </row>
    <row r="133">
      <c r="K133" s="84" t="n"/>
    </row>
    <row r="134">
      <c r="K134" s="84" t="n"/>
    </row>
    <row r="135">
      <c r="K135" s="84" t="n"/>
    </row>
    <row r="136">
      <c r="K136" s="84" t="n"/>
    </row>
    <row r="137">
      <c r="K137" s="84" t="n"/>
    </row>
    <row r="138">
      <c r="K138" s="84" t="n"/>
    </row>
    <row r="139">
      <c r="K139" s="84" t="n"/>
    </row>
    <row r="140">
      <c r="K140" s="84" t="n"/>
    </row>
    <row r="141">
      <c r="K141" s="84" t="n"/>
    </row>
    <row r="142">
      <c r="K142" s="84" t="n"/>
    </row>
    <row r="143">
      <c r="K143" s="84" t="n"/>
    </row>
    <row r="144">
      <c r="K144" s="84" t="n"/>
    </row>
    <row r="145">
      <c r="K145" s="84" t="n"/>
    </row>
    <row r="146">
      <c r="K146" s="84" t="n"/>
    </row>
    <row r="147">
      <c r="K147" s="84" t="n"/>
    </row>
    <row r="148">
      <c r="K148" s="84" t="n"/>
    </row>
    <row r="149">
      <c r="K149" s="84" t="n"/>
    </row>
    <row r="150">
      <c r="K150" s="84" t="n"/>
    </row>
    <row r="151">
      <c r="K151" s="84" t="n"/>
    </row>
    <row r="152">
      <c r="K152" s="84" t="n"/>
    </row>
    <row r="153">
      <c r="K153" s="84" t="n"/>
    </row>
    <row r="154">
      <c r="K154" s="84" t="n"/>
    </row>
    <row r="155">
      <c r="K155" s="84" t="n"/>
    </row>
    <row r="156">
      <c r="K156" s="84" t="n"/>
    </row>
    <row r="157">
      <c r="K157" s="84" t="n"/>
    </row>
    <row r="158">
      <c r="K158" s="84" t="n"/>
    </row>
    <row r="159">
      <c r="K159" s="84" t="n"/>
    </row>
    <row r="160">
      <c r="K160" s="84" t="n"/>
    </row>
    <row r="161">
      <c r="K161" s="84" t="n"/>
    </row>
    <row r="162">
      <c r="K162" s="84" t="n"/>
    </row>
    <row r="163">
      <c r="K163" s="84" t="n"/>
    </row>
    <row r="164">
      <c r="K164" s="84" t="n"/>
    </row>
    <row r="165">
      <c r="K165" s="84" t="n"/>
    </row>
    <row r="166">
      <c r="K166" s="84" t="n"/>
    </row>
    <row r="167">
      <c r="K167" s="84" t="n"/>
    </row>
    <row r="168">
      <c r="K168" s="84" t="n"/>
    </row>
    <row r="169">
      <c r="K169" s="84" t="n"/>
    </row>
    <row r="170">
      <c r="K170" s="84" t="n"/>
    </row>
    <row r="171">
      <c r="K171" s="84" t="n"/>
    </row>
    <row r="172">
      <c r="K172" s="84" t="n"/>
    </row>
    <row r="173">
      <c r="K173" s="84" t="n"/>
    </row>
    <row r="174">
      <c r="K174" s="84" t="n"/>
    </row>
    <row r="175">
      <c r="K175" s="84" t="n"/>
    </row>
    <row r="176">
      <c r="K176" s="84" t="n"/>
    </row>
    <row r="177">
      <c r="K177" s="84" t="n"/>
    </row>
    <row r="178">
      <c r="K178" s="84" t="n"/>
    </row>
    <row r="179">
      <c r="K179" s="84" t="n"/>
    </row>
    <row r="180">
      <c r="K180" s="84" t="n"/>
    </row>
    <row r="181">
      <c r="K181" s="84" t="n"/>
    </row>
    <row r="182">
      <c r="K182" s="84" t="n"/>
    </row>
    <row r="183">
      <c r="K183" s="84" t="n"/>
    </row>
    <row r="184">
      <c r="K184" s="84" t="n"/>
    </row>
    <row r="185">
      <c r="K185" s="84" t="n"/>
    </row>
    <row r="186">
      <c r="K186" s="84" t="n"/>
    </row>
    <row r="187">
      <c r="K187" s="84" t="n"/>
    </row>
    <row r="188">
      <c r="K188" s="84" t="n"/>
    </row>
    <row r="189">
      <c r="K189" s="84" t="n"/>
    </row>
    <row r="190">
      <c r="K190" s="84" t="n"/>
    </row>
    <row r="191">
      <c r="K191" s="84" t="n"/>
    </row>
    <row r="192">
      <c r="K192" s="84" t="n"/>
    </row>
    <row r="193">
      <c r="K193" s="84" t="n"/>
    </row>
    <row r="194">
      <c r="K194" s="84" t="n"/>
    </row>
    <row r="195">
      <c r="K195" s="84" t="n"/>
    </row>
    <row r="196">
      <c r="K196" s="84" t="n"/>
    </row>
    <row r="197">
      <c r="K197" s="84" t="n"/>
    </row>
    <row r="198">
      <c r="K198" s="84" t="n"/>
    </row>
    <row r="199">
      <c r="K199" s="84" t="n"/>
    </row>
    <row r="200">
      <c r="K200" s="84" t="n"/>
    </row>
    <row r="201">
      <c r="K201" s="84" t="n"/>
    </row>
    <row r="202">
      <c r="K202" s="84" t="n"/>
    </row>
    <row r="203">
      <c r="K203" s="84" t="n"/>
    </row>
    <row r="204">
      <c r="K204" s="84" t="n"/>
    </row>
    <row r="205">
      <c r="K205" s="84" t="n"/>
    </row>
    <row r="206">
      <c r="K206" s="84" t="n"/>
    </row>
    <row r="207">
      <c r="K207" s="84" t="n"/>
    </row>
    <row r="208">
      <c r="K208" s="84" t="n"/>
    </row>
    <row r="209">
      <c r="K209" s="84" t="n"/>
    </row>
    <row r="210">
      <c r="K210" s="84" t="n"/>
    </row>
    <row r="211">
      <c r="K211" s="84" t="n"/>
    </row>
    <row r="212">
      <c r="K212" s="84" t="n"/>
    </row>
    <row r="213">
      <c r="K213" s="84" t="n"/>
    </row>
    <row r="214">
      <c r="K214" s="84" t="n"/>
    </row>
    <row r="215">
      <c r="K215" s="84" t="n"/>
    </row>
    <row r="216">
      <c r="K216" s="84" t="n"/>
    </row>
    <row r="217">
      <c r="K217" s="84" t="n"/>
    </row>
    <row r="218">
      <c r="K218" s="84" t="n"/>
    </row>
    <row r="219">
      <c r="K219" s="84" t="n"/>
    </row>
    <row r="220">
      <c r="K220" s="84" t="n"/>
    </row>
    <row r="221">
      <c r="K221" s="84" t="n"/>
    </row>
    <row r="222">
      <c r="K222" s="84" t="n"/>
    </row>
    <row r="223">
      <c r="K223" s="84" t="n"/>
    </row>
    <row r="224">
      <c r="K224" s="84" t="n"/>
    </row>
    <row r="225">
      <c r="K225" s="84" t="n"/>
    </row>
    <row r="226">
      <c r="K226" s="84" t="n"/>
    </row>
    <row r="227">
      <c r="K227" s="84" t="n"/>
    </row>
    <row r="228">
      <c r="K228" s="84" t="n"/>
    </row>
    <row r="229">
      <c r="K229" s="84" t="n"/>
    </row>
    <row r="230">
      <c r="K230" s="84" t="n"/>
    </row>
    <row r="231">
      <c r="K231" s="84" t="n"/>
    </row>
    <row r="232">
      <c r="K232" s="84" t="n"/>
    </row>
    <row r="233">
      <c r="K233" s="84" t="n"/>
    </row>
    <row r="234">
      <c r="K234" s="84" t="n"/>
    </row>
    <row r="235">
      <c r="K235" s="84" t="n"/>
    </row>
    <row r="236">
      <c r="K236" s="84" t="n"/>
    </row>
    <row r="237">
      <c r="K237" s="84" t="n"/>
    </row>
    <row r="238">
      <c r="K238" s="84" t="n"/>
    </row>
    <row r="239">
      <c r="K239" s="84" t="n"/>
    </row>
    <row r="240">
      <c r="K240" s="84" t="n"/>
    </row>
    <row r="241">
      <c r="K241" s="84" t="n"/>
    </row>
    <row r="242">
      <c r="K242" s="84" t="n"/>
    </row>
    <row r="243">
      <c r="K243" s="84" t="n"/>
    </row>
    <row r="244">
      <c r="K244" s="84" t="n"/>
    </row>
    <row r="245">
      <c r="K245" s="84" t="n"/>
    </row>
    <row r="246">
      <c r="K246" s="84" t="n"/>
    </row>
    <row r="247">
      <c r="K247" s="84" t="n"/>
    </row>
    <row r="248">
      <c r="K248" s="84" t="n"/>
    </row>
    <row r="249">
      <c r="K249" s="84" t="n"/>
    </row>
    <row r="250">
      <c r="K250" s="84" t="n"/>
    </row>
    <row r="251">
      <c r="K251" s="84" t="n"/>
    </row>
    <row r="252">
      <c r="K252" s="84" t="n"/>
    </row>
    <row r="253">
      <c r="K253" s="84" t="n"/>
    </row>
    <row r="254">
      <c r="K254" s="84" t="n"/>
    </row>
    <row r="255">
      <c r="K255" s="84" t="n"/>
    </row>
    <row r="256">
      <c r="K256" s="84" t="n"/>
    </row>
    <row r="257">
      <c r="K257" s="84" t="n"/>
    </row>
    <row r="258">
      <c r="K258" s="84" t="n"/>
    </row>
    <row r="259">
      <c r="K259" s="84" t="n"/>
    </row>
    <row r="260">
      <c r="K260" s="84" t="n"/>
    </row>
    <row r="261">
      <c r="K261" s="84" t="n"/>
    </row>
    <row r="262">
      <c r="K262" s="84" t="n"/>
    </row>
    <row r="263">
      <c r="K263" s="84" t="n"/>
    </row>
    <row r="264">
      <c r="K264" s="84" t="n"/>
    </row>
    <row r="265">
      <c r="K265" s="84" t="n"/>
    </row>
    <row r="266">
      <c r="K266" s="84" t="n"/>
    </row>
    <row r="267">
      <c r="K267" s="84" t="n"/>
    </row>
    <row r="268">
      <c r="K268" s="84" t="n"/>
    </row>
    <row r="269">
      <c r="K269" s="84" t="n"/>
    </row>
    <row r="270">
      <c r="K270" s="84" t="n"/>
    </row>
    <row r="271">
      <c r="K271" s="84" t="n"/>
    </row>
    <row r="272">
      <c r="K272" s="84" t="n"/>
    </row>
    <row r="273">
      <c r="K273" s="84" t="n"/>
    </row>
    <row r="274">
      <c r="K274" s="84" t="n"/>
    </row>
    <row r="275">
      <c r="K275" s="84" t="n"/>
    </row>
    <row r="276">
      <c r="K276" s="84" t="n"/>
    </row>
    <row r="277">
      <c r="K277" s="84" t="n"/>
    </row>
    <row r="278">
      <c r="K278" s="84" t="n"/>
    </row>
    <row r="279">
      <c r="K279" s="84" t="n"/>
    </row>
    <row r="280">
      <c r="K280" s="84" t="n"/>
    </row>
    <row r="281">
      <c r="K281" s="84" t="n"/>
    </row>
    <row r="282">
      <c r="K282" s="84" t="n"/>
    </row>
    <row r="283">
      <c r="K283" s="84" t="n"/>
    </row>
    <row r="284">
      <c r="K284" s="84" t="n"/>
    </row>
    <row r="285">
      <c r="K285" s="84" t="n"/>
    </row>
    <row r="286">
      <c r="K286" s="84" t="n"/>
    </row>
    <row r="287">
      <c r="K287" s="84" t="n"/>
    </row>
    <row r="288">
      <c r="K288" s="84" t="n"/>
    </row>
    <row r="289">
      <c r="K289" s="84" t="n"/>
    </row>
    <row r="290">
      <c r="K290" s="84" t="n"/>
    </row>
    <row r="291">
      <c r="K291" s="84" t="n"/>
    </row>
    <row r="292">
      <c r="K292" s="84" t="n"/>
    </row>
    <row r="293">
      <c r="K293" s="84" t="n"/>
    </row>
    <row r="294">
      <c r="K294" s="84" t="n"/>
    </row>
    <row r="295">
      <c r="K295" s="84" t="n"/>
    </row>
    <row r="296">
      <c r="K296" s="84" t="n"/>
    </row>
    <row r="297">
      <c r="K297" s="84" t="n"/>
    </row>
    <row r="298">
      <c r="K298" s="84" t="n"/>
    </row>
    <row r="299">
      <c r="K299" s="84" t="n"/>
    </row>
    <row r="300">
      <c r="K300" s="84" t="n"/>
    </row>
    <row r="301">
      <c r="K301" s="84" t="n"/>
    </row>
    <row r="302">
      <c r="K302" s="84" t="n"/>
    </row>
    <row r="303">
      <c r="K303" s="84" t="n"/>
    </row>
    <row r="304">
      <c r="K304" s="84" t="n"/>
    </row>
    <row r="305">
      <c r="K305" s="84" t="n"/>
    </row>
    <row r="306">
      <c r="K306" s="84" t="n"/>
    </row>
    <row r="307">
      <c r="K307" s="84" t="n"/>
    </row>
    <row r="308">
      <c r="K308" s="84" t="n"/>
    </row>
    <row r="309">
      <c r="K309" s="84" t="n"/>
    </row>
    <row r="310">
      <c r="K310" s="84" t="n"/>
    </row>
    <row r="311">
      <c r="K311" s="84" t="n"/>
    </row>
    <row r="312">
      <c r="K312" s="84" t="n"/>
    </row>
    <row r="313">
      <c r="K313" s="84" t="n"/>
    </row>
    <row r="314">
      <c r="K314" s="84" t="n"/>
    </row>
    <row r="315">
      <c r="K315" s="84" t="n"/>
    </row>
    <row r="316">
      <c r="K316" s="84" t="n"/>
    </row>
    <row r="317">
      <c r="K317" s="84" t="n"/>
    </row>
    <row r="318">
      <c r="K318" s="84" t="n"/>
    </row>
    <row r="319">
      <c r="K319" s="84" t="n"/>
    </row>
    <row r="320">
      <c r="K320" s="84" t="n"/>
    </row>
    <row r="321">
      <c r="K321" s="84" t="n"/>
    </row>
    <row r="322">
      <c r="K322" s="84" t="n"/>
    </row>
    <row r="323">
      <c r="K323" s="84" t="n"/>
    </row>
    <row r="324">
      <c r="K324" s="84" t="n"/>
    </row>
    <row r="325">
      <c r="K325" s="84" t="n"/>
    </row>
    <row r="326">
      <c r="K326" s="84" t="n"/>
    </row>
    <row r="327">
      <c r="K327" s="84" t="n"/>
    </row>
    <row r="328">
      <c r="K328" s="84" t="n"/>
    </row>
    <row r="329">
      <c r="K329" s="84" t="n"/>
    </row>
    <row r="330">
      <c r="K330" s="84" t="n"/>
    </row>
    <row r="331">
      <c r="K331" s="84" t="n"/>
    </row>
    <row r="332">
      <c r="K332" s="84" t="n"/>
    </row>
    <row r="333">
      <c r="K333" s="84" t="n"/>
    </row>
    <row r="334">
      <c r="K334" s="84" t="n"/>
    </row>
    <row r="335">
      <c r="K335" s="84" t="n"/>
    </row>
    <row r="336">
      <c r="K336" s="84" t="n"/>
    </row>
    <row r="337">
      <c r="K337" s="84" t="n"/>
    </row>
    <row r="338">
      <c r="K338" s="84" t="n"/>
    </row>
    <row r="339">
      <c r="K339" s="84" t="n"/>
    </row>
    <row r="340">
      <c r="K340" s="84" t="n"/>
    </row>
    <row r="341">
      <c r="K341" s="84" t="n"/>
    </row>
    <row r="342">
      <c r="K342" s="84" t="n"/>
    </row>
    <row r="343">
      <c r="K343" s="84" t="n"/>
    </row>
    <row r="344">
      <c r="K344" s="84" t="n"/>
    </row>
    <row r="345">
      <c r="K345" s="84" t="n"/>
    </row>
    <row r="346">
      <c r="K346" s="84" t="n"/>
    </row>
    <row r="347">
      <c r="K347" s="84" t="n"/>
    </row>
    <row r="348">
      <c r="K348" s="84" t="n"/>
    </row>
    <row r="349">
      <c r="K349" s="84" t="n"/>
    </row>
    <row r="350">
      <c r="K350" s="84" t="n"/>
    </row>
    <row r="351">
      <c r="K351" s="84" t="n"/>
    </row>
    <row r="352">
      <c r="K352" s="84" t="n"/>
    </row>
    <row r="353">
      <c r="K353" s="84" t="n"/>
    </row>
    <row r="354">
      <c r="K354" s="84" t="n"/>
    </row>
    <row r="355">
      <c r="K355" s="84" t="n"/>
    </row>
    <row r="356">
      <c r="K356" s="84" t="n"/>
    </row>
    <row r="357">
      <c r="K357" s="84" t="n"/>
    </row>
    <row r="358">
      <c r="K358" s="84" t="n"/>
    </row>
    <row r="359">
      <c r="K359" s="84" t="n"/>
    </row>
    <row r="360">
      <c r="K360" s="84" t="n"/>
    </row>
    <row r="361">
      <c r="K361" s="84" t="n"/>
    </row>
    <row r="362">
      <c r="K362" s="84" t="n"/>
    </row>
    <row r="363">
      <c r="K363" s="84" t="n"/>
    </row>
    <row r="364">
      <c r="K364" s="84" t="n"/>
    </row>
    <row r="365">
      <c r="K365" s="84" t="n"/>
    </row>
    <row r="366">
      <c r="K366" s="84" t="n"/>
    </row>
    <row r="367">
      <c r="K367" s="84" t="n"/>
    </row>
    <row r="368">
      <c r="K368" s="84" t="n"/>
    </row>
    <row r="369">
      <c r="K369" s="84" t="n"/>
    </row>
    <row r="370">
      <c r="K370" s="84" t="n"/>
    </row>
    <row r="371">
      <c r="K371" s="84" t="n"/>
    </row>
    <row r="372">
      <c r="K372" s="84" t="n"/>
    </row>
    <row r="373">
      <c r="K373" s="84" t="n"/>
    </row>
    <row r="374">
      <c r="K374" s="84" t="n"/>
    </row>
    <row r="375">
      <c r="K375" s="84" t="n"/>
    </row>
    <row r="376">
      <c r="K376" s="84" t="n"/>
    </row>
    <row r="377">
      <c r="K377" s="84" t="n"/>
    </row>
    <row r="378">
      <c r="K378" s="84" t="n"/>
    </row>
    <row r="379">
      <c r="K379" s="84" t="n"/>
    </row>
    <row r="380">
      <c r="K380" s="84" t="n"/>
    </row>
    <row r="381">
      <c r="K381" s="84" t="n"/>
    </row>
    <row r="382">
      <c r="K382" s="84" t="n"/>
    </row>
    <row r="383">
      <c r="K383" s="84" t="n"/>
    </row>
    <row r="384">
      <c r="K384" s="84" t="n"/>
    </row>
    <row r="385">
      <c r="K385" s="84" t="n"/>
    </row>
    <row r="386">
      <c r="K386" s="84" t="n"/>
    </row>
    <row r="387">
      <c r="K387" s="84" t="n"/>
    </row>
    <row r="388">
      <c r="K388" s="84" t="n"/>
    </row>
    <row r="389">
      <c r="K389" s="84" t="n"/>
    </row>
    <row r="390">
      <c r="K390" s="84" t="n"/>
    </row>
    <row r="391">
      <c r="K391" s="84" t="n"/>
    </row>
    <row r="392">
      <c r="K392" s="84" t="n"/>
    </row>
    <row r="393">
      <c r="K393" s="84" t="n"/>
    </row>
    <row r="394">
      <c r="K394" s="84" t="n"/>
    </row>
    <row r="395">
      <c r="K395" s="84" t="n"/>
    </row>
    <row r="396">
      <c r="K396" s="84" t="n"/>
    </row>
    <row r="397">
      <c r="K397" s="84" t="n"/>
    </row>
    <row r="398">
      <c r="K398" s="84" t="n"/>
    </row>
    <row r="399">
      <c r="K399" s="84" t="n"/>
    </row>
    <row r="400">
      <c r="K400" s="84" t="n"/>
    </row>
    <row r="401">
      <c r="K401" s="84" t="n"/>
    </row>
    <row r="402">
      <c r="K402" s="84" t="n"/>
    </row>
    <row r="403">
      <c r="K403" s="84" t="n"/>
    </row>
    <row r="404">
      <c r="K404" s="84" t="n"/>
    </row>
    <row r="405">
      <c r="K405" s="84" t="n"/>
    </row>
    <row r="406">
      <c r="K406" s="84" t="n"/>
    </row>
    <row r="407">
      <c r="K407" s="84" t="n"/>
    </row>
    <row r="408">
      <c r="K408" s="84" t="n"/>
    </row>
    <row r="409">
      <c r="K409" s="84" t="n"/>
    </row>
    <row r="410">
      <c r="K410" s="84" t="n"/>
    </row>
    <row r="411">
      <c r="K411" s="84" t="n"/>
    </row>
    <row r="412">
      <c r="K412" s="84" t="n"/>
    </row>
    <row r="413">
      <c r="K413" s="84" t="n"/>
    </row>
    <row r="414">
      <c r="K414" s="84" t="n"/>
    </row>
    <row r="415">
      <c r="K415" s="84" t="n"/>
    </row>
    <row r="416">
      <c r="K416" s="84" t="n"/>
    </row>
    <row r="417">
      <c r="K417" s="84" t="n"/>
    </row>
    <row r="418">
      <c r="K418" s="84" t="n"/>
    </row>
    <row r="419">
      <c r="K419" s="84" t="n"/>
    </row>
    <row r="420">
      <c r="K420" s="84" t="n"/>
    </row>
    <row r="421">
      <c r="K421" s="84" t="n"/>
    </row>
    <row r="422">
      <c r="K422" s="84" t="n"/>
    </row>
    <row r="423">
      <c r="K423" s="84" t="n"/>
    </row>
    <row r="424">
      <c r="K424" s="84" t="n"/>
    </row>
    <row r="425">
      <c r="K425" s="84" t="n"/>
    </row>
    <row r="426">
      <c r="K426" s="84" t="n"/>
    </row>
    <row r="427">
      <c r="K427" s="84" t="n"/>
    </row>
    <row r="428">
      <c r="K428" s="84" t="n"/>
    </row>
    <row r="429">
      <c r="K429" s="84" t="n"/>
    </row>
    <row r="430">
      <c r="K430" s="84" t="n"/>
    </row>
    <row r="431">
      <c r="K431" s="84" t="n"/>
    </row>
    <row r="432">
      <c r="K432" s="84" t="n"/>
    </row>
    <row r="433">
      <c r="K433" s="84" t="n"/>
    </row>
    <row r="434">
      <c r="K434" s="84" t="n"/>
    </row>
    <row r="435">
      <c r="K435" s="84" t="n"/>
    </row>
    <row r="436">
      <c r="K436" s="84" t="n"/>
    </row>
    <row r="437">
      <c r="K437" s="84" t="n"/>
    </row>
    <row r="438">
      <c r="K438" s="84" t="n"/>
    </row>
    <row r="439">
      <c r="K439" s="84" t="n"/>
    </row>
    <row r="440">
      <c r="K440" s="84" t="n"/>
    </row>
    <row r="441">
      <c r="K441" s="84" t="n"/>
    </row>
    <row r="442">
      <c r="K442" s="84" t="n"/>
    </row>
    <row r="443">
      <c r="K443" s="84" t="n"/>
    </row>
    <row r="444">
      <c r="K444" s="84" t="n"/>
    </row>
    <row r="445">
      <c r="K445" s="84" t="n"/>
    </row>
    <row r="446">
      <c r="K446" s="84" t="n"/>
    </row>
    <row r="447">
      <c r="K447" s="84" t="n"/>
    </row>
    <row r="448">
      <c r="K448" s="84" t="n"/>
    </row>
    <row r="449">
      <c r="K449" s="84" t="n"/>
    </row>
    <row r="450">
      <c r="K450" s="84" t="n"/>
    </row>
    <row r="451">
      <c r="K451" s="84" t="n"/>
    </row>
    <row r="452">
      <c r="K452" s="84" t="n"/>
    </row>
    <row r="453">
      <c r="K453" s="84" t="n"/>
    </row>
    <row r="454">
      <c r="K454" s="84" t="n"/>
    </row>
    <row r="455">
      <c r="K455" s="84" t="n"/>
    </row>
    <row r="456">
      <c r="K456" s="84" t="n"/>
    </row>
    <row r="457">
      <c r="K457" s="84" t="n"/>
    </row>
    <row r="458">
      <c r="K458" s="84" t="n"/>
    </row>
    <row r="459">
      <c r="K459" s="84" t="n"/>
    </row>
    <row r="460">
      <c r="K460" s="84" t="n"/>
    </row>
    <row r="461">
      <c r="K461" s="84" t="n"/>
    </row>
    <row r="462">
      <c r="K462" s="84" t="n"/>
    </row>
    <row r="463">
      <c r="K463" s="84" t="n"/>
    </row>
    <row r="464">
      <c r="K464" s="84" t="n"/>
    </row>
    <row r="465">
      <c r="K465" s="84" t="n"/>
    </row>
    <row r="466">
      <c r="K466" s="84" t="n"/>
    </row>
    <row r="467">
      <c r="K467" s="84" t="n"/>
    </row>
    <row r="468">
      <c r="K468" s="84" t="n"/>
    </row>
    <row r="469">
      <c r="K469" s="84" t="n"/>
    </row>
    <row r="470">
      <c r="K470" s="84" t="n"/>
    </row>
    <row r="471">
      <c r="K471" s="84" t="n"/>
    </row>
    <row r="472">
      <c r="K472" s="84" t="n"/>
    </row>
    <row r="473">
      <c r="K473" s="84" t="n"/>
    </row>
    <row r="474">
      <c r="K474" s="84" t="n"/>
    </row>
    <row r="475">
      <c r="K475" s="84" t="n"/>
    </row>
    <row r="476">
      <c r="K476" s="84" t="n"/>
    </row>
    <row r="477">
      <c r="K477" s="84" t="n"/>
    </row>
    <row r="478">
      <c r="K478" s="84" t="n"/>
    </row>
    <row r="479">
      <c r="K479" s="84" t="n"/>
    </row>
    <row r="480">
      <c r="K480" s="84" t="n"/>
    </row>
    <row r="481">
      <c r="K481" s="84" t="n"/>
    </row>
    <row r="482">
      <c r="K482" s="84" t="n"/>
    </row>
    <row r="483">
      <c r="K483" s="84" t="n"/>
    </row>
    <row r="484">
      <c r="K484" s="84" t="n"/>
    </row>
    <row r="485">
      <c r="K485" s="84" t="n"/>
    </row>
    <row r="486">
      <c r="K486" s="84" t="n"/>
    </row>
    <row r="487">
      <c r="K487" s="84" t="n"/>
    </row>
    <row r="488">
      <c r="K488" s="84" t="n"/>
    </row>
    <row r="489">
      <c r="K489" s="84" t="n"/>
    </row>
    <row r="490">
      <c r="K490" s="84" t="n"/>
    </row>
    <row r="491">
      <c r="K491" s="84" t="n"/>
    </row>
    <row r="492">
      <c r="K492" s="84" t="n"/>
    </row>
    <row r="493">
      <c r="K493" s="84" t="n"/>
    </row>
    <row r="494">
      <c r="K494" s="84" t="n"/>
    </row>
    <row r="495">
      <c r="K495" s="84" t="n"/>
    </row>
    <row r="496">
      <c r="K496" s="84" t="n"/>
    </row>
    <row r="497">
      <c r="K497" s="84" t="n"/>
    </row>
    <row r="498">
      <c r="K498" s="84" t="n"/>
    </row>
    <row r="499">
      <c r="K499" s="84" t="n"/>
    </row>
    <row r="500">
      <c r="K500" s="84" t="n"/>
    </row>
    <row r="501">
      <c r="K501" s="84" t="n"/>
    </row>
    <row r="502">
      <c r="K502" s="84" t="n"/>
    </row>
    <row r="503">
      <c r="K503" s="84" t="n"/>
    </row>
    <row r="504">
      <c r="K504" s="84" t="n"/>
    </row>
    <row r="505">
      <c r="K505" s="84" t="n"/>
    </row>
    <row r="506">
      <c r="K506" s="84" t="n"/>
    </row>
    <row r="507">
      <c r="K507" s="84" t="n"/>
    </row>
    <row r="508">
      <c r="K508" s="84" t="n"/>
    </row>
    <row r="509">
      <c r="K509" s="84" t="n"/>
    </row>
    <row r="510">
      <c r="K510" s="84" t="n"/>
    </row>
    <row r="511">
      <c r="K511" s="84" t="n"/>
    </row>
    <row r="512">
      <c r="K512" s="84" t="n"/>
    </row>
    <row r="513">
      <c r="K513" s="84" t="n"/>
    </row>
    <row r="514">
      <c r="K514" s="84" t="n"/>
    </row>
    <row r="515">
      <c r="K515" s="84" t="n"/>
    </row>
    <row r="516">
      <c r="K516" s="84" t="n"/>
    </row>
    <row r="517">
      <c r="K517" s="84" t="n"/>
    </row>
    <row r="518">
      <c r="K518" s="84" t="n"/>
    </row>
    <row r="519">
      <c r="K519" s="84" t="n"/>
    </row>
    <row r="520">
      <c r="K520" s="84" t="n"/>
    </row>
    <row r="521">
      <c r="K521" s="84" t="n"/>
    </row>
    <row r="522">
      <c r="K522" s="84" t="n"/>
    </row>
    <row r="523">
      <c r="K523" s="84" t="n"/>
    </row>
    <row r="524">
      <c r="K524" s="84" t="n"/>
    </row>
    <row r="525">
      <c r="K525" s="84" t="n"/>
    </row>
    <row r="526">
      <c r="K526" s="84" t="n"/>
    </row>
    <row r="527">
      <c r="K527" s="84" t="n"/>
    </row>
    <row r="528">
      <c r="K528" s="84" t="n"/>
    </row>
    <row r="529">
      <c r="K529" s="84" t="n"/>
    </row>
    <row r="530">
      <c r="K530" s="84" t="n"/>
    </row>
    <row r="531">
      <c r="K531" s="84" t="n"/>
    </row>
    <row r="532">
      <c r="K532" s="84" t="n"/>
    </row>
    <row r="533">
      <c r="K533" s="84" t="n"/>
    </row>
    <row r="534">
      <c r="K534" s="84" t="n"/>
    </row>
    <row r="535">
      <c r="K535" s="84" t="n"/>
    </row>
    <row r="536">
      <c r="K536" s="84" t="n"/>
    </row>
    <row r="537">
      <c r="K537" s="84" t="n"/>
    </row>
    <row r="538">
      <c r="K538" s="84" t="n"/>
    </row>
    <row r="539">
      <c r="K539" s="84" t="n"/>
    </row>
    <row r="540">
      <c r="K540" s="84" t="n"/>
    </row>
    <row r="541">
      <c r="K541" s="84" t="n"/>
    </row>
    <row r="542">
      <c r="K542" s="84" t="n"/>
    </row>
    <row r="543">
      <c r="K543" s="84" t="n"/>
    </row>
    <row r="544">
      <c r="K544" s="84" t="n"/>
    </row>
    <row r="545">
      <c r="K545" s="84" t="n"/>
    </row>
    <row r="546">
      <c r="K546" s="84" t="n"/>
    </row>
    <row r="547">
      <c r="K547" s="84" t="n"/>
    </row>
    <row r="548">
      <c r="K548" s="84" t="n"/>
    </row>
    <row r="549">
      <c r="K549" s="84" t="n"/>
    </row>
    <row r="550">
      <c r="K550" s="84" t="n"/>
    </row>
    <row r="551">
      <c r="K551" s="84" t="n"/>
    </row>
    <row r="552">
      <c r="K552" s="84" t="n"/>
    </row>
    <row r="553">
      <c r="K553" s="84" t="n"/>
    </row>
    <row r="554">
      <c r="K554" s="84" t="n"/>
    </row>
    <row r="555">
      <c r="K555" s="84" t="n"/>
    </row>
    <row r="556">
      <c r="K556" s="84" t="n"/>
    </row>
    <row r="557">
      <c r="K557" s="84" t="n"/>
    </row>
    <row r="558">
      <c r="K558" s="84" t="n"/>
    </row>
    <row r="559">
      <c r="K559" s="84" t="n"/>
    </row>
    <row r="560">
      <c r="K560" s="84" t="n"/>
    </row>
    <row r="561">
      <c r="K561" s="84" t="n"/>
    </row>
    <row r="562">
      <c r="K562" s="84" t="n"/>
    </row>
    <row r="563">
      <c r="K563" s="84" t="n"/>
    </row>
    <row r="564">
      <c r="K564" s="84" t="n"/>
    </row>
    <row r="565">
      <c r="K565" s="84" t="n"/>
    </row>
    <row r="566">
      <c r="K566" s="84" t="n"/>
    </row>
    <row r="567">
      <c r="K567" s="84" t="n"/>
    </row>
    <row r="568">
      <c r="K568" s="84" t="n"/>
    </row>
    <row r="569">
      <c r="K569" s="84" t="n"/>
    </row>
    <row r="570">
      <c r="K570" s="84" t="n"/>
    </row>
    <row r="571">
      <c r="K571" s="84" t="n"/>
    </row>
    <row r="572">
      <c r="K572" s="84" t="n"/>
    </row>
    <row r="573">
      <c r="K573" s="84" t="n"/>
    </row>
    <row r="574">
      <c r="K574" s="84" t="n"/>
    </row>
    <row r="575">
      <c r="K575" s="84" t="n"/>
    </row>
    <row r="576">
      <c r="K576" s="84" t="n"/>
    </row>
    <row r="577">
      <c r="K577" s="84" t="n"/>
    </row>
    <row r="578">
      <c r="K578" s="84" t="n"/>
    </row>
    <row r="579">
      <c r="K579" s="84" t="n"/>
    </row>
    <row r="580">
      <c r="K580" s="84" t="n"/>
    </row>
    <row r="581">
      <c r="K581" s="84" t="n"/>
    </row>
    <row r="582">
      <c r="K582" s="84" t="n"/>
    </row>
    <row r="583">
      <c r="K583" s="84" t="n"/>
    </row>
    <row r="584">
      <c r="K584" s="84" t="n"/>
    </row>
    <row r="585">
      <c r="K585" s="84" t="n"/>
    </row>
    <row r="586">
      <c r="K586" s="84" t="n"/>
    </row>
    <row r="587">
      <c r="K587" s="84" t="n"/>
    </row>
    <row r="588">
      <c r="K588" s="84" t="n"/>
    </row>
    <row r="589">
      <c r="K589" s="84" t="n"/>
    </row>
    <row r="590">
      <c r="K590" s="84" t="n"/>
    </row>
    <row r="591">
      <c r="K591" s="84" t="n"/>
    </row>
    <row r="592">
      <c r="K592" s="84" t="n"/>
    </row>
    <row r="593">
      <c r="K593" s="84" t="n"/>
    </row>
    <row r="594">
      <c r="K594" s="84" t="n"/>
    </row>
    <row r="595">
      <c r="K595" s="84" t="n"/>
    </row>
    <row r="596">
      <c r="K596" s="84" t="n"/>
    </row>
    <row r="597">
      <c r="K597" s="84" t="n"/>
    </row>
    <row r="598">
      <c r="K598" s="84" t="n"/>
    </row>
    <row r="599">
      <c r="K599" s="84" t="n"/>
    </row>
    <row r="600">
      <c r="K600" s="84" t="n"/>
    </row>
    <row r="601">
      <c r="K601" s="84" t="n"/>
    </row>
    <row r="602">
      <c r="K602" s="84" t="n"/>
    </row>
    <row r="603">
      <c r="K603" s="84" t="n"/>
    </row>
    <row r="604">
      <c r="K604" s="84" t="n"/>
    </row>
    <row r="605">
      <c r="K605" s="84" t="n"/>
    </row>
    <row r="606">
      <c r="K606" s="84" t="n"/>
    </row>
    <row r="607">
      <c r="K607" s="84" t="n"/>
    </row>
    <row r="608">
      <c r="K608" s="84" t="n"/>
    </row>
    <row r="609">
      <c r="K609" s="84" t="n"/>
    </row>
    <row r="610">
      <c r="K610" s="84" t="n"/>
    </row>
    <row r="611">
      <c r="K611" s="84" t="n"/>
    </row>
    <row r="612">
      <c r="K612" s="84" t="n"/>
    </row>
    <row r="613">
      <c r="K613" s="84" t="n"/>
    </row>
    <row r="614">
      <c r="K614" s="84" t="n"/>
    </row>
    <row r="615">
      <c r="K615" s="84" t="n"/>
    </row>
    <row r="616">
      <c r="K616" s="84" t="n"/>
    </row>
    <row r="617">
      <c r="K617" s="84" t="n"/>
    </row>
    <row r="618">
      <c r="K618" s="84" t="n"/>
    </row>
    <row r="619">
      <c r="K619" s="84" t="n"/>
    </row>
    <row r="620">
      <c r="K620" s="84" t="n"/>
    </row>
    <row r="621">
      <c r="K621" s="84" t="n"/>
    </row>
    <row r="622">
      <c r="K622" s="84" t="n"/>
    </row>
    <row r="623">
      <c r="K623" s="84" t="n"/>
    </row>
    <row r="624">
      <c r="K624" s="84" t="n"/>
    </row>
    <row r="625">
      <c r="K625" s="84" t="n"/>
    </row>
    <row r="626">
      <c r="K626" s="84" t="n"/>
    </row>
    <row r="627">
      <c r="K627" s="84" t="n"/>
    </row>
    <row r="628">
      <c r="K628" s="84" t="n"/>
    </row>
    <row r="629">
      <c r="K629" s="84" t="n"/>
    </row>
    <row r="630">
      <c r="K630" s="84" t="n"/>
    </row>
    <row r="631">
      <c r="K631" s="84" t="n"/>
    </row>
    <row r="632">
      <c r="K632" s="84" t="n"/>
    </row>
    <row r="633">
      <c r="K633" s="84" t="n"/>
    </row>
    <row r="634">
      <c r="K634" s="84" t="n"/>
    </row>
    <row r="635">
      <c r="K635" s="84" t="n"/>
    </row>
    <row r="636">
      <c r="K636" s="84" t="n"/>
    </row>
    <row r="637">
      <c r="K637" s="84" t="n"/>
    </row>
    <row r="638">
      <c r="K638" s="84" t="n"/>
    </row>
    <row r="639">
      <c r="K639" s="84" t="n"/>
    </row>
    <row r="640">
      <c r="K640" s="84" t="n"/>
    </row>
    <row r="641">
      <c r="K641" s="84" t="n"/>
    </row>
    <row r="642">
      <c r="K642" s="84" t="n"/>
    </row>
    <row r="643">
      <c r="K643" s="84" t="n"/>
    </row>
    <row r="644">
      <c r="K644" s="84" t="n"/>
    </row>
    <row r="645">
      <c r="K645" s="84" t="n"/>
    </row>
    <row r="646">
      <c r="K646" s="84" t="n"/>
    </row>
    <row r="647">
      <c r="K647" s="84" t="n"/>
    </row>
    <row r="648">
      <c r="K648" s="84" t="n"/>
    </row>
    <row r="649">
      <c r="K649" s="84" t="n"/>
    </row>
    <row r="650">
      <c r="K650" s="84" t="n"/>
    </row>
    <row r="651">
      <c r="K651" s="84" t="n"/>
    </row>
    <row r="652">
      <c r="K652" s="84" t="n"/>
    </row>
    <row r="653">
      <c r="K653" s="84" t="n"/>
    </row>
    <row r="654">
      <c r="K654" s="84" t="n"/>
    </row>
    <row r="655">
      <c r="K655" s="84" t="n"/>
    </row>
    <row r="656">
      <c r="K656" s="84" t="n"/>
    </row>
    <row r="657">
      <c r="K657" s="84" t="n"/>
    </row>
    <row r="658">
      <c r="K658" s="84" t="n"/>
    </row>
    <row r="659">
      <c r="K659" s="84" t="n"/>
    </row>
    <row r="660">
      <c r="K660" s="84" t="n"/>
    </row>
    <row r="661">
      <c r="K661" s="84" t="n"/>
    </row>
    <row r="662">
      <c r="K662" s="84" t="n"/>
    </row>
    <row r="663">
      <c r="K663" s="84" t="n"/>
    </row>
    <row r="664">
      <c r="K664" s="84" t="n"/>
    </row>
    <row r="665">
      <c r="K665" s="84" t="n"/>
    </row>
    <row r="666">
      <c r="K666" s="84" t="n"/>
    </row>
    <row r="667">
      <c r="K667" s="84" t="n"/>
    </row>
    <row r="668">
      <c r="K668" s="84" t="n"/>
    </row>
    <row r="669">
      <c r="K669" s="84" t="n"/>
    </row>
    <row r="670">
      <c r="K670" s="84" t="n"/>
    </row>
    <row r="671">
      <c r="K671" s="84" t="n"/>
    </row>
    <row r="672">
      <c r="K672" s="84" t="n"/>
    </row>
    <row r="673">
      <c r="K673" s="84" t="n"/>
    </row>
    <row r="674">
      <c r="K674" s="84" t="n"/>
    </row>
    <row r="675">
      <c r="K675" s="84" t="n"/>
    </row>
    <row r="676">
      <c r="K676" s="84" t="n"/>
    </row>
    <row r="677">
      <c r="K677" s="84" t="n"/>
    </row>
    <row r="678">
      <c r="K678" s="84" t="n"/>
    </row>
    <row r="679">
      <c r="K679" s="84" t="n"/>
    </row>
    <row r="680">
      <c r="K680" s="84" t="n"/>
    </row>
    <row r="681">
      <c r="K681" s="84" t="n"/>
    </row>
    <row r="682">
      <c r="K682" s="84" t="n"/>
    </row>
    <row r="683">
      <c r="K683" s="84" t="n"/>
    </row>
    <row r="684">
      <c r="K684" s="84" t="n"/>
    </row>
    <row r="685">
      <c r="K685" s="84" t="n"/>
    </row>
    <row r="686">
      <c r="K686" s="84" t="n"/>
    </row>
    <row r="687">
      <c r="K687" s="84" t="n"/>
    </row>
    <row r="688">
      <c r="K688" s="84" t="n"/>
    </row>
    <row r="689">
      <c r="K689" s="84" t="n"/>
    </row>
    <row r="690">
      <c r="K690" s="84" t="n"/>
    </row>
    <row r="691">
      <c r="K691" s="84" t="n"/>
    </row>
    <row r="692">
      <c r="K692" s="84" t="n"/>
    </row>
    <row r="693">
      <c r="K693" s="84" t="n"/>
    </row>
    <row r="694">
      <c r="K694" s="84" t="n"/>
    </row>
    <row r="695">
      <c r="K695" s="84" t="n"/>
    </row>
    <row r="696">
      <c r="K696" s="84" t="n"/>
    </row>
    <row r="697">
      <c r="K697" s="84" t="n"/>
    </row>
    <row r="698">
      <c r="K698" s="84" t="n"/>
    </row>
    <row r="699">
      <c r="K699" s="84" t="n"/>
    </row>
    <row r="700">
      <c r="K700" s="84" t="n"/>
    </row>
    <row r="701">
      <c r="K701" s="84" t="n"/>
    </row>
    <row r="702">
      <c r="K702" s="84" t="n"/>
    </row>
    <row r="703">
      <c r="K703" s="84" t="n"/>
    </row>
    <row r="704">
      <c r="K704" s="84" t="n"/>
    </row>
    <row r="705">
      <c r="K705" s="84" t="n"/>
    </row>
    <row r="706">
      <c r="K706" s="84" t="n"/>
    </row>
    <row r="707">
      <c r="K707" s="84" t="n"/>
    </row>
    <row r="708">
      <c r="K708" s="84" t="n"/>
    </row>
    <row r="709">
      <c r="K709" s="84" t="n"/>
    </row>
    <row r="710">
      <c r="K710" s="84" t="n"/>
    </row>
    <row r="711">
      <c r="K711" s="84" t="n"/>
    </row>
    <row r="712">
      <c r="K712" s="84" t="n"/>
    </row>
    <row r="713">
      <c r="K713" s="84" t="n"/>
    </row>
    <row r="714">
      <c r="K714" s="84" t="n"/>
    </row>
    <row r="715">
      <c r="K715" s="84" t="n"/>
    </row>
    <row r="716">
      <c r="K716" s="84" t="n"/>
    </row>
    <row r="717">
      <c r="K717" s="84" t="n"/>
    </row>
    <row r="718">
      <c r="K718" s="84" t="n"/>
    </row>
    <row r="719">
      <c r="K719" s="84" t="n"/>
    </row>
    <row r="720">
      <c r="K720" s="84" t="n"/>
    </row>
    <row r="721">
      <c r="K721" s="84" t="n"/>
    </row>
    <row r="722">
      <c r="K722" s="84" t="n"/>
    </row>
    <row r="723">
      <c r="K723" s="84" t="n"/>
    </row>
    <row r="724">
      <c r="K724" s="84" t="n"/>
    </row>
    <row r="725">
      <c r="K725" s="84" t="n"/>
    </row>
    <row r="726">
      <c r="K726" s="84" t="n"/>
    </row>
    <row r="727">
      <c r="K727" s="84" t="n"/>
    </row>
    <row r="728">
      <c r="K728" s="84" t="n"/>
    </row>
    <row r="729">
      <c r="K729" s="84" t="n"/>
    </row>
    <row r="730">
      <c r="K730" s="84" t="n"/>
    </row>
    <row r="731">
      <c r="K731" s="84" t="n"/>
    </row>
    <row r="732">
      <c r="K732" s="84" t="n"/>
    </row>
    <row r="733">
      <c r="K733" s="84" t="n"/>
    </row>
    <row r="734">
      <c r="K734" s="84" t="n"/>
    </row>
    <row r="735">
      <c r="K735" s="84" t="n"/>
    </row>
    <row r="736">
      <c r="K736" s="84" t="n"/>
    </row>
    <row r="737">
      <c r="K737" s="84" t="n"/>
    </row>
    <row r="738">
      <c r="K738" s="84" t="n"/>
    </row>
    <row r="739">
      <c r="K739" s="84" t="n"/>
    </row>
    <row r="740">
      <c r="K740" s="84" t="n"/>
    </row>
    <row r="741">
      <c r="K741" s="84" t="n"/>
    </row>
    <row r="742">
      <c r="K742" s="84" t="n"/>
    </row>
    <row r="743">
      <c r="K743" s="84" t="n"/>
    </row>
    <row r="744">
      <c r="K744" s="84" t="n"/>
    </row>
    <row r="745">
      <c r="K745" s="84" t="n"/>
    </row>
    <row r="746">
      <c r="K746" s="84" t="n"/>
    </row>
    <row r="747">
      <c r="K747" s="84" t="n"/>
    </row>
    <row r="748">
      <c r="K748" s="84" t="n"/>
    </row>
    <row r="749">
      <c r="K749" s="84" t="n"/>
    </row>
    <row r="750">
      <c r="K750" s="84" t="n"/>
    </row>
    <row r="751">
      <c r="K751" s="84" t="n"/>
    </row>
    <row r="752">
      <c r="K752" s="84" t="n"/>
    </row>
    <row r="753">
      <c r="K753" s="84" t="n"/>
    </row>
    <row r="754">
      <c r="K754" s="84" t="n"/>
    </row>
    <row r="755">
      <c r="K755" s="84" t="n"/>
    </row>
    <row r="756">
      <c r="K756" s="84" t="n"/>
    </row>
    <row r="757">
      <c r="K757" s="84" t="n"/>
    </row>
    <row r="758">
      <c r="K758" s="84" t="n"/>
    </row>
    <row r="759">
      <c r="K759" s="84" t="n"/>
    </row>
    <row r="760">
      <c r="K760" s="84" t="n"/>
    </row>
    <row r="761">
      <c r="K761" s="84" t="n"/>
    </row>
    <row r="762">
      <c r="K762" s="84" t="n"/>
    </row>
    <row r="763">
      <c r="K763" s="84" t="n"/>
    </row>
    <row r="764">
      <c r="K764" s="84" t="n"/>
    </row>
    <row r="765">
      <c r="K765" s="84" t="n"/>
    </row>
    <row r="766">
      <c r="K766" s="84" t="n"/>
    </row>
    <row r="767">
      <c r="K767" s="84" t="n"/>
    </row>
    <row r="768">
      <c r="K768" s="84" t="n"/>
    </row>
    <row r="769">
      <c r="K769" s="84" t="n"/>
    </row>
    <row r="770">
      <c r="K770" s="84" t="n"/>
    </row>
    <row r="771">
      <c r="K771" s="84" t="n"/>
    </row>
    <row r="772">
      <c r="K772" s="84" t="n"/>
    </row>
    <row r="773">
      <c r="K773" s="84" t="n"/>
    </row>
    <row r="774">
      <c r="K774" s="84" t="n"/>
    </row>
    <row r="775">
      <c r="K775" s="84" t="n"/>
    </row>
    <row r="776">
      <c r="K776" s="84" t="n"/>
    </row>
    <row r="777">
      <c r="K777" s="84" t="n"/>
    </row>
    <row r="778">
      <c r="K778" s="84" t="n"/>
    </row>
    <row r="779">
      <c r="K779" s="84" t="n"/>
    </row>
    <row r="780">
      <c r="K780" s="84" t="n"/>
    </row>
    <row r="781">
      <c r="K781" s="84" t="n"/>
    </row>
    <row r="782">
      <c r="K782" s="84" t="n"/>
    </row>
    <row r="783">
      <c r="K783" s="84" t="n"/>
    </row>
    <row r="784">
      <c r="K784" s="84" t="n"/>
    </row>
    <row r="785">
      <c r="K785" s="84" t="n"/>
    </row>
    <row r="786">
      <c r="K786" s="84" t="n"/>
    </row>
    <row r="787">
      <c r="K787" s="84" t="n"/>
    </row>
    <row r="788">
      <c r="K788" s="84" t="n"/>
    </row>
    <row r="789">
      <c r="K789" s="84" t="n"/>
    </row>
    <row r="790">
      <c r="K790" s="84" t="n"/>
    </row>
    <row r="791">
      <c r="K791" s="84" t="n"/>
    </row>
    <row r="792">
      <c r="K792" s="84" t="n"/>
    </row>
    <row r="793">
      <c r="K793" s="84" t="n"/>
    </row>
    <row r="794">
      <c r="K794" s="84" t="n"/>
    </row>
    <row r="795">
      <c r="K795" s="84" t="n"/>
    </row>
    <row r="796">
      <c r="K796" s="84" t="n"/>
    </row>
    <row r="797">
      <c r="K797" s="84" t="n"/>
    </row>
    <row r="798">
      <c r="K798" s="84" t="n"/>
    </row>
    <row r="799">
      <c r="K799" s="84" t="n"/>
    </row>
    <row r="800">
      <c r="K800" s="84" t="n"/>
    </row>
    <row r="801">
      <c r="K801" s="84" t="n"/>
    </row>
    <row r="802">
      <c r="K802" s="84" t="n"/>
    </row>
    <row r="803">
      <c r="K803" s="84" t="n"/>
    </row>
    <row r="804">
      <c r="K804" s="84" t="n"/>
    </row>
    <row r="805">
      <c r="K805" s="84" t="n"/>
    </row>
    <row r="806">
      <c r="K806" s="84" t="n"/>
    </row>
    <row r="807">
      <c r="K807" s="84" t="n"/>
    </row>
    <row r="808">
      <c r="K808" s="84" t="n"/>
    </row>
    <row r="809">
      <c r="K809" s="84" t="n"/>
    </row>
    <row r="810">
      <c r="K810" s="84" t="n"/>
    </row>
    <row r="811">
      <c r="K811" s="84" t="n"/>
    </row>
    <row r="812">
      <c r="K812" s="84" t="n"/>
    </row>
    <row r="813">
      <c r="K813" s="84" t="n"/>
    </row>
    <row r="814">
      <c r="K814" s="84" t="n"/>
    </row>
    <row r="815">
      <c r="K815" s="84" t="n"/>
    </row>
    <row r="816">
      <c r="K816" s="84" t="n"/>
    </row>
    <row r="817">
      <c r="K817" s="84" t="n"/>
    </row>
    <row r="818">
      <c r="K818" s="84" t="n"/>
    </row>
    <row r="819">
      <c r="K819" s="84" t="n"/>
    </row>
    <row r="820">
      <c r="K820" s="84" t="n"/>
    </row>
    <row r="821">
      <c r="K821" s="84" t="n"/>
    </row>
    <row r="822">
      <c r="K822" s="84" t="n"/>
    </row>
    <row r="823">
      <c r="K823" s="84" t="n"/>
    </row>
    <row r="824">
      <c r="K824" s="84" t="n"/>
    </row>
    <row r="825">
      <c r="K825" s="84" t="n"/>
    </row>
    <row r="826">
      <c r="K826" s="84" t="n"/>
    </row>
    <row r="827">
      <c r="K827" s="84" t="n"/>
    </row>
    <row r="828">
      <c r="K828" s="84" t="n"/>
    </row>
    <row r="829">
      <c r="K829" s="84" t="n"/>
    </row>
    <row r="830">
      <c r="K830" s="84" t="n"/>
    </row>
    <row r="831">
      <c r="K831" s="84" t="n"/>
    </row>
    <row r="832">
      <c r="K832" s="84" t="n"/>
    </row>
    <row r="833">
      <c r="K833" s="84" t="n"/>
    </row>
    <row r="834">
      <c r="K834" s="84" t="n"/>
    </row>
    <row r="835">
      <c r="K835" s="84" t="n"/>
    </row>
    <row r="836">
      <c r="K836" s="84" t="n"/>
    </row>
    <row r="837">
      <c r="K837" s="84" t="n"/>
    </row>
    <row r="838">
      <c r="K838" s="84" t="n"/>
    </row>
    <row r="839">
      <c r="K839" s="84" t="n"/>
    </row>
    <row r="840">
      <c r="K840" s="84" t="n"/>
    </row>
    <row r="841">
      <c r="K841" s="84" t="n"/>
    </row>
    <row r="842">
      <c r="K842" s="84" t="n"/>
    </row>
    <row r="843">
      <c r="K843" s="84" t="n"/>
    </row>
    <row r="844">
      <c r="K844" s="84" t="n"/>
    </row>
    <row r="845">
      <c r="K845" s="84" t="n"/>
    </row>
    <row r="846">
      <c r="K846" s="84" t="n"/>
    </row>
    <row r="847">
      <c r="K847" s="84" t="n"/>
    </row>
    <row r="848">
      <c r="K848" s="84" t="n"/>
    </row>
    <row r="849">
      <c r="K849" s="84" t="n"/>
    </row>
    <row r="850">
      <c r="K850" s="84" t="n"/>
    </row>
    <row r="851">
      <c r="K851" s="84" t="n"/>
    </row>
    <row r="852">
      <c r="K852" s="84" t="n"/>
    </row>
    <row r="853">
      <c r="K853" s="84" t="n"/>
    </row>
    <row r="854">
      <c r="K854" s="84" t="n"/>
    </row>
    <row r="855">
      <c r="K855" s="84" t="n"/>
    </row>
    <row r="856">
      <c r="K856" s="84" t="n"/>
    </row>
    <row r="857">
      <c r="K857" s="84" t="n"/>
    </row>
    <row r="858">
      <c r="K858" s="84" t="n"/>
    </row>
    <row r="859">
      <c r="K859" s="84" t="n"/>
    </row>
    <row r="860">
      <c r="K860" s="84" t="n"/>
    </row>
    <row r="861">
      <c r="K861" s="84" t="n"/>
    </row>
    <row r="862">
      <c r="K862" s="84" t="n"/>
    </row>
    <row r="863">
      <c r="K863" s="84" t="n"/>
    </row>
    <row r="864">
      <c r="K864" s="84" t="n"/>
    </row>
    <row r="865">
      <c r="K865" s="84" t="n"/>
    </row>
    <row r="866">
      <c r="K866" s="84" t="n"/>
    </row>
    <row r="867">
      <c r="K867" s="84" t="n"/>
    </row>
    <row r="868">
      <c r="K868" s="84" t="n"/>
    </row>
    <row r="869">
      <c r="K869" s="84" t="n"/>
    </row>
    <row r="870">
      <c r="K870" s="84" t="n"/>
    </row>
    <row r="871">
      <c r="K871" s="84" t="n"/>
    </row>
    <row r="872">
      <c r="K872" s="84" t="n"/>
    </row>
    <row r="873">
      <c r="K873" s="84" t="n"/>
    </row>
    <row r="874">
      <c r="K874" s="84" t="n"/>
    </row>
    <row r="875">
      <c r="K875" s="84" t="n"/>
    </row>
    <row r="876">
      <c r="K876" s="84" t="n"/>
    </row>
    <row r="877">
      <c r="K877" s="84" t="n"/>
    </row>
    <row r="878">
      <c r="K878" s="84" t="n"/>
    </row>
    <row r="879">
      <c r="K879" s="84" t="n"/>
    </row>
    <row r="880">
      <c r="K880" s="84" t="n"/>
    </row>
    <row r="881">
      <c r="K881" s="84" t="n"/>
    </row>
    <row r="882">
      <c r="K882" s="84" t="n"/>
    </row>
    <row r="883">
      <c r="K883" s="84" t="n"/>
    </row>
    <row r="884">
      <c r="K884" s="84" t="n"/>
    </row>
    <row r="885">
      <c r="K885" s="84" t="n"/>
    </row>
    <row r="886">
      <c r="K886" s="84" t="n"/>
    </row>
    <row r="887">
      <c r="K887" s="84" t="n"/>
    </row>
    <row r="888">
      <c r="K888" s="84" t="n"/>
    </row>
    <row r="889">
      <c r="K889" s="84" t="n"/>
    </row>
    <row r="890">
      <c r="K890" s="84" t="n"/>
    </row>
    <row r="891">
      <c r="K891" s="84" t="n"/>
    </row>
    <row r="892">
      <c r="K892" s="84" t="n"/>
    </row>
    <row r="893">
      <c r="K893" s="84" t="n"/>
    </row>
    <row r="894">
      <c r="K894" s="84" t="n"/>
    </row>
    <row r="895">
      <c r="K895" s="84" t="n"/>
    </row>
    <row r="896">
      <c r="K896" s="84" t="n"/>
    </row>
    <row r="897">
      <c r="K897" s="84" t="n"/>
    </row>
    <row r="898">
      <c r="K898" s="84" t="n"/>
    </row>
    <row r="899">
      <c r="K899" s="84" t="n"/>
    </row>
    <row r="900">
      <c r="K900" s="84" t="n"/>
    </row>
    <row r="901">
      <c r="K901" s="84" t="n"/>
    </row>
    <row r="902">
      <c r="K902" s="84" t="n"/>
    </row>
    <row r="903">
      <c r="K903" s="84" t="n"/>
    </row>
    <row r="904">
      <c r="K904" s="84" t="n"/>
    </row>
    <row r="905">
      <c r="K905" s="84" t="n"/>
    </row>
    <row r="906">
      <c r="K906" s="84" t="n"/>
    </row>
    <row r="907">
      <c r="K907" s="84" t="n"/>
    </row>
    <row r="908">
      <c r="K908" s="84" t="n"/>
    </row>
    <row r="909">
      <c r="K909" s="84" t="n"/>
    </row>
    <row r="910">
      <c r="K910" s="84" t="n"/>
    </row>
    <row r="911">
      <c r="K911" s="84" t="n"/>
    </row>
    <row r="912">
      <c r="K912" s="84" t="n"/>
    </row>
    <row r="913">
      <c r="K913" s="84" t="n"/>
    </row>
    <row r="914">
      <c r="K914" s="84" t="n"/>
    </row>
    <row r="915">
      <c r="K915" s="84" t="n"/>
    </row>
    <row r="916">
      <c r="K916" s="84" t="n"/>
    </row>
    <row r="917">
      <c r="K917" s="84" t="n"/>
    </row>
    <row r="918">
      <c r="K918" s="84" t="n"/>
    </row>
    <row r="919">
      <c r="K919" s="84" t="n"/>
    </row>
    <row r="920">
      <c r="K920" s="84" t="n"/>
    </row>
    <row r="921">
      <c r="K921" s="84" t="n"/>
    </row>
    <row r="922">
      <c r="K922" s="84" t="n"/>
    </row>
    <row r="923">
      <c r="K923" s="84" t="n"/>
    </row>
    <row r="924">
      <c r="K924" s="84" t="n"/>
    </row>
    <row r="925">
      <c r="K925" s="84" t="n"/>
    </row>
    <row r="926">
      <c r="K926" s="84" t="n"/>
    </row>
    <row r="927">
      <c r="K927" s="84" t="n"/>
    </row>
    <row r="928">
      <c r="K928" s="84" t="n"/>
    </row>
    <row r="929">
      <c r="K929" s="84" t="n"/>
    </row>
    <row r="930">
      <c r="K930" s="84" t="n"/>
    </row>
    <row r="931">
      <c r="K931" s="84" t="n"/>
    </row>
    <row r="932">
      <c r="K932" s="84" t="n"/>
    </row>
    <row r="933">
      <c r="K933" s="84" t="n"/>
    </row>
    <row r="934">
      <c r="K934" s="84" t="n"/>
    </row>
    <row r="935">
      <c r="K935" s="84" t="n"/>
    </row>
    <row r="936">
      <c r="K936" s="84" t="n"/>
    </row>
    <row r="937">
      <c r="K937" s="84" t="n"/>
    </row>
    <row r="938">
      <c r="K938" s="84" t="n"/>
    </row>
    <row r="939">
      <c r="K939" s="84" t="n"/>
    </row>
    <row r="940">
      <c r="K940" s="84" t="n"/>
    </row>
    <row r="941">
      <c r="K941" s="84" t="n"/>
    </row>
    <row r="942">
      <c r="K942" s="84" t="n"/>
    </row>
    <row r="943">
      <c r="K943" s="84" t="n"/>
    </row>
    <row r="944">
      <c r="K944" s="84" t="n"/>
    </row>
    <row r="945">
      <c r="K945" s="84" t="n"/>
    </row>
    <row r="946">
      <c r="K946" s="84" t="n"/>
    </row>
    <row r="947">
      <c r="K947" s="84" t="n"/>
    </row>
    <row r="948">
      <c r="K948" s="84" t="n"/>
    </row>
    <row r="949">
      <c r="K949" s="84" t="n"/>
    </row>
    <row r="950">
      <c r="K950" s="84" t="n"/>
    </row>
    <row r="951">
      <c r="K951" s="84" t="n"/>
    </row>
    <row r="952">
      <c r="K952" s="84" t="n"/>
    </row>
    <row r="953">
      <c r="K953" s="84" t="n"/>
    </row>
    <row r="954">
      <c r="K954" s="84" t="n"/>
    </row>
    <row r="955">
      <c r="K955" s="84" t="n"/>
    </row>
    <row r="956">
      <c r="K956" s="84" t="n"/>
    </row>
    <row r="957">
      <c r="K957" s="84" t="n"/>
    </row>
    <row r="958">
      <c r="K958" s="84" t="n"/>
    </row>
    <row r="959">
      <c r="K959" s="84" t="n"/>
    </row>
    <row r="960">
      <c r="K960" s="84" t="n"/>
    </row>
    <row r="961">
      <c r="K961" s="84" t="n"/>
    </row>
    <row r="962">
      <c r="K962" s="84" t="n"/>
    </row>
    <row r="963">
      <c r="K963" s="84" t="n"/>
    </row>
    <row r="964">
      <c r="K964" s="84" t="n"/>
    </row>
    <row r="965">
      <c r="K965" s="84" t="n"/>
    </row>
    <row r="966">
      <c r="K966" s="84" t="n"/>
    </row>
    <row r="967">
      <c r="K967" s="84" t="n"/>
    </row>
    <row r="968">
      <c r="K968" s="84" t="n"/>
    </row>
    <row r="969">
      <c r="K969" s="84" t="n"/>
    </row>
    <row r="970">
      <c r="K970" s="84" t="n"/>
    </row>
    <row r="971">
      <c r="K971" s="84" t="n"/>
    </row>
    <row r="972">
      <c r="K972" s="84" t="n"/>
    </row>
    <row r="973">
      <c r="K973" s="84" t="n"/>
    </row>
    <row r="974">
      <c r="K974" s="84" t="n"/>
    </row>
    <row r="975">
      <c r="K975" s="84" t="n"/>
    </row>
    <row r="976">
      <c r="K976" s="84" t="n"/>
    </row>
    <row r="977">
      <c r="K977" s="84" t="n"/>
    </row>
    <row r="978">
      <c r="K978" s="84" t="n"/>
    </row>
    <row r="979">
      <c r="K979" s="84" t="n"/>
    </row>
    <row r="980">
      <c r="K980" s="84" t="n"/>
    </row>
    <row r="981">
      <c r="K981" s="84" t="n"/>
    </row>
    <row r="982">
      <c r="K982" s="84" t="n"/>
    </row>
    <row r="983">
      <c r="K983" s="84" t="n"/>
    </row>
    <row r="984">
      <c r="K984" s="84" t="n"/>
    </row>
    <row r="985">
      <c r="K985" s="84" t="n"/>
    </row>
    <row r="986">
      <c r="K986" s="84" t="n"/>
    </row>
  </sheetData>
  <dataValidations count="2">
    <dataValidation sqref="L2:L7 L8:M8 L9:L12 L16:L21 L22:M22 L23:L25 L29:L31 L33 L36 L39:L42 L55 L57 L61 L65:L66 L70 L73" showDropDown="0" showInputMessage="0" showErrorMessage="1" allowBlank="1" type="list">
      <formula1>"JOCELYN,SILVANA,ARI"</formula1>
    </dataValidation>
    <dataValidation sqref="L32 L34:L35 L37:L38 L45:L54 L56 L58 L62:L64 L67:L69 L71:L72 L74 L77:L89" showDropDown="0" showInputMessage="0" showErrorMessage="1" allowBlank="1" type="list">
      <formula1>"MARCO,PAOLA LUNA,EMILIA"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N54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18" min="1" max="1"/>
    <col width="13.13" customWidth="1" style="118" min="2" max="2"/>
    <col width="16.75" customWidth="1" style="118" min="12" max="13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70" t="inlineStr">
        <is>
          <t>Duration （Formula）</t>
        </is>
      </c>
      <c r="K1" s="58" t="inlineStr">
        <is>
          <t>Start date</t>
        </is>
      </c>
      <c r="L1" s="71" t="inlineStr">
        <is>
          <t>HOST 1</t>
        </is>
      </c>
      <c r="M1" s="71" t="inlineStr">
        <is>
          <t xml:space="preserve">HOST 2 </t>
        </is>
      </c>
      <c r="N1" s="71" t="inlineStr">
        <is>
          <t>Operator</t>
        </is>
      </c>
    </row>
    <row r="2">
      <c r="A2" s="96" t="inlineStr">
        <is>
          <t>7658022882452343572</t>
        </is>
      </c>
      <c r="B2" s="97" t="inlineStr">
        <is>
          <t>magnaperfumes</t>
        </is>
      </c>
      <c r="C2" s="40" t="inlineStr">
        <is>
          <t>MX</t>
        </is>
      </c>
      <c r="D2" s="39" t="n">
        <v>25114.81</v>
      </c>
      <c r="E2" s="40">
        <f>D2/1.16</f>
        <v/>
      </c>
      <c r="F2" s="40">
        <f>D2/J2</f>
        <v/>
      </c>
      <c r="G2" s="40">
        <f>F2/1.16</f>
        <v/>
      </c>
      <c r="H2" s="92" t="n">
        <v>0</v>
      </c>
      <c r="I2" s="26" t="n">
        <v>4</v>
      </c>
      <c r="J2" s="74" t="n">
        <v>4</v>
      </c>
      <c r="K2" s="93" t="n">
        <v>46205</v>
      </c>
      <c r="L2" s="89" t="inlineStr">
        <is>
          <t>AISHA</t>
        </is>
      </c>
      <c r="M2" s="89" t="n"/>
      <c r="N2" s="89" t="inlineStr">
        <is>
          <t>GUILLERMO</t>
        </is>
      </c>
    </row>
    <row r="3">
      <c r="A3" s="96" t="inlineStr">
        <is>
          <t>7659862811367574292</t>
        </is>
      </c>
      <c r="B3" s="98" t="inlineStr">
        <is>
          <t>magnaperfumes</t>
        </is>
      </c>
      <c r="C3" s="40" t="inlineStr">
        <is>
          <t>MX</t>
        </is>
      </c>
      <c r="D3" s="39" t="n">
        <v>17616.03</v>
      </c>
      <c r="E3" s="40">
        <f>D3/1.16</f>
        <v/>
      </c>
      <c r="F3" s="40">
        <f>D3/J3</f>
        <v/>
      </c>
      <c r="G3" s="40">
        <f>F3/1.16</f>
        <v/>
      </c>
      <c r="H3" s="92" t="n">
        <v>0</v>
      </c>
      <c r="I3" s="26" t="n">
        <v>4</v>
      </c>
      <c r="J3" s="74" t="n">
        <v>4</v>
      </c>
      <c r="K3" s="93" t="n">
        <v>46210</v>
      </c>
      <c r="L3" s="89" t="inlineStr">
        <is>
          <t>AISHA</t>
        </is>
      </c>
      <c r="M3" s="89" t="n"/>
      <c r="N3" s="89" t="inlineStr">
        <is>
          <t>GUILLERMO</t>
        </is>
      </c>
    </row>
    <row r="4">
      <c r="A4" s="96" t="inlineStr">
        <is>
          <t>7660607690883009300</t>
        </is>
      </c>
      <c r="B4" s="98" t="inlineStr">
        <is>
          <t>magnaperfumes</t>
        </is>
      </c>
      <c r="C4" s="40" t="inlineStr">
        <is>
          <t>MX</t>
        </is>
      </c>
      <c r="D4" s="39" t="n">
        <v>12158.14</v>
      </c>
      <c r="E4" s="40">
        <f>D4/1.16</f>
        <v/>
      </c>
      <c r="F4" s="40">
        <f>D4/J4</f>
        <v/>
      </c>
      <c r="G4" s="40">
        <f>F4/1.16</f>
        <v/>
      </c>
      <c r="H4" s="92" t="n">
        <v>0</v>
      </c>
      <c r="I4" s="26" t="n">
        <v>4</v>
      </c>
      <c r="J4" s="74" t="n">
        <v>4</v>
      </c>
      <c r="K4" s="93" t="n">
        <v>46212</v>
      </c>
      <c r="L4" s="89" t="inlineStr">
        <is>
          <t>AISHA</t>
        </is>
      </c>
      <c r="M4" s="89" t="n"/>
      <c r="N4" s="89" t="inlineStr">
        <is>
          <t>GUILLERMO</t>
        </is>
      </c>
    </row>
    <row r="5">
      <c r="A5" s="96" t="inlineStr">
        <is>
          <t>7662831442791009042</t>
        </is>
      </c>
      <c r="B5" s="98" t="inlineStr">
        <is>
          <t>magnaperfumes</t>
        </is>
      </c>
      <c r="C5" s="40" t="inlineStr">
        <is>
          <t>MX</t>
        </is>
      </c>
      <c r="D5" s="39" t="n">
        <v>12976.3</v>
      </c>
      <c r="E5" s="40">
        <f>D5/1.16</f>
        <v/>
      </c>
      <c r="F5" s="40">
        <f>D5/J5</f>
        <v/>
      </c>
      <c r="G5" s="40">
        <f>F5/1.16</f>
        <v/>
      </c>
      <c r="H5" s="92" t="n">
        <v>0</v>
      </c>
      <c r="I5" s="26" t="n">
        <v>4</v>
      </c>
      <c r="J5" s="74" t="n">
        <v>4</v>
      </c>
      <c r="K5" s="93" t="n">
        <v>46218</v>
      </c>
      <c r="L5" s="89" t="inlineStr">
        <is>
          <t>AISHA</t>
        </is>
      </c>
      <c r="M5" s="89" t="n"/>
      <c r="N5" s="89" t="inlineStr">
        <is>
          <t>GUILLERMO</t>
        </is>
      </c>
    </row>
    <row r="6">
      <c r="A6" s="96" t="inlineStr">
        <is>
          <t>7663573638839552776</t>
        </is>
      </c>
      <c r="B6" s="98" t="inlineStr">
        <is>
          <t>magnaperfumes</t>
        </is>
      </c>
      <c r="C6" s="40" t="inlineStr">
        <is>
          <t>MX</t>
        </is>
      </c>
      <c r="D6" s="39" t="n">
        <v>17381.18</v>
      </c>
      <c r="E6" s="40">
        <f>D6/1.16</f>
        <v/>
      </c>
      <c r="F6" s="40">
        <f>D6/J6</f>
        <v/>
      </c>
      <c r="G6" s="40">
        <f>F6/1.16</f>
        <v/>
      </c>
      <c r="H6" s="92" t="n">
        <v>0</v>
      </c>
      <c r="I6" s="26" t="n">
        <v>4</v>
      </c>
      <c r="J6" s="74" t="n">
        <v>4</v>
      </c>
      <c r="K6" s="93" t="n">
        <v>46220</v>
      </c>
      <c r="L6" s="89" t="inlineStr">
        <is>
          <t>AISHA</t>
        </is>
      </c>
      <c r="M6" s="89" t="n"/>
      <c r="N6" s="89" t="inlineStr">
        <is>
          <t>GUILLERMO</t>
        </is>
      </c>
    </row>
    <row r="7">
      <c r="A7" s="96" t="inlineStr">
        <is>
          <t>7665058089696299796</t>
        </is>
      </c>
      <c r="B7" s="98" t="inlineStr">
        <is>
          <t>magnaperfumes</t>
        </is>
      </c>
      <c r="C7" s="40" t="inlineStr">
        <is>
          <t>MX</t>
        </is>
      </c>
      <c r="D7" s="39" t="n">
        <v>14661.26</v>
      </c>
      <c r="E7" s="40">
        <f>D7/1.16</f>
        <v/>
      </c>
      <c r="F7" s="40">
        <f>D7/J7</f>
        <v/>
      </c>
      <c r="G7" s="40">
        <f>F7/1.16</f>
        <v/>
      </c>
      <c r="H7" s="92" t="n">
        <v>0</v>
      </c>
      <c r="I7" s="26" t="n">
        <v>4</v>
      </c>
      <c r="J7" s="74" t="n">
        <v>4</v>
      </c>
      <c r="K7" s="93" t="n">
        <v>46224</v>
      </c>
      <c r="L7" s="89" t="inlineStr">
        <is>
          <t>AISHA</t>
        </is>
      </c>
      <c r="M7" s="89" t="n"/>
      <c r="N7" s="89" t="inlineStr">
        <is>
          <t>GUILLERMO</t>
        </is>
      </c>
    </row>
    <row r="8">
      <c r="A8" s="96" t="inlineStr">
        <is>
          <t>7665800236757715733</t>
        </is>
      </c>
      <c r="B8" s="98" t="inlineStr">
        <is>
          <t>magnaperfumes</t>
        </is>
      </c>
      <c r="C8" s="40" t="inlineStr">
        <is>
          <t>MX</t>
        </is>
      </c>
      <c r="D8" s="39" t="n">
        <v>15607.01</v>
      </c>
      <c r="E8" s="40">
        <f>D8/1.16</f>
        <v/>
      </c>
      <c r="F8" s="40">
        <f>D8/J8</f>
        <v/>
      </c>
      <c r="G8" s="40">
        <f>F8/1.16</f>
        <v/>
      </c>
      <c r="H8" s="92" t="n">
        <v>0</v>
      </c>
      <c r="I8" s="26" t="n">
        <v>4</v>
      </c>
      <c r="J8" s="74" t="n">
        <v>4</v>
      </c>
      <c r="K8" s="93" t="n">
        <v>46226</v>
      </c>
      <c r="L8" s="89" t="inlineStr">
        <is>
          <t>AISHA</t>
        </is>
      </c>
      <c r="M8" s="89" t="n"/>
      <c r="N8" s="89" t="inlineStr">
        <is>
          <t>GUILLERMO</t>
        </is>
      </c>
    </row>
    <row r="10">
      <c r="A10" s="7" t="inlineStr">
        <is>
          <t>Room ID</t>
        </is>
      </c>
      <c r="B10" s="7" t="inlineStr">
        <is>
          <t>TT Handle</t>
        </is>
      </c>
      <c r="C10" s="7" t="inlineStr">
        <is>
          <t>Country</t>
        </is>
      </c>
      <c r="D10" s="7" t="inlineStr">
        <is>
          <t>GMV</t>
        </is>
      </c>
      <c r="E10" s="7" t="inlineStr">
        <is>
          <t>GMV/sin EVA</t>
        </is>
      </c>
      <c r="F10" s="7" t="inlineStr">
        <is>
          <t>GMV PER HOUR</t>
        </is>
      </c>
      <c r="G10" s="7" t="inlineStr">
        <is>
          <t>GMV PER HOUR/sin EVA</t>
        </is>
      </c>
      <c r="H10" s="7" t="inlineStr">
        <is>
          <t>Ads Cost</t>
        </is>
      </c>
      <c r="I10" s="7" t="inlineStr">
        <is>
          <t>Duration (H)</t>
        </is>
      </c>
      <c r="J10" s="70" t="inlineStr">
        <is>
          <t>Duration （Formula）</t>
        </is>
      </c>
      <c r="K10" s="58" t="inlineStr">
        <is>
          <t>Start date</t>
        </is>
      </c>
      <c r="L10" s="71" t="inlineStr">
        <is>
          <t>HOST 1</t>
        </is>
      </c>
      <c r="M10" s="71" t="inlineStr">
        <is>
          <t xml:space="preserve">HOST 2 </t>
        </is>
      </c>
      <c r="N10" s="71" t="inlineStr">
        <is>
          <t>Operator</t>
        </is>
      </c>
    </row>
    <row r="11">
      <c r="A11" s="96" t="inlineStr">
        <is>
          <t>7667655594358131476</t>
        </is>
      </c>
      <c r="B11" s="98" t="inlineStr">
        <is>
          <t>magnaperfumes</t>
        </is>
      </c>
      <c r="C11" s="40" t="inlineStr">
        <is>
          <t>MX</t>
        </is>
      </c>
      <c r="D11" s="39" t="n">
        <v>4841.96</v>
      </c>
      <c r="E11" s="40">
        <f>D11/1.16</f>
        <v/>
      </c>
      <c r="F11" s="40">
        <f>D11/J11</f>
        <v/>
      </c>
      <c r="G11" s="40">
        <f>F11/1.16</f>
        <v/>
      </c>
      <c r="H11" s="92" t="n">
        <v>0</v>
      </c>
      <c r="I11" s="26" t="n">
        <v>4</v>
      </c>
      <c r="J11" s="74" t="n">
        <v>4</v>
      </c>
      <c r="K11" s="93" t="n">
        <v>46231</v>
      </c>
      <c r="L11" s="38" t="inlineStr">
        <is>
          <t>MAYTE</t>
        </is>
      </c>
      <c r="M11" s="89" t="n"/>
      <c r="N11" s="89" t="inlineStr">
        <is>
          <t>GUILLERMO</t>
        </is>
      </c>
    </row>
    <row r="12">
      <c r="A12" s="96" t="inlineStr">
        <is>
          <t>7668397916351990536</t>
        </is>
      </c>
      <c r="B12" s="98" t="inlineStr">
        <is>
          <t>magnaperfumes</t>
        </is>
      </c>
      <c r="C12" s="40" t="inlineStr">
        <is>
          <t>MX</t>
        </is>
      </c>
      <c r="D12" s="39" t="n">
        <v>14258.09</v>
      </c>
      <c r="E12" s="40">
        <f>D12/1.16</f>
        <v/>
      </c>
      <c r="F12" s="40">
        <f>D12/J12</f>
        <v/>
      </c>
      <c r="G12" s="40">
        <f>F12/1.16</f>
        <v/>
      </c>
      <c r="H12" s="92" t="n">
        <v>0</v>
      </c>
      <c r="I12" s="26" t="n">
        <v>4</v>
      </c>
      <c r="J12" s="74" t="n">
        <v>4</v>
      </c>
      <c r="K12" s="93" t="n">
        <v>46233</v>
      </c>
      <c r="L12" s="91" t="inlineStr">
        <is>
          <t>MILI CONCHA</t>
        </is>
      </c>
      <c r="M12" s="89" t="n"/>
      <c r="N12" s="89" t="inlineStr">
        <is>
          <t>GUILLERMO</t>
        </is>
      </c>
    </row>
    <row r="13">
      <c r="A13" s="96" t="inlineStr">
        <is>
          <t>7675062376639908628</t>
        </is>
      </c>
      <c r="B13" s="98" t="inlineStr">
        <is>
          <t>magnaperfumes</t>
        </is>
      </c>
      <c r="C13" s="40" t="inlineStr">
        <is>
          <t>MX</t>
        </is>
      </c>
      <c r="D13" s="39" t="n">
        <v>16946.69</v>
      </c>
      <c r="E13" s="40">
        <f>D13/1.16</f>
        <v/>
      </c>
      <c r="F13" s="40">
        <f>D13/J13</f>
        <v/>
      </c>
      <c r="G13" s="40">
        <f>F13/1.16</f>
        <v/>
      </c>
      <c r="H13" s="92" t="n">
        <v>0</v>
      </c>
      <c r="I13" s="26" t="n">
        <v>5</v>
      </c>
      <c r="J13" s="74" t="n">
        <v>4</v>
      </c>
      <c r="K13" s="93" t="n">
        <v>46251</v>
      </c>
      <c r="L13" s="91" t="inlineStr">
        <is>
          <t>MILI CONCHA</t>
        </is>
      </c>
      <c r="M13" s="89" t="n"/>
      <c r="N13" s="89" t="inlineStr">
        <is>
          <t>GUILLERMO</t>
        </is>
      </c>
    </row>
    <row r="14">
      <c r="A14" s="96" t="inlineStr">
        <is>
          <t>7675819561686010644</t>
        </is>
      </c>
      <c r="B14" s="98" t="inlineStr">
        <is>
          <t>magnaperfumes</t>
        </is>
      </c>
      <c r="C14" s="40" t="inlineStr">
        <is>
          <t>MX</t>
        </is>
      </c>
      <c r="D14" s="39" t="n">
        <v>10380.39</v>
      </c>
      <c r="E14" s="40">
        <f>D14/1.16</f>
        <v/>
      </c>
      <c r="F14" s="40">
        <f>D14/J14</f>
        <v/>
      </c>
      <c r="G14" s="40">
        <f>F14/1.16</f>
        <v/>
      </c>
      <c r="H14" s="92" t="n">
        <v>0</v>
      </c>
      <c r="I14" s="26" t="n">
        <v>4</v>
      </c>
      <c r="J14" s="74" t="n">
        <v>4</v>
      </c>
      <c r="K14" s="93" t="n">
        <v>46253</v>
      </c>
      <c r="L14" s="91" t="inlineStr">
        <is>
          <t>EMILIANO</t>
        </is>
      </c>
      <c r="M14" s="91" t="inlineStr">
        <is>
          <t>MILI CONCHA</t>
        </is>
      </c>
      <c r="N14" s="89" t="inlineStr">
        <is>
          <t>GUILLERMO</t>
        </is>
      </c>
    </row>
    <row r="15">
      <c r="A15" s="96" t="inlineStr">
        <is>
          <t>7676561677824133909</t>
        </is>
      </c>
      <c r="B15" s="98" t="inlineStr">
        <is>
          <t>magnaperfumes</t>
        </is>
      </c>
      <c r="C15" s="40" t="inlineStr">
        <is>
          <t>MX</t>
        </is>
      </c>
      <c r="D15" s="39" t="n">
        <v>3802.24</v>
      </c>
      <c r="E15" s="40">
        <f>D15/1.16</f>
        <v/>
      </c>
      <c r="F15" s="40">
        <f>D15/J15</f>
        <v/>
      </c>
      <c r="G15" s="40">
        <f>F15/1.16</f>
        <v/>
      </c>
      <c r="H15" s="92" t="n">
        <v>0</v>
      </c>
      <c r="I15" s="26" t="n">
        <v>4</v>
      </c>
      <c r="J15" s="74" t="n">
        <v>4</v>
      </c>
      <c r="K15" s="93" t="n">
        <v>46255</v>
      </c>
      <c r="L15" s="91" t="inlineStr">
        <is>
          <t>EMILIANO</t>
        </is>
      </c>
      <c r="M15" s="91" t="inlineStr">
        <is>
          <t>MILI CONCHA</t>
        </is>
      </c>
      <c r="N15" s="89" t="inlineStr">
        <is>
          <t>GUILLERMO</t>
        </is>
      </c>
    </row>
    <row r="16">
      <c r="A16" s="96" t="inlineStr">
        <is>
          <t>7677674952729119508</t>
        </is>
      </c>
      <c r="B16" s="98" t="inlineStr">
        <is>
          <t>magnaperfumes</t>
        </is>
      </c>
      <c r="C16" s="40" t="inlineStr">
        <is>
          <t>MX</t>
        </is>
      </c>
      <c r="D16" s="39" t="n">
        <v>11096.15</v>
      </c>
      <c r="E16" s="40">
        <f>D16/1.16</f>
        <v/>
      </c>
      <c r="F16" s="40">
        <f>D16/J16</f>
        <v/>
      </c>
      <c r="G16" s="40">
        <f>F16/1.16</f>
        <v/>
      </c>
      <c r="H16" s="92" t="n">
        <v>0</v>
      </c>
      <c r="I16" s="26" t="n">
        <v>4</v>
      </c>
      <c r="J16" s="74" t="n">
        <v>4</v>
      </c>
      <c r="K16" s="93" t="n">
        <v>46258</v>
      </c>
      <c r="L16" s="91" t="inlineStr">
        <is>
          <t>MILI CONCHA</t>
        </is>
      </c>
      <c r="M16" s="89" t="n"/>
      <c r="N16" s="89" t="inlineStr">
        <is>
          <t>GUILLERMO</t>
        </is>
      </c>
    </row>
    <row r="17">
      <c r="A17" s="96" t="inlineStr">
        <is>
          <t>7678417089656310536</t>
        </is>
      </c>
      <c r="B17" s="98" t="inlineStr">
        <is>
          <t>magnaperfumes</t>
        </is>
      </c>
      <c r="C17" s="40" t="inlineStr">
        <is>
          <t>MX</t>
        </is>
      </c>
      <c r="D17" s="39" t="n">
        <v>5001.3</v>
      </c>
      <c r="E17" s="40">
        <f>D17/1.16</f>
        <v/>
      </c>
      <c r="F17" s="40">
        <f>D17/J17</f>
        <v/>
      </c>
      <c r="G17" s="40">
        <f>F17/1.16</f>
        <v/>
      </c>
      <c r="H17" s="92" t="n">
        <v>0</v>
      </c>
      <c r="I17" s="26" t="n">
        <v>4</v>
      </c>
      <c r="J17" s="74" t="n">
        <v>4</v>
      </c>
      <c r="K17" s="93" t="n">
        <v>46260</v>
      </c>
      <c r="L17" s="91" t="inlineStr">
        <is>
          <t>EMILIANO</t>
        </is>
      </c>
      <c r="M17" s="89" t="n"/>
      <c r="N17" s="89" t="inlineStr">
        <is>
          <t>GUILLERMO</t>
        </is>
      </c>
    </row>
    <row r="19">
      <c r="A19" s="7" t="inlineStr">
        <is>
          <t>Room ID</t>
        </is>
      </c>
      <c r="B19" s="7" t="inlineStr">
        <is>
          <t>TT Handle</t>
        </is>
      </c>
      <c r="C19" s="7" t="inlineStr">
        <is>
          <t>Country</t>
        </is>
      </c>
      <c r="D19" s="7" t="inlineStr">
        <is>
          <t>GMV</t>
        </is>
      </c>
      <c r="E19" s="7" t="inlineStr">
        <is>
          <t>GMV/sin EVA</t>
        </is>
      </c>
      <c r="F19" s="7" t="inlineStr">
        <is>
          <t>GMV PER HOUR</t>
        </is>
      </c>
      <c r="G19" s="7" t="inlineStr">
        <is>
          <t>GMV PER HOUR/sin EVA</t>
        </is>
      </c>
      <c r="H19" s="7" t="inlineStr">
        <is>
          <t>Ads Cost</t>
        </is>
      </c>
      <c r="I19" s="7" t="inlineStr">
        <is>
          <t>Duration (H)</t>
        </is>
      </c>
      <c r="J19" s="70" t="inlineStr">
        <is>
          <t>Duration （Formula）</t>
        </is>
      </c>
      <c r="K19" s="58" t="inlineStr">
        <is>
          <t>Start date</t>
        </is>
      </c>
      <c r="L19" s="71" t="inlineStr">
        <is>
          <t>HOST 1</t>
        </is>
      </c>
      <c r="M19" s="71" t="inlineStr">
        <is>
          <t xml:space="preserve">HOST 2 </t>
        </is>
      </c>
      <c r="N19" s="71" t="inlineStr">
        <is>
          <t>Operator</t>
        </is>
      </c>
    </row>
    <row r="20">
      <c r="A20" s="96" t="inlineStr">
        <is>
          <t>7679159267180038920</t>
        </is>
      </c>
      <c r="B20" s="98" t="inlineStr">
        <is>
          <t>magnaperfumes</t>
        </is>
      </c>
      <c r="C20" s="40" t="inlineStr">
        <is>
          <t>MX</t>
        </is>
      </c>
      <c r="D20" s="39" t="n">
        <v>4800.55</v>
      </c>
      <c r="E20" s="40">
        <f>D20/1.16</f>
        <v/>
      </c>
      <c r="F20" s="40">
        <f>D20/I20</f>
        <v/>
      </c>
      <c r="G20" s="40">
        <f>F20/1.16</f>
        <v/>
      </c>
      <c r="H20" s="92" t="n"/>
      <c r="I20" s="26" t="n">
        <v>4.02</v>
      </c>
      <c r="J20" s="74">
        <f>LET(dec, I20-INT(I20), IF(dec&lt;0.1, INT(I20), IF(dec&lt;=0.7, INT(I20)+0.5, INT(I20)+1)))</f>
        <v/>
      </c>
      <c r="K20" s="93" t="n">
        <v>46262</v>
      </c>
      <c r="L20" s="91" t="inlineStr">
        <is>
          <t>MILI CONCHA</t>
        </is>
      </c>
      <c r="M20" s="89" t="n"/>
      <c r="N20" s="89" t="inlineStr">
        <is>
          <t>GUILLERMO</t>
        </is>
      </c>
    </row>
    <row r="21">
      <c r="A21" s="96" t="inlineStr">
        <is>
          <t>7680272512480250632</t>
        </is>
      </c>
      <c r="B21" s="98" t="inlineStr">
        <is>
          <t>magnaperfumes</t>
        </is>
      </c>
      <c r="C21" s="40" t="inlineStr">
        <is>
          <t>MX</t>
        </is>
      </c>
      <c r="D21" s="39" t="n">
        <v>23164</v>
      </c>
      <c r="E21" s="40">
        <f>D21/1.16</f>
        <v/>
      </c>
      <c r="F21" s="40">
        <f>D21/I21</f>
        <v/>
      </c>
      <c r="G21" s="40">
        <f>F21/1.16</f>
        <v/>
      </c>
      <c r="H21" s="92" t="n"/>
      <c r="I21" s="26" t="n">
        <v>5.03</v>
      </c>
      <c r="J21" s="74">
        <f>LET(dec, I21-INT(I21), IF(dec&lt;0.1, INT(I21), IF(dec&lt;=0.7, INT(I21)+0.5, INT(I21)+1)))</f>
        <v/>
      </c>
      <c r="K21" s="93" t="n">
        <v>46265</v>
      </c>
      <c r="L21" s="91" t="inlineStr">
        <is>
          <t>MILI CONCHA</t>
        </is>
      </c>
      <c r="M21" s="89" t="n"/>
      <c r="N21" s="89" t="inlineStr">
        <is>
          <t>GUILLERMO</t>
        </is>
      </c>
    </row>
    <row r="22">
      <c r="A22" s="96" t="inlineStr">
        <is>
          <t>7680721011605867282</t>
        </is>
      </c>
      <c r="B22" s="98" t="inlineStr">
        <is>
          <t>magnaperfumes</t>
        </is>
      </c>
      <c r="C22" s="40" t="inlineStr">
        <is>
          <t>MX</t>
        </is>
      </c>
      <c r="D22" s="39" t="n">
        <v>19235.8</v>
      </c>
      <c r="E22" s="40">
        <f>D22/1.16</f>
        <v/>
      </c>
      <c r="F22" s="40">
        <f>D22/I22</f>
        <v/>
      </c>
      <c r="G22" s="40">
        <f>F22/1.16</f>
        <v/>
      </c>
      <c r="H22" s="92" t="n"/>
      <c r="I22" s="26" t="n">
        <v>4.02</v>
      </c>
      <c r="J22" s="74">
        <f>LET(dec, I22-INT(I22), IF(dec&lt;0.1, INT(I22), IF(dec&lt;=0.7, INT(I22)+0.5, INT(I22)+1)))</f>
        <v/>
      </c>
      <c r="K22" s="93" t="n">
        <v>46266</v>
      </c>
      <c r="L22" s="91" t="inlineStr">
        <is>
          <t>EMILIANO</t>
        </is>
      </c>
      <c r="M22" s="89" t="n"/>
      <c r="N22" s="89" t="inlineStr">
        <is>
          <t>GUILLERMO</t>
        </is>
      </c>
    </row>
    <row r="23">
      <c r="A23" s="96" t="inlineStr">
        <is>
          <t>7681014812464319253</t>
        </is>
      </c>
      <c r="B23" s="98" t="inlineStr">
        <is>
          <t>magnaperfumes</t>
        </is>
      </c>
      <c r="C23" s="40" t="inlineStr">
        <is>
          <t>MX</t>
        </is>
      </c>
      <c r="D23" s="39" t="n">
        <v>26844.59</v>
      </c>
      <c r="E23" s="40">
        <f>D23/1.16</f>
        <v/>
      </c>
      <c r="F23" s="40">
        <f>D23/I23</f>
        <v/>
      </c>
      <c r="G23" s="40">
        <f>F23/1.16</f>
        <v/>
      </c>
      <c r="H23" s="92" t="n"/>
      <c r="I23" s="26" t="n">
        <v>4.03</v>
      </c>
      <c r="J23" s="74">
        <f>LET(dec, I23-INT(I23), IF(dec&lt;0.1, INT(I23), IF(dec&lt;=0.7, INT(I23)+0.5, INT(I23)+1)))</f>
        <v/>
      </c>
      <c r="K23" s="93" t="n">
        <v>46267</v>
      </c>
      <c r="L23" s="91" t="inlineStr">
        <is>
          <t>MILI CONCHA</t>
        </is>
      </c>
      <c r="M23" s="89" t="n"/>
      <c r="N23" s="89" t="inlineStr">
        <is>
          <t>GUILLERMO</t>
        </is>
      </c>
    </row>
    <row r="24">
      <c r="A24" s="96" t="inlineStr">
        <is>
          <t>7681803364365667092</t>
        </is>
      </c>
      <c r="B24" s="98" t="inlineStr">
        <is>
          <t>magnaperfumes</t>
        </is>
      </c>
      <c r="C24" s="40" t="inlineStr">
        <is>
          <t>MX</t>
        </is>
      </c>
      <c r="D24" s="39" t="n">
        <v>24220.78</v>
      </c>
      <c r="E24" s="40">
        <f>D24/1.16</f>
        <v/>
      </c>
      <c r="F24" s="40">
        <f>D24/I24</f>
        <v/>
      </c>
      <c r="G24" s="40">
        <f>F24/1.16</f>
        <v/>
      </c>
      <c r="H24" s="92" t="n"/>
      <c r="I24" s="26" t="n">
        <v>4</v>
      </c>
      <c r="J24" s="74">
        <f>LET(dec, I24-INT(I24), IF(dec&lt;0.1, INT(I24), IF(dec&lt;=0.7, INT(I24)+0.5, INT(I24)+1)))</f>
        <v/>
      </c>
      <c r="K24" s="93" t="n">
        <v>46269</v>
      </c>
      <c r="L24" s="91" t="inlineStr">
        <is>
          <t>EMILIANO</t>
        </is>
      </c>
      <c r="M24" s="89" t="n"/>
      <c r="N24" s="89" t="inlineStr">
        <is>
          <t>GUILLERMO</t>
        </is>
      </c>
    </row>
    <row r="25">
      <c r="A25" s="96" t="inlineStr">
        <is>
          <t>7682871423081270034</t>
        </is>
      </c>
      <c r="B25" s="98" t="inlineStr">
        <is>
          <t>magnaperfumes</t>
        </is>
      </c>
      <c r="C25" s="40" t="inlineStr">
        <is>
          <t>MX</t>
        </is>
      </c>
      <c r="D25" s="39" t="n">
        <v>29145.9</v>
      </c>
      <c r="E25" s="40">
        <f>D25/1.16</f>
        <v/>
      </c>
      <c r="F25" s="40">
        <f>D25/I25</f>
        <v/>
      </c>
      <c r="G25" s="40">
        <f>F25/1.16</f>
        <v/>
      </c>
      <c r="H25" s="92" t="n"/>
      <c r="I25" s="26" t="n">
        <v>4.02</v>
      </c>
      <c r="J25" s="74">
        <f>LET(dec, I25-INT(I25), IF(dec&lt;0.1, INT(I25), IF(dec&lt;=0.7, INT(I25)+0.5, INT(I25)+1)))</f>
        <v/>
      </c>
      <c r="K25" s="93" t="n">
        <v>46272</v>
      </c>
      <c r="L25" s="91" t="inlineStr">
        <is>
          <t>MILI CONCHA</t>
        </is>
      </c>
      <c r="M25" s="89" t="n"/>
      <c r="N25" s="89" t="inlineStr">
        <is>
          <t>GUILLERMO</t>
        </is>
      </c>
    </row>
    <row r="26">
      <c r="A26" s="96" t="inlineStr">
        <is>
          <t>7683612543806212882</t>
        </is>
      </c>
      <c r="B26" s="98" t="inlineStr">
        <is>
          <t>magnaperfumes</t>
        </is>
      </c>
      <c r="C26" s="40" t="inlineStr">
        <is>
          <t>MX</t>
        </is>
      </c>
      <c r="D26" s="39" t="n">
        <v>31280.1</v>
      </c>
      <c r="E26" s="40">
        <f>D26/1.16</f>
        <v/>
      </c>
      <c r="F26" s="40">
        <f>D26/I26</f>
        <v/>
      </c>
      <c r="G26" s="40">
        <f>F26/1.16</f>
        <v/>
      </c>
      <c r="H26" s="92" t="n"/>
      <c r="I26" s="26" t="n">
        <v>4</v>
      </c>
      <c r="J26" s="74">
        <f>LET(dec, I26-INT(I26), IF(dec&lt;0.1, INT(I26), IF(dec&lt;=0.7, INT(I26)+0.5, INT(I26)+1)))</f>
        <v/>
      </c>
      <c r="K26" s="93" t="n">
        <v>46274</v>
      </c>
      <c r="L26" s="91" t="inlineStr">
        <is>
          <t>MILI CONCHA</t>
        </is>
      </c>
      <c r="M26" s="89" t="n"/>
      <c r="N26" s="89" t="inlineStr">
        <is>
          <t>GUILLERMO</t>
        </is>
      </c>
    </row>
    <row r="27">
      <c r="A27" s="96" t="inlineStr">
        <is>
          <t>7684789924411591432</t>
        </is>
      </c>
      <c r="B27" s="98" t="inlineStr">
        <is>
          <t>magnaperfumes</t>
        </is>
      </c>
      <c r="C27" s="40" t="inlineStr">
        <is>
          <t>MX</t>
        </is>
      </c>
      <c r="D27" s="39" t="n">
        <v>21192.19</v>
      </c>
      <c r="E27" s="40">
        <f>D27/1.16</f>
        <v/>
      </c>
      <c r="F27" s="40">
        <f>D27/I27</f>
        <v/>
      </c>
      <c r="G27" s="40">
        <f>F27/1.16</f>
        <v/>
      </c>
      <c r="H27" s="92" t="n"/>
      <c r="I27" s="26" t="n">
        <v>4</v>
      </c>
      <c r="J27" s="74">
        <f>LET(dec, I27-INT(I27), IF(dec&lt;0.1, INT(I27), IF(dec&lt;=0.7, INT(I27)+0.5, INT(I27)+1)))</f>
        <v/>
      </c>
      <c r="K27" s="93" t="n">
        <v>46277</v>
      </c>
      <c r="L27" s="91" t="inlineStr">
        <is>
          <t>EMILIANO</t>
        </is>
      </c>
      <c r="M27" s="89" t="n"/>
      <c r="N27" s="63" t="inlineStr">
        <is>
          <t>NAHOMI</t>
        </is>
      </c>
    </row>
    <row r="28">
      <c r="A28" s="96" t="inlineStr">
        <is>
          <t>7685823328603048712</t>
        </is>
      </c>
      <c r="B28" s="98" t="inlineStr">
        <is>
          <t>magnaperfumes</t>
        </is>
      </c>
      <c r="C28" s="40" t="inlineStr">
        <is>
          <t>MX</t>
        </is>
      </c>
      <c r="D28" s="39" t="n">
        <v>36498.53</v>
      </c>
      <c r="E28" s="40">
        <f>D28/1.16</f>
        <v/>
      </c>
      <c r="F28" s="40">
        <f>D28/I28</f>
        <v/>
      </c>
      <c r="G28" s="40">
        <f>F28/1.16</f>
        <v/>
      </c>
      <c r="H28" s="92" t="n"/>
      <c r="I28" s="26" t="n">
        <v>6.02</v>
      </c>
      <c r="J28" s="74">
        <f>LET(dec, I28-INT(I28), IF(dec&lt;0.1, INT(I28), IF(dec&lt;=0.7, INT(I28)+0.5, INT(I28)+1)))</f>
        <v/>
      </c>
      <c r="K28" s="93" t="n">
        <v>46280</v>
      </c>
      <c r="L28" s="91" t="inlineStr">
        <is>
          <t>EMILIANO</t>
        </is>
      </c>
      <c r="M28" s="91" t="inlineStr">
        <is>
          <t>MILI CONCHA</t>
        </is>
      </c>
      <c r="N28" s="89" t="inlineStr">
        <is>
          <t>GUILLERMO</t>
        </is>
      </c>
    </row>
    <row r="29">
      <c r="A29" s="96" t="inlineStr">
        <is>
          <t>7686580928411339538</t>
        </is>
      </c>
      <c r="B29" s="98" t="inlineStr">
        <is>
          <t>magnaperfumes</t>
        </is>
      </c>
      <c r="C29" s="40" t="inlineStr">
        <is>
          <t>MX</t>
        </is>
      </c>
      <c r="D29" s="39" t="n">
        <v>24593.09</v>
      </c>
      <c r="E29" s="40">
        <f>D29/1.16</f>
        <v/>
      </c>
      <c r="F29" s="40">
        <f>D29/I29</f>
        <v/>
      </c>
      <c r="G29" s="40">
        <f>F29/1.16</f>
        <v/>
      </c>
      <c r="H29" s="92" t="n"/>
      <c r="I29" s="26" t="n">
        <v>4.01</v>
      </c>
      <c r="J29" s="74">
        <f>LET(dec, I29-INT(I29), IF(dec&lt;0.1, INT(I29), IF(dec&lt;=0.7, INT(I29)+0.5, INT(I29)+1)))</f>
        <v/>
      </c>
      <c r="K29" s="93" t="n">
        <v>46282</v>
      </c>
      <c r="L29" s="91" t="inlineStr">
        <is>
          <t>MILI CONCHA</t>
        </is>
      </c>
      <c r="M29" s="89" t="n"/>
      <c r="N29" s="89" t="inlineStr">
        <is>
          <t>GUILLERMO</t>
        </is>
      </c>
    </row>
    <row r="30">
      <c r="A30" s="96" t="inlineStr">
        <is>
          <t>7687346290151459605</t>
        </is>
      </c>
      <c r="B30" s="98" t="inlineStr">
        <is>
          <t>magnaperfumes</t>
        </is>
      </c>
      <c r="C30" s="40" t="inlineStr">
        <is>
          <t>MX</t>
        </is>
      </c>
      <c r="D30" s="39" t="n">
        <v>11775.59</v>
      </c>
      <c r="E30" s="40">
        <f>D30/1.16</f>
        <v/>
      </c>
      <c r="F30" s="40">
        <f>D30/I30</f>
        <v/>
      </c>
      <c r="G30" s="40">
        <f>F30/1.16</f>
        <v/>
      </c>
      <c r="H30" s="92" t="n"/>
      <c r="I30" s="26" t="n">
        <v>4.04</v>
      </c>
      <c r="J30" s="74">
        <f>LET(dec, I30-INT(I30), IF(dec&lt;0.1, INT(I30), IF(dec&lt;=0.7, INT(I30)+0.5, INT(I30)+1)))</f>
        <v/>
      </c>
      <c r="K30" s="93" t="n">
        <v>46284</v>
      </c>
      <c r="L30" s="91" t="inlineStr">
        <is>
          <t>MILI CONCHA</t>
        </is>
      </c>
      <c r="M30" s="89" t="n"/>
      <c r="N30" s="89" t="inlineStr">
        <is>
          <t>GUILLERMO</t>
        </is>
      </c>
    </row>
    <row r="31">
      <c r="A31" s="96" t="inlineStr">
        <is>
          <t>7688142483263408904</t>
        </is>
      </c>
      <c r="B31" s="98" t="inlineStr">
        <is>
          <t>magnaperfumes</t>
        </is>
      </c>
      <c r="C31" s="40" t="inlineStr">
        <is>
          <t>MX</t>
        </is>
      </c>
      <c r="D31" s="39" t="n">
        <v>8976.1</v>
      </c>
      <c r="E31" s="40">
        <f>D31/1.16</f>
        <v/>
      </c>
      <c r="F31" s="40">
        <f>D31/I31</f>
        <v/>
      </c>
      <c r="G31" s="40">
        <f>F31/1.16</f>
        <v/>
      </c>
      <c r="H31" s="92" t="n"/>
      <c r="I31" s="26" t="n">
        <v>4.01</v>
      </c>
      <c r="J31" s="74">
        <f>LET(dec, I31-INT(I31), IF(dec&lt;0.1, INT(I31), IF(dec&lt;=0.7, INT(I31)+0.5, INT(I31)+1)))</f>
        <v/>
      </c>
      <c r="K31" s="93" t="n">
        <v>46286</v>
      </c>
      <c r="L31" s="91" t="inlineStr">
        <is>
          <t>MILI CONCHA</t>
        </is>
      </c>
      <c r="M31" s="89" t="n"/>
      <c r="N31" s="89" t="inlineStr">
        <is>
          <t>GUILLERMO</t>
        </is>
      </c>
    </row>
    <row r="32">
      <c r="A32" s="96" t="inlineStr">
        <is>
          <t>7689179104999820038</t>
        </is>
      </c>
      <c r="B32" s="98" t="inlineStr">
        <is>
          <t>magnaperfumes</t>
        </is>
      </c>
      <c r="C32" s="40" t="inlineStr">
        <is>
          <t>MX</t>
        </is>
      </c>
      <c r="D32" s="39" t="n">
        <v>2898.1</v>
      </c>
      <c r="E32" s="40">
        <f>D32/1.16</f>
        <v/>
      </c>
      <c r="F32" s="40">
        <f>D32/I32</f>
        <v/>
      </c>
      <c r="G32" s="40">
        <f>F32/1.16</f>
        <v/>
      </c>
      <c r="H32" s="92" t="n"/>
      <c r="I32" s="26" t="n">
        <v>4</v>
      </c>
      <c r="J32" s="74">
        <f>LET(dec, I32-INT(I32), IF(dec&lt;0.1, INT(I32), IF(dec&lt;=0.7, INT(I32)+0.5, INT(I32)+1)))</f>
        <v/>
      </c>
      <c r="K32" s="93" t="n">
        <v>46289</v>
      </c>
      <c r="L32" s="91" t="inlineStr">
        <is>
          <t>EMILIANO</t>
        </is>
      </c>
      <c r="M32" s="89" t="n"/>
      <c r="N32" s="89" t="inlineStr">
        <is>
          <t>GUILLERMO</t>
        </is>
      </c>
    </row>
    <row r="34">
      <c r="A34" s="7" t="inlineStr">
        <is>
          <t>Room ID</t>
        </is>
      </c>
      <c r="B34" s="7" t="inlineStr">
        <is>
          <t>TT Handle</t>
        </is>
      </c>
      <c r="C34" s="7" t="inlineStr">
        <is>
          <t>Country</t>
        </is>
      </c>
      <c r="D34" s="7" t="inlineStr">
        <is>
          <t>GMV</t>
        </is>
      </c>
      <c r="E34" s="7" t="inlineStr">
        <is>
          <t>GMV/sin EVA</t>
        </is>
      </c>
      <c r="F34" s="7" t="inlineStr">
        <is>
          <t>GMV PER HOUR</t>
        </is>
      </c>
      <c r="G34" s="7" t="inlineStr">
        <is>
          <t>GMV PER HOUR/sin EVA</t>
        </is>
      </c>
      <c r="H34" s="7" t="inlineStr">
        <is>
          <t>Ads Cost</t>
        </is>
      </c>
      <c r="I34" s="7" t="inlineStr">
        <is>
          <t>Duration (H)</t>
        </is>
      </c>
      <c r="J34" s="70" t="inlineStr">
        <is>
          <t>Duration （Formula）</t>
        </is>
      </c>
      <c r="K34" s="58" t="inlineStr">
        <is>
          <t>Start date</t>
        </is>
      </c>
      <c r="L34" s="71" t="inlineStr">
        <is>
          <t>HOST 1</t>
        </is>
      </c>
      <c r="M34" s="71" t="inlineStr">
        <is>
          <t xml:space="preserve">HOST 2 </t>
        </is>
      </c>
      <c r="N34" s="71" t="inlineStr">
        <is>
          <t>Operator</t>
        </is>
      </c>
    </row>
    <row r="35">
      <c r="A35" s="96" t="inlineStr">
        <is>
          <t>7690663869689236230</t>
        </is>
      </c>
      <c r="B35" s="98" t="inlineStr">
        <is>
          <t>magnaperfumes</t>
        </is>
      </c>
      <c r="C35" s="40" t="inlineStr">
        <is>
          <t>MX</t>
        </is>
      </c>
      <c r="D35" s="39" t="n">
        <v>2310</v>
      </c>
      <c r="E35" s="40">
        <f>D35/1.16</f>
        <v/>
      </c>
      <c r="F35" s="40">
        <f>IFERROR(D35/J35,0)</f>
        <v/>
      </c>
      <c r="G35" s="40">
        <f>F35/1.16</f>
        <v/>
      </c>
      <c r="H35" s="92" t="n"/>
      <c r="I35" s="26" t="n">
        <v>4.02</v>
      </c>
      <c r="J35" s="74">
        <f>IF(I35-INT(I35)&lt;0.1,INT(I35),IF(I35-INT(I35)&lt;=0.7,INT(I35)+0.5,INT(I35)+1))</f>
        <v/>
      </c>
      <c r="K35" s="93" t="n">
        <v>46293</v>
      </c>
      <c r="L35" s="91" t="inlineStr">
        <is>
          <t>EMILIANO</t>
        </is>
      </c>
      <c r="M35" s="89" t="n"/>
      <c r="N35" s="89" t="inlineStr">
        <is>
          <t>GUILLERMO</t>
        </is>
      </c>
    </row>
    <row r="36">
      <c r="A36" s="96" t="inlineStr">
        <is>
          <t>7691111026963516180</t>
        </is>
      </c>
      <c r="B36" s="98" t="inlineStr">
        <is>
          <t>magnaperfumes</t>
        </is>
      </c>
      <c r="C36" s="40" t="inlineStr">
        <is>
          <t>MX</t>
        </is>
      </c>
      <c r="D36" s="39" t="n">
        <v>4722.8</v>
      </c>
      <c r="E36" s="40">
        <f>D36/1.16</f>
        <v/>
      </c>
      <c r="F36" s="40">
        <f>IFERROR(D36/J36,0)</f>
        <v/>
      </c>
      <c r="G36" s="40">
        <f>F36/1.16</f>
        <v/>
      </c>
      <c r="H36" s="92" t="n"/>
      <c r="I36" s="26" t="n">
        <v>4.01</v>
      </c>
      <c r="J36" s="74">
        <f>IF(I36-INT(I36)&lt;0.1,INT(I36),IF(I36-INT(I36)&lt;=0.7,INT(I36)+0.5,INT(I36)+1))</f>
        <v/>
      </c>
      <c r="K36" s="93" t="n">
        <v>46294</v>
      </c>
      <c r="L36" s="91" t="inlineStr">
        <is>
          <t>MILI CONCHA</t>
        </is>
      </c>
      <c r="M36" s="89" t="n"/>
      <c r="N36" s="89" t="inlineStr">
        <is>
          <t>GUILLERMO</t>
        </is>
      </c>
    </row>
    <row r="37">
      <c r="A37" s="96" t="inlineStr">
        <is>
          <t>7691405005455903495</t>
        </is>
      </c>
      <c r="B37" s="98" t="inlineStr">
        <is>
          <t>magnaperfumes</t>
        </is>
      </c>
      <c r="C37" s="40" t="inlineStr">
        <is>
          <t>MX</t>
        </is>
      </c>
      <c r="D37" s="39" t="n">
        <v>20456.96</v>
      </c>
      <c r="E37" s="40">
        <f>D37/1.16</f>
        <v/>
      </c>
      <c r="F37" s="40">
        <f>IFERROR(D37/J37,0)</f>
        <v/>
      </c>
      <c r="G37" s="40">
        <f>F37/1.16</f>
        <v/>
      </c>
      <c r="H37" s="92" t="n"/>
      <c r="I37" s="26" t="n">
        <v>6.06</v>
      </c>
      <c r="J37" s="74">
        <f>IF(I37-INT(I37)&lt;0.1,INT(I37),IF(I37-INT(I37)&lt;=0.7,INT(I37)+0.5,INT(I37)+1))</f>
        <v/>
      </c>
      <c r="K37" s="93" t="n">
        <v>46295</v>
      </c>
      <c r="L37" s="91" t="inlineStr">
        <is>
          <t>EMILIANO</t>
        </is>
      </c>
      <c r="M37" s="89" t="inlineStr">
        <is>
          <t>MILI CONCHA</t>
        </is>
      </c>
      <c r="N37" s="89" t="inlineStr">
        <is>
          <t>GUILLERMO</t>
        </is>
      </c>
    </row>
    <row r="38">
      <c r="A38" s="96" t="inlineStr">
        <is>
          <t>7691760829912288020</t>
        </is>
      </c>
      <c r="B38" s="98" t="inlineStr">
        <is>
          <t>magnaperfumes</t>
        </is>
      </c>
      <c r="C38" s="40" t="inlineStr">
        <is>
          <t>MX</t>
        </is>
      </c>
      <c r="D38" s="39" t="n">
        <v>23520.55</v>
      </c>
      <c r="E38" s="40">
        <f>D38/1.16</f>
        <v/>
      </c>
      <c r="F38" s="40">
        <f>IFERROR(D38/J38,0)</f>
        <v/>
      </c>
      <c r="G38" s="40">
        <f>F38/1.16</f>
        <v/>
      </c>
      <c r="H38" s="92" t="n"/>
      <c r="I38" s="26" t="n">
        <v>5</v>
      </c>
      <c r="J38" s="74">
        <f>IF(I38-INT(I38)&lt;0.1,INT(I38),IF(I38-INT(I38)&lt;=0.7,INT(I38)+0.5,INT(I38)+1))</f>
        <v/>
      </c>
      <c r="K38" s="93" t="n">
        <v>46296</v>
      </c>
      <c r="L38" s="91" t="inlineStr">
        <is>
          <t>MILI CONCHA</t>
        </is>
      </c>
      <c r="M38" s="89" t="n"/>
      <c r="N38" s="89" t="inlineStr">
        <is>
          <t>MAURICIO</t>
        </is>
      </c>
    </row>
    <row r="39">
      <c r="A39" s="96" t="inlineStr">
        <is>
          <t>7693245157185162004</t>
        </is>
      </c>
      <c r="B39" s="98" t="inlineStr">
        <is>
          <t>magnaperfumes</t>
        </is>
      </c>
      <c r="C39" s="40" t="inlineStr">
        <is>
          <t>MX</t>
        </is>
      </c>
      <c r="D39" s="39" t="n">
        <v>30317.08</v>
      </c>
      <c r="E39" s="40">
        <f>D39/1.16</f>
        <v/>
      </c>
      <c r="F39" s="40">
        <f>IFERROR(D39/J39,0)</f>
        <v/>
      </c>
      <c r="G39" s="40">
        <f>F39/1.16</f>
        <v/>
      </c>
      <c r="H39" s="92" t="n"/>
      <c r="I39" s="26" t="n">
        <v>5.01</v>
      </c>
      <c r="J39" s="74">
        <f>IF(I39-INT(I39)&lt;0.1,INT(I39),IF(I39-INT(I39)&lt;=0.7,INT(I39)+0.5,INT(I39)+1))</f>
        <v/>
      </c>
      <c r="K39" s="93" t="n">
        <v>46300</v>
      </c>
      <c r="L39" s="91" t="inlineStr">
        <is>
          <t>MILI CONCHA</t>
        </is>
      </c>
      <c r="M39" s="89" t="n"/>
      <c r="N39" s="89" t="inlineStr">
        <is>
          <t>MAURICIO</t>
        </is>
      </c>
    </row>
    <row r="40">
      <c r="A40" s="96" t="inlineStr">
        <is>
          <t>7693618475143924501</t>
        </is>
      </c>
      <c r="B40" s="98" t="inlineStr">
        <is>
          <t>magnaperfumes</t>
        </is>
      </c>
      <c r="C40" s="40" t="inlineStr">
        <is>
          <t>MX</t>
        </is>
      </c>
      <c r="D40" s="39" t="n">
        <v>13582.3</v>
      </c>
      <c r="E40" s="40">
        <f>D40/1.16</f>
        <v/>
      </c>
      <c r="F40" s="40">
        <f>IFERROR(D40/J40,0)</f>
        <v/>
      </c>
      <c r="G40" s="40">
        <f>F40/1.16</f>
        <v/>
      </c>
      <c r="H40" s="92" t="n"/>
      <c r="I40" s="26" t="n">
        <v>4.88</v>
      </c>
      <c r="J40" s="74">
        <f>IF(I40-INT(I40)&lt;0.1,INT(I40),IF(I40-INT(I40)&lt;=0.7,INT(I40)+0.5,INT(I40)+1))</f>
        <v/>
      </c>
      <c r="K40" s="93" t="n">
        <v>46301</v>
      </c>
      <c r="L40" s="91" t="inlineStr">
        <is>
          <t>EMILIANO</t>
        </is>
      </c>
      <c r="M40" s="89" t="n"/>
      <c r="N40" s="89" t="inlineStr">
        <is>
          <t>MAURICIO</t>
        </is>
      </c>
    </row>
    <row r="41">
      <c r="A41" s="96" t="inlineStr">
        <is>
          <t>7693987871442979604</t>
        </is>
      </c>
      <c r="B41" s="98" t="inlineStr">
        <is>
          <t>magnaperfumes</t>
        </is>
      </c>
      <c r="C41" s="40" t="inlineStr">
        <is>
          <t>MX</t>
        </is>
      </c>
      <c r="D41" s="39" t="n">
        <v>19524</v>
      </c>
      <c r="E41" s="40">
        <f>D41/1.16</f>
        <v/>
      </c>
      <c r="F41" s="40">
        <f>IFERROR(D41/J41,0)</f>
        <v/>
      </c>
      <c r="G41" s="40">
        <f>F41/1.16</f>
        <v/>
      </c>
      <c r="H41" s="92" t="n"/>
      <c r="I41" s="26" t="n">
        <v>5.12</v>
      </c>
      <c r="J41" s="74">
        <f>IF(I41-INT(I41)&lt;0.1,INT(I41),IF(I41-INT(I41)&lt;=0.7,INT(I41)+0.5,INT(I41)+1))</f>
        <v/>
      </c>
      <c r="K41" s="93" t="n">
        <v>46302</v>
      </c>
      <c r="L41" s="91" t="inlineStr">
        <is>
          <t>MILI CONCHA</t>
        </is>
      </c>
      <c r="M41" s="89" t="n"/>
      <c r="N41" s="89" t="inlineStr">
        <is>
          <t>MAURICIO</t>
        </is>
      </c>
    </row>
    <row r="42">
      <c r="A42" s="96" t="inlineStr">
        <is>
          <t>7694365950274964245</t>
        </is>
      </c>
      <c r="B42" s="98" t="inlineStr">
        <is>
          <t>magnaperfumes</t>
        </is>
      </c>
      <c r="C42" s="40" t="inlineStr">
        <is>
          <t>MX</t>
        </is>
      </c>
      <c r="D42" s="39" t="n">
        <v>11668.6</v>
      </c>
      <c r="E42" s="40">
        <f>D42/1.16</f>
        <v/>
      </c>
      <c r="F42" s="40">
        <f>IFERROR(D42/J42,0)</f>
        <v/>
      </c>
      <c r="G42" s="40">
        <f>F42/1.16</f>
        <v/>
      </c>
      <c r="H42" s="92" t="n"/>
      <c r="I42" s="26" t="n">
        <v>5.01</v>
      </c>
      <c r="J42" s="74">
        <f>IF(I42-INT(I42)&lt;0.1,INT(I42),IF(I42-INT(I42)&lt;=0.7,INT(I42)+0.5,INT(I42)+1))</f>
        <v/>
      </c>
      <c r="K42" s="93" t="n">
        <v>46303</v>
      </c>
      <c r="L42" s="91" t="inlineStr">
        <is>
          <t>MILI CONCHA</t>
        </is>
      </c>
      <c r="M42" s="89" t="n"/>
      <c r="N42" s="89" t="inlineStr">
        <is>
          <t>MAURICIO</t>
        </is>
      </c>
    </row>
    <row r="43">
      <c r="A43" s="96" t="inlineStr">
        <is>
          <t>7695148471849978632</t>
        </is>
      </c>
      <c r="B43" s="98" t="inlineStr">
        <is>
          <t>magnaperfumes</t>
        </is>
      </c>
      <c r="C43" s="40" t="inlineStr">
        <is>
          <t>MX</t>
        </is>
      </c>
      <c r="D43" s="39" t="n">
        <v>14701.3</v>
      </c>
      <c r="E43" s="40">
        <f>D43/1.16</f>
        <v/>
      </c>
      <c r="F43" s="40">
        <f>IFERROR(D43/J43,0)</f>
        <v/>
      </c>
      <c r="G43" s="40">
        <f>F43/1.16</f>
        <v/>
      </c>
      <c r="H43" s="92" t="n"/>
      <c r="I43" s="26" t="n">
        <v>5</v>
      </c>
      <c r="J43" s="74">
        <f>IF(I43-INT(I43)&lt;0.1,INT(I43),IF(I43-INT(I43)&lt;=0.7,INT(I43)+0.5,INT(I43)+1))</f>
        <v/>
      </c>
      <c r="K43" s="93" t="n">
        <v>46305</v>
      </c>
      <c r="L43" s="91" t="inlineStr">
        <is>
          <t>MILI CONCHA</t>
        </is>
      </c>
      <c r="M43" s="89" t="n"/>
      <c r="N43" s="89" t="inlineStr">
        <is>
          <t>MAURICIO</t>
        </is>
      </c>
    </row>
    <row r="44">
      <c r="A44" s="96" t="inlineStr">
        <is>
          <t>7695888902548949780</t>
        </is>
      </c>
      <c r="B44" s="98" t="inlineStr">
        <is>
          <t>magnaperfumes</t>
        </is>
      </c>
      <c r="C44" s="40" t="inlineStr">
        <is>
          <t>MX</t>
        </is>
      </c>
      <c r="D44" s="39" t="n">
        <v>18219.52</v>
      </c>
      <c r="E44" s="40">
        <f>D44/1.16</f>
        <v/>
      </c>
      <c r="F44" s="40">
        <f>IFERROR(D44/J44,0)</f>
        <v/>
      </c>
      <c r="G44" s="40">
        <f>F44/1.16</f>
        <v/>
      </c>
      <c r="H44" s="92" t="n"/>
      <c r="I44" s="26" t="n">
        <v>5</v>
      </c>
      <c r="J44" s="74">
        <f>IF(I44-INT(I44)&lt;0.1,INT(I44),IF(I44-INT(I44)&lt;=0.7,INT(I44)+0.5,INT(I44)+1))</f>
        <v/>
      </c>
      <c r="K44" s="93" t="n">
        <v>46307</v>
      </c>
      <c r="L44" s="91" t="inlineStr">
        <is>
          <t>MILI CONCHA</t>
        </is>
      </c>
      <c r="M44" s="89" t="n"/>
      <c r="N44" s="89" t="inlineStr">
        <is>
          <t>MAURICIO</t>
        </is>
      </c>
    </row>
    <row r="45">
      <c r="A45" s="96" t="inlineStr">
        <is>
          <t>7696214914004388615</t>
        </is>
      </c>
      <c r="B45" s="98" t="inlineStr">
        <is>
          <t>magnaperfumes</t>
        </is>
      </c>
      <c r="C45" s="40" t="inlineStr">
        <is>
          <t>MX</t>
        </is>
      </c>
      <c r="D45" s="39" t="n">
        <v>12349.35</v>
      </c>
      <c r="E45" s="40">
        <f>D45/1.16</f>
        <v/>
      </c>
      <c r="F45" s="40">
        <f>IFERROR(D45/J45,0)</f>
        <v/>
      </c>
      <c r="G45" s="40">
        <f>F45/1.16</f>
        <v/>
      </c>
      <c r="H45" s="92" t="n"/>
      <c r="I45" s="26" t="n">
        <v>5.02</v>
      </c>
      <c r="J45" s="74">
        <f>IF(I45-INT(I45)&lt;0.1,INT(I45),IF(I45-INT(I45)&lt;=0.7,INT(I45)+0.5,INT(I45)+1))</f>
        <v/>
      </c>
      <c r="K45" s="93" t="n">
        <v>46308</v>
      </c>
      <c r="L45" s="91" t="inlineStr">
        <is>
          <t>MILI CONCHA</t>
        </is>
      </c>
      <c r="M45" s="89" t="n"/>
      <c r="N45" s="89" t="inlineStr">
        <is>
          <t>MAURICIO</t>
        </is>
      </c>
    </row>
    <row r="46">
      <c r="A46" s="96" t="inlineStr">
        <is>
          <t>7696618133628652308</t>
        </is>
      </c>
      <c r="B46" s="98" t="inlineStr">
        <is>
          <t>magnaperfumes</t>
        </is>
      </c>
      <c r="C46" s="40" t="inlineStr">
        <is>
          <t>MX</t>
        </is>
      </c>
      <c r="D46" s="39" t="n">
        <v>21088.12</v>
      </c>
      <c r="E46" s="40">
        <f>D46/1.16</f>
        <v/>
      </c>
      <c r="F46" s="40">
        <f>IFERROR(D46/J46,0)</f>
        <v/>
      </c>
      <c r="G46" s="40">
        <f>F46/1.16</f>
        <v/>
      </c>
      <c r="H46" s="92" t="n"/>
      <c r="I46" s="26" t="n">
        <v>4.85</v>
      </c>
      <c r="J46" s="74">
        <f>IF(I46-INT(I46)&lt;0.1,INT(I46),IF(I46-INT(I46)&lt;=0.7,INT(I46)+0.5,INT(I46)+1))</f>
        <v/>
      </c>
      <c r="K46" s="93" t="n">
        <v>46309</v>
      </c>
      <c r="L46" s="91" t="inlineStr">
        <is>
          <t>EMILIANO</t>
        </is>
      </c>
      <c r="M46" s="89" t="n"/>
      <c r="N46" s="89" t="inlineStr">
        <is>
          <t>MAURICIO</t>
        </is>
      </c>
    </row>
    <row r="47">
      <c r="A47" s="96" t="inlineStr">
        <is>
          <t>7696943118515587848</t>
        </is>
      </c>
      <c r="B47" s="98" t="inlineStr">
        <is>
          <t>magnaperfumes</t>
        </is>
      </c>
      <c r="C47" s="40" t="inlineStr">
        <is>
          <t>MX</t>
        </is>
      </c>
      <c r="D47" s="39" t="n">
        <v>39922.93</v>
      </c>
      <c r="E47" s="40">
        <f>D47/1.16</f>
        <v/>
      </c>
      <c r="F47" s="40">
        <f>IFERROR(D47/J47,0)</f>
        <v/>
      </c>
      <c r="G47" s="40">
        <f>F47/1.16</f>
        <v/>
      </c>
      <c r="H47" s="92" t="n"/>
      <c r="I47" s="26" t="n">
        <v>6.03</v>
      </c>
      <c r="J47" s="74">
        <f>IF(I47-INT(I47)&lt;0.1,INT(I47),IF(I47-INT(I47)&lt;=0.7,INT(I47)+0.5,INT(I47)+1))</f>
        <v/>
      </c>
      <c r="K47" s="93" t="n">
        <v>46310</v>
      </c>
      <c r="L47" s="91" t="inlineStr">
        <is>
          <t>MILI CONCHA</t>
        </is>
      </c>
      <c r="M47" s="89" t="n"/>
      <c r="N47" s="89" t="inlineStr">
        <is>
          <t>MAURICIO</t>
        </is>
      </c>
    </row>
    <row r="48">
      <c r="A48" s="96" t="inlineStr">
        <is>
          <t>7697331521921387271</t>
        </is>
      </c>
      <c r="B48" s="98" t="inlineStr">
        <is>
          <t>magnaperfumes</t>
        </is>
      </c>
      <c r="C48" s="40" t="inlineStr">
        <is>
          <t>MX</t>
        </is>
      </c>
      <c r="D48" s="39" t="n">
        <v>46470.75</v>
      </c>
      <c r="E48" s="40">
        <f>D48/1.16</f>
        <v/>
      </c>
      <c r="F48" s="40">
        <f>IFERROR(D48/J48,0)</f>
        <v/>
      </c>
      <c r="G48" s="40">
        <f>F48/1.16</f>
        <v/>
      </c>
      <c r="H48" s="92" t="n"/>
      <c r="I48" s="26" t="n">
        <v>6</v>
      </c>
      <c r="J48" s="74">
        <f>IF(I48-INT(I48)&lt;0.1,INT(I48),IF(I48-INT(I48)&lt;=0.7,INT(I48)+0.5,INT(I48)+1))</f>
        <v/>
      </c>
      <c r="K48" s="93" t="n">
        <v>46311</v>
      </c>
      <c r="L48" s="91" t="inlineStr">
        <is>
          <t>MILI CONCHA</t>
        </is>
      </c>
      <c r="M48" s="89" t="n"/>
      <c r="N48" s="89" t="inlineStr">
        <is>
          <t>MAURICIO</t>
        </is>
      </c>
    </row>
    <row r="49">
      <c r="A49" s="96" t="inlineStr">
        <is>
          <t>7697750321540123400</t>
        </is>
      </c>
      <c r="B49" s="98" t="inlineStr">
        <is>
          <t>magnaperfumes</t>
        </is>
      </c>
      <c r="C49" s="40" t="inlineStr">
        <is>
          <t>MX</t>
        </is>
      </c>
      <c r="D49" s="39" t="n">
        <v>31554.49</v>
      </c>
      <c r="E49" s="40">
        <f>D49/1.16</f>
        <v/>
      </c>
      <c r="F49" s="40">
        <f>IFERROR(D49/J49,0)</f>
        <v/>
      </c>
      <c r="G49" s="40">
        <f>F49/1.16</f>
        <v/>
      </c>
      <c r="H49" s="92" t="n"/>
      <c r="I49" s="26" t="n">
        <v>5.08</v>
      </c>
      <c r="J49" s="74">
        <f>IF(I49-INT(I49)&lt;0.1,INT(I49),IF(I49-INT(I49)&lt;=0.7,INT(I49)+0.5,INT(I49)+1))</f>
        <v/>
      </c>
      <c r="K49" s="93" t="n">
        <v>46312</v>
      </c>
      <c r="L49" s="91" t="inlineStr">
        <is>
          <t>MILI CONCHA</t>
        </is>
      </c>
      <c r="M49" s="89" t="n"/>
      <c r="N49" s="89" t="inlineStr">
        <is>
          <t>MAURICIO</t>
        </is>
      </c>
    </row>
    <row r="50">
      <c r="A50" s="96" t="inlineStr">
        <is>
          <t>7698456999080807188</t>
        </is>
      </c>
      <c r="B50" s="98" t="inlineStr">
        <is>
          <t>magnaperfumes</t>
        </is>
      </c>
      <c r="C50" s="40" t="inlineStr">
        <is>
          <t>MX</t>
        </is>
      </c>
      <c r="D50" s="39" t="n">
        <v>33922.03</v>
      </c>
      <c r="E50" s="40">
        <f>D50/1.16</f>
        <v/>
      </c>
      <c r="F50" s="40">
        <f>IFERROR(D50/J50,0)</f>
        <v/>
      </c>
      <c r="G50" s="40">
        <f>F50/1.16</f>
        <v/>
      </c>
      <c r="H50" s="92" t="n"/>
      <c r="I50" s="26" t="n">
        <v>5.05</v>
      </c>
      <c r="J50" s="74">
        <f>IF(I50-INT(I50)&lt;0.1,INT(I50),IF(I50-INT(I50)&lt;=0.7,INT(I50)+0.5,INT(I50)+1))</f>
        <v/>
      </c>
      <c r="K50" s="93" t="n">
        <v>46314</v>
      </c>
      <c r="L50" s="91" t="inlineStr">
        <is>
          <t>MILI CONCHA</t>
        </is>
      </c>
      <c r="M50" s="89" t="n"/>
      <c r="N50" s="89" t="inlineStr">
        <is>
          <t>MAURICIO</t>
        </is>
      </c>
    </row>
    <row r="51">
      <c r="A51" s="96" t="inlineStr">
        <is>
          <t>7698812975243627285</t>
        </is>
      </c>
      <c r="B51" s="98" t="inlineStr">
        <is>
          <t>magnaperfumes</t>
        </is>
      </c>
      <c r="C51" s="40" t="inlineStr">
        <is>
          <t>MX</t>
        </is>
      </c>
      <c r="D51" s="39" t="n">
        <v>23555.55</v>
      </c>
      <c r="E51" s="40">
        <f>D51/1.16</f>
        <v/>
      </c>
      <c r="F51" s="40">
        <f>IFERROR(D51/J51,0)</f>
        <v/>
      </c>
      <c r="G51" s="40">
        <f>F51/1.16</f>
        <v/>
      </c>
      <c r="H51" s="92" t="n"/>
      <c r="I51" s="26" t="n">
        <v>5.02</v>
      </c>
      <c r="J51" s="74">
        <f>IF(I51-INT(I51)&lt;0.1,INT(I51),IF(I51-INT(I51)&lt;=0.7,INT(I51)+0.5,INT(I51)+1))</f>
        <v/>
      </c>
      <c r="K51" s="93" t="n">
        <v>46315</v>
      </c>
      <c r="L51" s="91" t="inlineStr">
        <is>
          <t>MILI CONCHA</t>
        </is>
      </c>
      <c r="M51" s="89" t="n"/>
      <c r="N51" s="89" t="inlineStr">
        <is>
          <t>MAURICIO</t>
        </is>
      </c>
    </row>
    <row r="52">
      <c r="A52" s="96" t="inlineStr">
        <is>
          <t>7699169492438338311</t>
        </is>
      </c>
      <c r="B52" s="98" t="inlineStr">
        <is>
          <t>magnaperfumes</t>
        </is>
      </c>
      <c r="C52" s="40" t="inlineStr">
        <is>
          <t>MX</t>
        </is>
      </c>
      <c r="D52" s="39" t="n">
        <v>37321.56</v>
      </c>
      <c r="E52" s="40">
        <f>D52/1.16</f>
        <v/>
      </c>
      <c r="F52" s="40">
        <f>IFERROR(D52/J52,0)</f>
        <v/>
      </c>
      <c r="G52" s="40">
        <f>F52/1.16</f>
        <v/>
      </c>
      <c r="H52" s="92" t="n"/>
      <c r="I52" s="26" t="n">
        <v>5</v>
      </c>
      <c r="J52" s="74">
        <f>IF(I52-INT(I52)&lt;0.1,INT(I52),IF(I52-INT(I52)&lt;=0.7,INT(I52)+0.5,INT(I52)+1))</f>
        <v/>
      </c>
      <c r="K52" s="93" t="n">
        <v>46316</v>
      </c>
      <c r="L52" s="91" t="inlineStr">
        <is>
          <t>MILI CONCHA</t>
        </is>
      </c>
      <c r="M52" s="89" t="n"/>
      <c r="N52" s="89" t="inlineStr">
        <is>
          <t>MAURICIO</t>
        </is>
      </c>
    </row>
    <row r="53">
      <c r="A53" s="96" t="inlineStr">
        <is>
          <t>7699554401588988692</t>
        </is>
      </c>
      <c r="B53" s="98" t="inlineStr">
        <is>
          <t>magnaperfumes</t>
        </is>
      </c>
      <c r="C53" s="40" t="inlineStr">
        <is>
          <t>MX</t>
        </is>
      </c>
      <c r="D53" s="39" t="n">
        <v>22713.63</v>
      </c>
      <c r="E53" s="40">
        <f>D53/1.16</f>
        <v/>
      </c>
      <c r="F53" s="40">
        <f>IFERROR(D53/J53,0)</f>
        <v/>
      </c>
      <c r="G53" s="40">
        <f>F53/1.16</f>
        <v/>
      </c>
      <c r="H53" s="92" t="n"/>
      <c r="I53" s="26" t="n">
        <v>5</v>
      </c>
      <c r="J53" s="74">
        <f>IF(I53-INT(I53)&lt;0.1,INT(I53),IF(I53-INT(I53)&lt;=0.7,INT(I53)+0.5,INT(I53)+1))</f>
        <v/>
      </c>
      <c r="K53" s="93" t="n">
        <v>46317</v>
      </c>
      <c r="L53" s="91" t="inlineStr">
        <is>
          <t>EMILIANO</t>
        </is>
      </c>
      <c r="M53" s="89" t="inlineStr">
        <is>
          <t>MILI CONCHA</t>
        </is>
      </c>
      <c r="N53" s="89" t="inlineStr">
        <is>
          <t>MAURICIO</t>
        </is>
      </c>
    </row>
    <row r="54">
      <c r="A54" s="96" t="inlineStr">
        <is>
          <t>7699925853836806920</t>
        </is>
      </c>
      <c r="B54" s="98" t="inlineStr">
        <is>
          <t>magnaperfumes</t>
        </is>
      </c>
      <c r="C54" s="40" t="inlineStr">
        <is>
          <t>MX</t>
        </is>
      </c>
      <c r="D54" s="39" t="n">
        <v>58065.39</v>
      </c>
      <c r="E54" s="40">
        <f>D54/1.16</f>
        <v/>
      </c>
      <c r="F54" s="40">
        <f>IFERROR(D54/J54,0)</f>
        <v/>
      </c>
      <c r="G54" s="40">
        <f>F54/1.16</f>
        <v/>
      </c>
      <c r="H54" s="92" t="n"/>
      <c r="I54" s="26" t="n">
        <v>6</v>
      </c>
      <c r="J54" s="74">
        <f>IF(I54-INT(I54)&lt;0.1,INT(I54),IF(I54-INT(I54)&lt;=0.7,INT(I54)+0.5,INT(I54)+1))</f>
        <v/>
      </c>
      <c r="K54" s="93" t="n">
        <v>46318</v>
      </c>
      <c r="L54" s="91" t="inlineStr">
        <is>
          <t>MILI CONCHA</t>
        </is>
      </c>
      <c r="M54" s="89" t="n"/>
      <c r="N54" s="89" t="inlineStr">
        <is>
          <t>MAURICIO</t>
        </is>
      </c>
    </row>
  </sheetData>
  <dataValidations count="3">
    <dataValidation sqref="L2:M8" showDropDown="0" showInputMessage="0" showErrorMessage="1" allowBlank="1" type="list">
      <formula1>"AISHA,KARLA"</formula1>
    </dataValidation>
    <dataValidation sqref="L12:L13 L14:M15 L16:L17 L20:L27 L28:M28 L29:L32 L35:L54" showDropDown="0" showInputMessage="0" showErrorMessage="1" allowBlank="1" type="list">
      <formula1>"MILI CONCHA,EMILIANO"</formula1>
    </dataValidation>
    <dataValidation sqref="L11" showDropDown="0" showInputMessage="0" showErrorMessage="1" allowBlank="1" type="list">
      <formula1>"JIMENA,MAYTE,AKEY,SANDRA ,LOLA"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N57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18" min="1" max="1"/>
    <col width="24.75" customWidth="1" style="118" min="12" max="12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70" t="inlineStr">
        <is>
          <t>Duration （Formula）</t>
        </is>
      </c>
      <c r="K1" s="58" t="inlineStr">
        <is>
          <t>Start date</t>
        </is>
      </c>
      <c r="L1" s="71" t="inlineStr">
        <is>
          <t>HOST 1</t>
        </is>
      </c>
      <c r="M1" s="71" t="inlineStr">
        <is>
          <t xml:space="preserve">HOST 2 </t>
        </is>
      </c>
      <c r="N1" s="71" t="inlineStr">
        <is>
          <t>Operator</t>
        </is>
      </c>
    </row>
    <row r="2">
      <c r="A2" s="96" t="inlineStr">
        <is>
          <t>7651753040558525205</t>
        </is>
      </c>
      <c r="B2" s="98" t="inlineStr">
        <is>
          <t>revlonmexico</t>
        </is>
      </c>
      <c r="C2" s="40" t="inlineStr">
        <is>
          <t>MX</t>
        </is>
      </c>
      <c r="D2" s="39" t="n">
        <v>2932.65</v>
      </c>
      <c r="E2" s="40">
        <f>D2/1.16</f>
        <v/>
      </c>
      <c r="F2" s="40">
        <f>D2/J2</f>
        <v/>
      </c>
      <c r="G2" s="92">
        <f>F2/1.16</f>
        <v/>
      </c>
      <c r="H2" s="92" t="n">
        <v>0</v>
      </c>
      <c r="I2" s="26" t="n">
        <v>6</v>
      </c>
      <c r="J2" s="74">
        <f>LET(dec, I2-INT(I2), IF(dec&lt;0.1, INT(I2), IF(dec&lt;=0.7, INT(I2)+0.5, INT(I2)+1)))</f>
        <v/>
      </c>
      <c r="K2" s="93" t="n">
        <v>46188</v>
      </c>
      <c r="L2" s="89" t="inlineStr">
        <is>
          <t>AISHA</t>
        </is>
      </c>
      <c r="M2" s="89" t="inlineStr">
        <is>
          <t>KARLA</t>
        </is>
      </c>
      <c r="N2" s="89" t="inlineStr">
        <is>
          <t>DIEGO</t>
        </is>
      </c>
    </row>
    <row r="3">
      <c r="A3" s="96" t="inlineStr">
        <is>
          <t>7653276179155585799</t>
        </is>
      </c>
      <c r="B3" s="98" t="inlineStr">
        <is>
          <t>revlonmexico</t>
        </is>
      </c>
      <c r="C3" s="40" t="inlineStr">
        <is>
          <t>MX</t>
        </is>
      </c>
      <c r="D3" s="39" t="n">
        <v>2403.71</v>
      </c>
      <c r="E3" s="40">
        <f>D3/1.16</f>
        <v/>
      </c>
      <c r="F3" s="40">
        <f>D3/J3</f>
        <v/>
      </c>
      <c r="G3" s="92">
        <f>F3/1.16</f>
        <v/>
      </c>
      <c r="H3" s="92" t="n">
        <v>0</v>
      </c>
      <c r="I3" s="26" t="n">
        <v>3</v>
      </c>
      <c r="J3" s="74">
        <f>LET(dec, I3-INT(I3), IF(dec&lt;0.1, INT(I3), IF(dec&lt;=0.7, INT(I3)+0.5, INT(I3)+1)))</f>
        <v/>
      </c>
      <c r="K3" s="93" t="n">
        <v>46192</v>
      </c>
      <c r="L3" s="89" t="inlineStr">
        <is>
          <t>AISHA</t>
        </is>
      </c>
      <c r="M3" s="89" t="n"/>
      <c r="N3" s="89" t="inlineStr">
        <is>
          <t>DIEGO</t>
        </is>
      </c>
    </row>
    <row r="4">
      <c r="A4" s="96" t="inlineStr">
        <is>
          <t>7654760369394633492</t>
        </is>
      </c>
      <c r="B4" s="98" t="inlineStr">
        <is>
          <t>revlonmexico</t>
        </is>
      </c>
      <c r="C4" s="40" t="inlineStr">
        <is>
          <t>MX</t>
        </is>
      </c>
      <c r="D4" s="39" t="n">
        <v>2144.47</v>
      </c>
      <c r="E4" s="40">
        <f>D4/1.16</f>
        <v/>
      </c>
      <c r="F4" s="40">
        <f>D4/J4</f>
        <v/>
      </c>
      <c r="G4" s="92">
        <f>F4/1.16</f>
        <v/>
      </c>
      <c r="H4" s="92" t="n">
        <v>0</v>
      </c>
      <c r="I4" s="26" t="n">
        <v>3</v>
      </c>
      <c r="J4" s="74">
        <f>LET(dec, I4-INT(I4), IF(dec&lt;0.1, INT(I4), IF(dec&lt;=0.7, INT(I4)+0.5, INT(I4)+1)))</f>
        <v/>
      </c>
      <c r="K4" s="93" t="n">
        <v>46196</v>
      </c>
      <c r="L4" s="89" t="inlineStr">
        <is>
          <t>AISHA</t>
        </is>
      </c>
      <c r="M4" s="89" t="n"/>
      <c r="N4" s="89" t="inlineStr">
        <is>
          <t>DIEGO</t>
        </is>
      </c>
    </row>
    <row r="5">
      <c r="A5" s="96" t="inlineStr">
        <is>
          <t>7655502540021222165</t>
        </is>
      </c>
      <c r="B5" s="98" t="inlineStr">
        <is>
          <t>revlonmexico</t>
        </is>
      </c>
      <c r="C5" s="40" t="inlineStr">
        <is>
          <t>MX</t>
        </is>
      </c>
      <c r="D5" s="39" t="n">
        <v>1862.26</v>
      </c>
      <c r="E5" s="40">
        <f>D5/1.16</f>
        <v/>
      </c>
      <c r="F5" s="40">
        <f>D5/J5</f>
        <v/>
      </c>
      <c r="G5" s="92">
        <f>F5/1.16</f>
        <v/>
      </c>
      <c r="H5" s="92" t="n">
        <v>0</v>
      </c>
      <c r="I5" s="26" t="n">
        <v>3</v>
      </c>
      <c r="J5" s="74">
        <f>LET(dec, I5-INT(I5), IF(dec&lt;0.1, INT(I5), IF(dec&lt;=0.7, INT(I5)+0.5, INT(I5)+1)))</f>
        <v/>
      </c>
      <c r="K5" s="93" t="n">
        <v>46198</v>
      </c>
      <c r="L5" s="89" t="inlineStr">
        <is>
          <t>AISHA</t>
        </is>
      </c>
      <c r="M5" s="89" t="n"/>
      <c r="N5" s="89" t="inlineStr">
        <is>
          <t>DIEGO</t>
        </is>
      </c>
    </row>
    <row r="6">
      <c r="A6" s="96" t="inlineStr">
        <is>
          <t>7656168914207984405</t>
        </is>
      </c>
      <c r="B6" s="98" t="inlineStr">
        <is>
          <t>revlonmexico</t>
        </is>
      </c>
      <c r="C6" s="40" t="inlineStr">
        <is>
          <t>MX</t>
        </is>
      </c>
      <c r="D6" s="39" t="n">
        <v>3490.69</v>
      </c>
      <c r="E6" s="40">
        <f>D6/1.16</f>
        <v/>
      </c>
      <c r="F6" s="40">
        <f>D6/J6</f>
        <v/>
      </c>
      <c r="G6" s="92">
        <f>F6/1.16</f>
        <v/>
      </c>
      <c r="H6" s="92" t="n">
        <v>0</v>
      </c>
      <c r="I6" s="26" t="n">
        <v>5</v>
      </c>
      <c r="J6" s="74">
        <f>LET(dec, I6-INT(I6), IF(dec&lt;0.1, INT(I6), IF(dec&lt;=0.7, INT(I6)+0.5, INT(I6)+1)))</f>
        <v/>
      </c>
      <c r="K6" s="93" t="n">
        <v>46200</v>
      </c>
      <c r="L6" s="89" t="inlineStr">
        <is>
          <t>AISHA</t>
        </is>
      </c>
      <c r="M6" s="89" t="n"/>
      <c r="N6" s="89" t="inlineStr">
        <is>
          <t>DIEGO</t>
        </is>
      </c>
    </row>
    <row r="9">
      <c r="A9" s="7" t="inlineStr">
        <is>
          <t>Room ID</t>
        </is>
      </c>
      <c r="B9" s="7" t="inlineStr">
        <is>
          <t>TT Handle</t>
        </is>
      </c>
      <c r="C9" s="7" t="inlineStr">
        <is>
          <t>Country</t>
        </is>
      </c>
      <c r="D9" s="7" t="inlineStr">
        <is>
          <t>GMV</t>
        </is>
      </c>
      <c r="E9" s="7" t="inlineStr">
        <is>
          <t>GMV/sin EVA</t>
        </is>
      </c>
      <c r="F9" s="7" t="inlineStr">
        <is>
          <t>GMV PER HOUR</t>
        </is>
      </c>
      <c r="G9" s="7" t="inlineStr">
        <is>
          <t>GMV PER HOUR/sin EVA</t>
        </is>
      </c>
      <c r="H9" s="7" t="inlineStr">
        <is>
          <t>Ads Cost</t>
        </is>
      </c>
      <c r="I9" s="7" t="inlineStr">
        <is>
          <t>Duration (H)</t>
        </is>
      </c>
      <c r="J9" s="70" t="inlineStr">
        <is>
          <t>Duration （Formula）</t>
        </is>
      </c>
      <c r="K9" s="101" t="inlineStr">
        <is>
          <t>Start date</t>
        </is>
      </c>
      <c r="L9" s="7" t="inlineStr">
        <is>
          <t>HOST 1</t>
        </is>
      </c>
      <c r="M9" s="7" t="inlineStr">
        <is>
          <t xml:space="preserve">HOST 2 </t>
        </is>
      </c>
      <c r="N9" s="7" t="inlineStr">
        <is>
          <t>Operator</t>
        </is>
      </c>
    </row>
    <row r="10">
      <c r="A10" s="96" t="inlineStr">
        <is>
          <t>7660697568022154005</t>
        </is>
      </c>
      <c r="B10" s="98" t="inlineStr">
        <is>
          <t>revlonmexico</t>
        </is>
      </c>
      <c r="C10" s="40" t="inlineStr">
        <is>
          <t>MX</t>
        </is>
      </c>
      <c r="D10" s="39" t="n">
        <v>3192.85</v>
      </c>
      <c r="E10" s="40">
        <f>D10/1.16</f>
        <v/>
      </c>
      <c r="F10" s="40">
        <f>D10/J10</f>
        <v/>
      </c>
      <c r="G10" s="92">
        <f>F10/1.16</f>
        <v/>
      </c>
      <c r="H10" s="92" t="n">
        <v>0</v>
      </c>
      <c r="I10" s="26" t="n">
        <v>3</v>
      </c>
      <c r="J10" s="74">
        <f>LET(dec, I10-INT(I10), IF(dec&lt;0.1, INT(I10), IF(dec&lt;=0.7, INT(I10)+0.5, INT(I10)+1)))</f>
        <v/>
      </c>
      <c r="K10" s="93" t="n">
        <v>46204</v>
      </c>
      <c r="L10" s="89" t="inlineStr">
        <is>
          <t>AISHA</t>
        </is>
      </c>
      <c r="M10" s="89" t="n"/>
      <c r="N10" s="89" t="inlineStr">
        <is>
          <t>DIEGO</t>
        </is>
      </c>
    </row>
    <row r="11">
      <c r="A11" s="96" t="inlineStr">
        <is>
          <t>7659955552247679765</t>
        </is>
      </c>
      <c r="B11" s="98" t="inlineStr">
        <is>
          <t>revlonmexico</t>
        </is>
      </c>
      <c r="C11" s="40" t="inlineStr">
        <is>
          <t>MX</t>
        </is>
      </c>
      <c r="D11" s="39" t="n">
        <v>5122.69</v>
      </c>
      <c r="E11" s="40">
        <f>D11/1.16</f>
        <v/>
      </c>
      <c r="F11" s="40">
        <f>D11/J11</f>
        <v/>
      </c>
      <c r="G11" s="92">
        <f>F11/1.16</f>
        <v/>
      </c>
      <c r="H11" s="92" t="n">
        <v>0</v>
      </c>
      <c r="I11" s="26" t="n">
        <v>3</v>
      </c>
      <c r="J11" s="74">
        <f>LET(dec, I11-INT(I11), IF(dec&lt;0.1, INT(I11), IF(dec&lt;=0.7, INT(I11)+0.5, INT(I11)+1)))</f>
        <v/>
      </c>
      <c r="K11" s="93" t="n">
        <v>46205</v>
      </c>
      <c r="L11" s="89" t="inlineStr">
        <is>
          <t>AISHA</t>
        </is>
      </c>
      <c r="M11" s="89" t="n"/>
      <c r="N11" s="89" t="inlineStr">
        <is>
          <t>DIEGO</t>
        </is>
      </c>
    </row>
    <row r="12">
      <c r="A12" s="96" t="inlineStr">
        <is>
          <t>7658811578029214485</t>
        </is>
      </c>
      <c r="B12" s="98" t="inlineStr">
        <is>
          <t>revlonmexico</t>
        </is>
      </c>
      <c r="C12" s="40" t="inlineStr">
        <is>
          <t>MX</t>
        </is>
      </c>
      <c r="D12" s="39" t="n">
        <v>4900.35</v>
      </c>
      <c r="E12" s="40">
        <f>D12/1.16</f>
        <v/>
      </c>
      <c r="F12" s="40">
        <f>D12/J12</f>
        <v/>
      </c>
      <c r="G12" s="92">
        <f>F12/1.16</f>
        <v/>
      </c>
      <c r="H12" s="92" t="n">
        <v>0</v>
      </c>
      <c r="I12" s="26" t="n">
        <v>3</v>
      </c>
      <c r="J12" s="74">
        <f>LET(dec, I12-INT(I12), IF(dec&lt;0.1, INT(I12), IF(dec&lt;=0.7, INT(I12)+0.5, INT(I12)+1)))</f>
        <v/>
      </c>
      <c r="K12" s="93" t="n">
        <v>46207</v>
      </c>
      <c r="L12" s="91" t="inlineStr">
        <is>
          <t>MILI CONCHA</t>
        </is>
      </c>
      <c r="M12" s="89" t="n"/>
      <c r="N12" s="89" t="inlineStr">
        <is>
          <t>DIEGO</t>
        </is>
      </c>
    </row>
    <row r="13">
      <c r="A13" s="96" t="inlineStr">
        <is>
          <t>7658102724160670485</t>
        </is>
      </c>
      <c r="B13" s="98" t="inlineStr">
        <is>
          <t>revlonmexico</t>
        </is>
      </c>
      <c r="C13" s="40" t="inlineStr">
        <is>
          <t>MX</t>
        </is>
      </c>
      <c r="D13" s="39" t="n">
        <v>7750.87</v>
      </c>
      <c r="E13" s="40">
        <f>D13/1.16</f>
        <v/>
      </c>
      <c r="F13" s="40">
        <f>D13/J13</f>
        <v/>
      </c>
      <c r="G13" s="92">
        <f>F13/1.16</f>
        <v/>
      </c>
      <c r="H13" s="92" t="n">
        <v>0</v>
      </c>
      <c r="I13" s="26" t="n">
        <v>3</v>
      </c>
      <c r="J13" s="74">
        <f>LET(dec, I13-INT(I13), IF(dec&lt;0.1, INT(I13), IF(dec&lt;=0.7, INT(I13)+0.5, INT(I13)+1)))</f>
        <v/>
      </c>
      <c r="K13" s="93" t="n">
        <v>46210</v>
      </c>
      <c r="L13" s="89" t="inlineStr">
        <is>
          <t>AISHA</t>
        </is>
      </c>
      <c r="M13" s="89" t="n"/>
      <c r="N13" s="89" t="inlineStr">
        <is>
          <t>DIEGO</t>
        </is>
      </c>
    </row>
    <row r="14">
      <c r="A14" s="96" t="inlineStr">
        <is>
          <t>7657729792038406933</t>
        </is>
      </c>
      <c r="B14" s="98" t="inlineStr">
        <is>
          <t>revlonmexico</t>
        </is>
      </c>
      <c r="C14" s="40" t="inlineStr">
        <is>
          <t>MX</t>
        </is>
      </c>
      <c r="D14" s="39" t="n">
        <v>9063.73</v>
      </c>
      <c r="E14" s="40">
        <f>D14/1.16</f>
        <v/>
      </c>
      <c r="F14" s="40">
        <f>D14/J14</f>
        <v/>
      </c>
      <c r="G14" s="92">
        <f>F14/1.16</f>
        <v/>
      </c>
      <c r="H14" s="92" t="n">
        <v>0</v>
      </c>
      <c r="I14" s="26" t="n">
        <v>3</v>
      </c>
      <c r="J14" s="74">
        <f>LET(dec, I14-INT(I14), IF(dec&lt;0.1, INT(I14), IF(dec&lt;=0.7, INT(I14)+0.5, INT(I14)+1)))</f>
        <v/>
      </c>
      <c r="K14" s="93" t="n">
        <v>46212</v>
      </c>
      <c r="L14" s="91" t="inlineStr">
        <is>
          <t>MILI CONCHA</t>
        </is>
      </c>
      <c r="M14" s="89" t="n"/>
      <c r="N14" s="89" t="inlineStr">
        <is>
          <t>DIEGO</t>
        </is>
      </c>
    </row>
    <row r="15">
      <c r="A15" s="96" t="inlineStr">
        <is>
          <t>7656168914207984405</t>
        </is>
      </c>
      <c r="B15" s="98" t="inlineStr">
        <is>
          <t>revlonmexico</t>
        </is>
      </c>
      <c r="C15" s="40" t="inlineStr">
        <is>
          <t>MX</t>
        </is>
      </c>
      <c r="D15" s="39" t="n">
        <v>3490.69</v>
      </c>
      <c r="E15" s="40">
        <f>D15/1.16</f>
        <v/>
      </c>
      <c r="F15" s="40">
        <f>D15/J15</f>
        <v/>
      </c>
      <c r="G15" s="92">
        <f>F15/1.16</f>
        <v/>
      </c>
      <c r="H15" s="92" t="n">
        <v>0</v>
      </c>
      <c r="I15" s="26" t="n">
        <v>5</v>
      </c>
      <c r="J15" s="74">
        <f>LET(dec, I15-INT(I15), IF(dec&lt;0.1, INT(I15), IF(dec&lt;=0.7, INT(I15)+0.5, INT(I15)+1)))</f>
        <v/>
      </c>
      <c r="K15" s="93" t="n">
        <v>46214</v>
      </c>
      <c r="L15" s="89" t="inlineStr">
        <is>
          <t>AISHA</t>
        </is>
      </c>
      <c r="M15" s="89" t="n"/>
      <c r="N15" s="89" t="inlineStr">
        <is>
          <t>DIEGO</t>
        </is>
      </c>
    </row>
    <row r="16">
      <c r="A16" s="96" t="inlineStr">
        <is>
          <t>7655502540021222165</t>
        </is>
      </c>
      <c r="B16" s="98" t="inlineStr">
        <is>
          <t>revlonmexico</t>
        </is>
      </c>
      <c r="C16" s="40" t="inlineStr">
        <is>
          <t>MX</t>
        </is>
      </c>
      <c r="D16" s="39" t="n">
        <v>2100.36</v>
      </c>
      <c r="E16" s="40">
        <f>D16/1.16</f>
        <v/>
      </c>
      <c r="F16" s="40">
        <f>D16/J16</f>
        <v/>
      </c>
      <c r="G16" s="92">
        <f>F16/1.16</f>
        <v/>
      </c>
      <c r="H16" s="92" t="n">
        <v>0</v>
      </c>
      <c r="I16" s="26" t="n">
        <v>3</v>
      </c>
      <c r="J16" s="74">
        <f>LET(dec, I16-INT(I16), IF(dec&lt;0.1, INT(I16), IF(dec&lt;=0.7, INT(I16)+0.5, INT(I16)+1)))</f>
        <v/>
      </c>
      <c r="K16" s="93" t="n">
        <v>46217</v>
      </c>
      <c r="L16" s="89" t="inlineStr">
        <is>
          <t>AISHA</t>
        </is>
      </c>
      <c r="M16" s="89" t="n"/>
      <c r="N16" s="89" t="inlineStr">
        <is>
          <t>DIEGO</t>
        </is>
      </c>
    </row>
    <row r="18">
      <c r="A18" s="7" t="inlineStr">
        <is>
          <t>Room ID</t>
        </is>
      </c>
      <c r="B18" s="7" t="inlineStr">
        <is>
          <t>TT Handle</t>
        </is>
      </c>
      <c r="C18" s="7" t="inlineStr">
        <is>
          <t>Country</t>
        </is>
      </c>
      <c r="D18" s="7" t="inlineStr">
        <is>
          <t>GMV</t>
        </is>
      </c>
      <c r="E18" s="7" t="inlineStr">
        <is>
          <t>GMV/sin EVA</t>
        </is>
      </c>
      <c r="F18" s="7" t="inlineStr">
        <is>
          <t>GMV PER HOUR</t>
        </is>
      </c>
      <c r="G18" s="7" t="inlineStr">
        <is>
          <t>GMV PER HOUR/sin EVA</t>
        </is>
      </c>
      <c r="H18" s="7" t="inlineStr">
        <is>
          <t>Ads Cost</t>
        </is>
      </c>
      <c r="I18" s="7" t="inlineStr">
        <is>
          <t>Duration (H)</t>
        </is>
      </c>
      <c r="J18" s="70" t="inlineStr">
        <is>
          <t>Duration （Formula）</t>
        </is>
      </c>
      <c r="K18" s="101" t="inlineStr">
        <is>
          <t>Start date</t>
        </is>
      </c>
      <c r="L18" s="7" t="inlineStr">
        <is>
          <t>HOST 1</t>
        </is>
      </c>
      <c r="M18" s="7" t="inlineStr">
        <is>
          <t xml:space="preserve">HOST 2 </t>
        </is>
      </c>
      <c r="N18" s="7" t="inlineStr">
        <is>
          <t>Operator</t>
        </is>
      </c>
    </row>
    <row r="19">
      <c r="A19" s="96" t="inlineStr">
        <is>
          <t>7672556798834674439</t>
        </is>
      </c>
      <c r="B19" s="98" t="inlineStr">
        <is>
          <t>revlonmexico</t>
        </is>
      </c>
      <c r="C19" s="40" t="inlineStr">
        <is>
          <t>MX</t>
        </is>
      </c>
      <c r="D19" s="39" t="n">
        <v>10144.26</v>
      </c>
      <c r="E19" s="40">
        <f>D19/1.16</f>
        <v/>
      </c>
      <c r="F19" s="40">
        <f>D19/J19</f>
        <v/>
      </c>
      <c r="G19" s="92">
        <f>F19/1.16</f>
        <v/>
      </c>
      <c r="H19" s="92" t="n">
        <v>0</v>
      </c>
      <c r="I19" s="26" t="n">
        <v>3</v>
      </c>
      <c r="J19" s="74" t="n">
        <v>3</v>
      </c>
      <c r="K19" s="93" t="n">
        <v>46244</v>
      </c>
      <c r="L19" s="91" t="inlineStr">
        <is>
          <t>MILI CONCHA</t>
        </is>
      </c>
      <c r="M19" s="89" t="n"/>
      <c r="N19" s="89" t="inlineStr">
        <is>
          <t>MOISES</t>
        </is>
      </c>
    </row>
    <row r="20">
      <c r="A20" s="96" t="inlineStr">
        <is>
          <t>7672612222987733780</t>
        </is>
      </c>
      <c r="B20" s="98" t="inlineStr">
        <is>
          <t>revlonmexico</t>
        </is>
      </c>
      <c r="C20" s="40" t="inlineStr">
        <is>
          <t>MX</t>
        </is>
      </c>
      <c r="D20" s="39" t="n">
        <v>904.34</v>
      </c>
      <c r="E20" s="40">
        <f>D20/1.16</f>
        <v/>
      </c>
      <c r="F20" s="40">
        <f>D20/J20</f>
        <v/>
      </c>
      <c r="G20" s="92">
        <f>F20/1.16</f>
        <v/>
      </c>
      <c r="H20" s="92" t="n">
        <v>0</v>
      </c>
      <c r="I20" s="26" t="n">
        <v>1</v>
      </c>
      <c r="J20" s="74" t="n">
        <v>1</v>
      </c>
      <c r="K20" s="93" t="n">
        <v>46244</v>
      </c>
      <c r="L20" s="91" t="inlineStr">
        <is>
          <t>MILI CONCHA</t>
        </is>
      </c>
      <c r="M20" s="89" t="n"/>
      <c r="N20" s="89" t="inlineStr">
        <is>
          <t>MOISES</t>
        </is>
      </c>
    </row>
    <row r="21">
      <c r="A21" s="96" t="inlineStr">
        <is>
          <t>7672928177639951112</t>
        </is>
      </c>
      <c r="B21" s="98" t="inlineStr">
        <is>
          <t>revlonmexico</t>
        </is>
      </c>
      <c r="C21" s="40" t="inlineStr">
        <is>
          <t>MX</t>
        </is>
      </c>
      <c r="D21" s="39" t="n">
        <v>5514.52</v>
      </c>
      <c r="E21" s="40">
        <f>D21/1.16</f>
        <v/>
      </c>
      <c r="F21" s="40">
        <f>D21/J21</f>
        <v/>
      </c>
      <c r="G21" s="92">
        <f>F21/1.16</f>
        <v/>
      </c>
      <c r="H21" s="92" t="n">
        <v>0</v>
      </c>
      <c r="I21" s="26" t="n">
        <v>3</v>
      </c>
      <c r="J21" s="74" t="n">
        <v>3</v>
      </c>
      <c r="K21" s="93" t="n">
        <v>46245</v>
      </c>
      <c r="L21" s="91" t="inlineStr">
        <is>
          <t>MILI CONCHA</t>
        </is>
      </c>
      <c r="M21" s="89" t="n"/>
      <c r="N21" s="89" t="inlineStr">
        <is>
          <t>MOISES</t>
        </is>
      </c>
    </row>
    <row r="22">
      <c r="A22" s="96" t="inlineStr">
        <is>
          <t>7673670300311079700</t>
        </is>
      </c>
      <c r="B22" s="98" t="inlineStr">
        <is>
          <t>revlonmexico</t>
        </is>
      </c>
      <c r="C22" s="40" t="inlineStr">
        <is>
          <t>MX</t>
        </is>
      </c>
      <c r="D22" s="39" t="n">
        <v>2988.42</v>
      </c>
      <c r="E22" s="40">
        <f>D22/1.16</f>
        <v/>
      </c>
      <c r="F22" s="40">
        <f>D22/J22</f>
        <v/>
      </c>
      <c r="G22" s="92">
        <f>F22/1.16</f>
        <v/>
      </c>
      <c r="H22" s="92" t="n">
        <v>0</v>
      </c>
      <c r="I22" s="26" t="n">
        <v>3</v>
      </c>
      <c r="J22" s="74" t="n">
        <v>3</v>
      </c>
      <c r="K22" s="93" t="n">
        <v>46247</v>
      </c>
      <c r="L22" s="89" t="inlineStr">
        <is>
          <t>AISHA</t>
        </is>
      </c>
      <c r="M22" s="89" t="n"/>
      <c r="N22" s="89" t="inlineStr">
        <is>
          <t>MOISES</t>
        </is>
      </c>
    </row>
    <row r="23">
      <c r="A23" s="96" t="inlineStr">
        <is>
          <t>7674398627673983752</t>
        </is>
      </c>
      <c r="B23" s="98" t="inlineStr">
        <is>
          <t>revlonmexico</t>
        </is>
      </c>
      <c r="C23" s="40" t="inlineStr">
        <is>
          <t>MX</t>
        </is>
      </c>
      <c r="D23" s="39" t="n">
        <v>3417.6</v>
      </c>
      <c r="E23" s="40">
        <f>D23/1.16</f>
        <v/>
      </c>
      <c r="F23" s="40">
        <f>D23/J23</f>
        <v/>
      </c>
      <c r="G23" s="92">
        <f>F23/1.16</f>
        <v/>
      </c>
      <c r="H23" s="92" t="n">
        <v>0</v>
      </c>
      <c r="I23" s="26" t="n">
        <v>5</v>
      </c>
      <c r="J23" s="74" t="n">
        <v>5</v>
      </c>
      <c r="K23" s="93" t="n">
        <v>46249</v>
      </c>
      <c r="L23" s="91" t="inlineStr">
        <is>
          <t>MILI CONCHA</t>
        </is>
      </c>
      <c r="M23" s="89" t="n"/>
      <c r="N23" s="89" t="inlineStr">
        <is>
          <t>MOISES</t>
        </is>
      </c>
    </row>
    <row r="24">
      <c r="A24" s="96" t="inlineStr">
        <is>
          <t>7675154691113667349</t>
        </is>
      </c>
      <c r="B24" s="98" t="inlineStr">
        <is>
          <t>revlonmexico</t>
        </is>
      </c>
      <c r="C24" s="40" t="inlineStr">
        <is>
          <t>MX</t>
        </is>
      </c>
      <c r="D24" s="39" t="n">
        <v>1554.6</v>
      </c>
      <c r="E24" s="40">
        <f>D24/1.16</f>
        <v/>
      </c>
      <c r="F24" s="40">
        <f>D24/J24</f>
        <v/>
      </c>
      <c r="G24" s="92">
        <f>F24/1.16</f>
        <v/>
      </c>
      <c r="H24" s="92" t="n">
        <v>0</v>
      </c>
      <c r="I24" s="26" t="n">
        <v>3</v>
      </c>
      <c r="J24" s="74" t="n">
        <v>3</v>
      </c>
      <c r="K24" s="93" t="n">
        <v>46251</v>
      </c>
      <c r="L24" s="91" t="inlineStr">
        <is>
          <t>MILI CONCHA</t>
        </is>
      </c>
      <c r="M24" s="89" t="n"/>
      <c r="N24" s="89" t="inlineStr">
        <is>
          <t>MOISES</t>
        </is>
      </c>
    </row>
    <row r="25">
      <c r="A25" s="96" t="inlineStr">
        <is>
          <t>7675896877568609045</t>
        </is>
      </c>
      <c r="B25" s="98" t="inlineStr">
        <is>
          <t>revlonmexico</t>
        </is>
      </c>
      <c r="C25" s="40" t="inlineStr">
        <is>
          <t>MX</t>
        </is>
      </c>
      <c r="D25" s="39" t="n">
        <v>4548.75</v>
      </c>
      <c r="E25" s="40">
        <f>D25/1.16</f>
        <v/>
      </c>
      <c r="F25" s="40">
        <f>D25/J25</f>
        <v/>
      </c>
      <c r="G25" s="92">
        <f>F25/1.16</f>
        <v/>
      </c>
      <c r="H25" s="92" t="n">
        <v>0</v>
      </c>
      <c r="I25" s="26" t="n">
        <v>3</v>
      </c>
      <c r="J25" s="74" t="n">
        <v>3</v>
      </c>
      <c r="K25" s="93" t="n">
        <v>46253</v>
      </c>
      <c r="L25" s="89" t="inlineStr">
        <is>
          <t>AISHA</t>
        </is>
      </c>
      <c r="M25" s="89" t="n"/>
      <c r="N25" s="89" t="inlineStr">
        <is>
          <t>MOISES</t>
        </is>
      </c>
    </row>
    <row r="26">
      <c r="A26" s="96" t="inlineStr">
        <is>
          <t>7676638831986215698</t>
        </is>
      </c>
      <c r="B26" s="98" t="inlineStr">
        <is>
          <t>revlonmexico</t>
        </is>
      </c>
      <c r="C26" s="40" t="inlineStr">
        <is>
          <t>MX</t>
        </is>
      </c>
      <c r="D26" s="39" t="n">
        <v>4775.69</v>
      </c>
      <c r="E26" s="40">
        <f>D26/1.16</f>
        <v/>
      </c>
      <c r="F26" s="40">
        <f>D26/J26</f>
        <v/>
      </c>
      <c r="G26" s="92">
        <f>F26/1.16</f>
        <v/>
      </c>
      <c r="H26" s="92" t="n">
        <v>0</v>
      </c>
      <c r="I26" s="26" t="n">
        <v>3</v>
      </c>
      <c r="J26" s="74" t="n">
        <v>3</v>
      </c>
      <c r="K26" s="93" t="n">
        <v>46255</v>
      </c>
      <c r="L26" s="89" t="inlineStr">
        <is>
          <t>AISHA</t>
        </is>
      </c>
      <c r="M26" s="89" t="n"/>
      <c r="N26" s="89" t="inlineStr">
        <is>
          <t>MOISES</t>
        </is>
      </c>
    </row>
    <row r="27">
      <c r="A27" s="96" t="inlineStr">
        <is>
          <t>7676994407001852679</t>
        </is>
      </c>
      <c r="B27" s="98" t="inlineStr">
        <is>
          <t>revlonmexico</t>
        </is>
      </c>
      <c r="C27" s="40" t="inlineStr">
        <is>
          <t>MX</t>
        </is>
      </c>
      <c r="D27" s="39" t="n">
        <v>4499.3</v>
      </c>
      <c r="E27" s="40">
        <f>D27/1.16</f>
        <v/>
      </c>
      <c r="F27" s="40">
        <f>D27/J27</f>
        <v/>
      </c>
      <c r="G27" s="92">
        <f>F27/1.16</f>
        <v/>
      </c>
      <c r="H27" s="92" t="n">
        <v>0</v>
      </c>
      <c r="I27" s="26" t="n">
        <v>3</v>
      </c>
      <c r="J27" s="74" t="n">
        <v>3</v>
      </c>
      <c r="K27" s="93" t="n">
        <v>46256</v>
      </c>
      <c r="L27" s="89" t="inlineStr">
        <is>
          <t>AISHA</t>
        </is>
      </c>
      <c r="M27" s="89" t="n"/>
      <c r="N27" s="89" t="inlineStr">
        <is>
          <t>MOISES</t>
        </is>
      </c>
    </row>
    <row r="28">
      <c r="A28" s="96" t="inlineStr">
        <is>
          <t>7678123246806125319</t>
        </is>
      </c>
      <c r="B28" s="98" t="inlineStr">
        <is>
          <t>revlonmexico</t>
        </is>
      </c>
      <c r="C28" s="40" t="inlineStr">
        <is>
          <t>MX</t>
        </is>
      </c>
      <c r="D28" s="39" t="n">
        <v>4202.3</v>
      </c>
      <c r="E28" s="40">
        <f>D28/1.16</f>
        <v/>
      </c>
      <c r="F28" s="40">
        <f>D28/J28</f>
        <v/>
      </c>
      <c r="G28" s="92">
        <f>F28/1.16</f>
        <v/>
      </c>
      <c r="H28" s="92" t="n">
        <v>0</v>
      </c>
      <c r="I28" s="26" t="n">
        <v>3</v>
      </c>
      <c r="J28" s="74" t="n">
        <v>3</v>
      </c>
      <c r="K28" s="93" t="n">
        <v>46259</v>
      </c>
      <c r="L28" s="89" t="inlineStr">
        <is>
          <t>AISHA</t>
        </is>
      </c>
      <c r="M28" s="89" t="n"/>
      <c r="N28" s="89" t="inlineStr">
        <is>
          <t>MOISES</t>
        </is>
      </c>
    </row>
    <row r="29">
      <c r="A29" s="96" t="inlineStr">
        <is>
          <t>7678865461471152904</t>
        </is>
      </c>
      <c r="B29" s="98" t="inlineStr">
        <is>
          <t>revlonmexico</t>
        </is>
      </c>
      <c r="C29" s="40" t="inlineStr">
        <is>
          <t>MX</t>
        </is>
      </c>
      <c r="D29" s="39" t="n">
        <v>1786.7</v>
      </c>
      <c r="E29" s="40">
        <f>D29/1.16</f>
        <v/>
      </c>
      <c r="F29" s="40">
        <f>D29/J29</f>
        <v/>
      </c>
      <c r="G29" s="92">
        <f>F29/1.16</f>
        <v/>
      </c>
      <c r="H29" s="92" t="n">
        <v>0</v>
      </c>
      <c r="I29" s="26" t="n">
        <v>3</v>
      </c>
      <c r="J29" s="74" t="n">
        <v>3</v>
      </c>
      <c r="K29" s="93" t="n">
        <v>46261</v>
      </c>
      <c r="L29" s="91" t="inlineStr">
        <is>
          <t>MILI CONCHA</t>
        </is>
      </c>
      <c r="M29" s="89" t="n"/>
      <c r="N29" s="89" t="inlineStr">
        <is>
          <t>MOISES</t>
        </is>
      </c>
    </row>
    <row r="31">
      <c r="A31" s="7" t="inlineStr">
        <is>
          <t>Room ID</t>
        </is>
      </c>
      <c r="B31" s="7" t="inlineStr">
        <is>
          <t>TT Handle</t>
        </is>
      </c>
      <c r="C31" s="7" t="inlineStr">
        <is>
          <t>Country</t>
        </is>
      </c>
      <c r="D31" s="7" t="inlineStr">
        <is>
          <t>GMV</t>
        </is>
      </c>
      <c r="E31" s="7" t="inlineStr">
        <is>
          <t>GMV/sin EVA</t>
        </is>
      </c>
      <c r="F31" s="7" t="inlineStr">
        <is>
          <t>GMV PER HOUR</t>
        </is>
      </c>
      <c r="G31" s="7" t="inlineStr">
        <is>
          <t>GMV PER HOUR/sin EVA</t>
        </is>
      </c>
      <c r="H31" s="7" t="inlineStr">
        <is>
          <t>Ads Cost</t>
        </is>
      </c>
      <c r="I31" s="7" t="inlineStr">
        <is>
          <t>Duration (H)</t>
        </is>
      </c>
      <c r="J31" s="70" t="inlineStr">
        <is>
          <t>Duration （Formula）</t>
        </is>
      </c>
      <c r="K31" s="101" t="inlineStr">
        <is>
          <t>Start date</t>
        </is>
      </c>
      <c r="L31" s="7" t="inlineStr">
        <is>
          <t>HOST 1</t>
        </is>
      </c>
      <c r="M31" s="7" t="inlineStr">
        <is>
          <t xml:space="preserve">HOST 2 </t>
        </is>
      </c>
      <c r="N31" s="7" t="inlineStr">
        <is>
          <t>Operator</t>
        </is>
      </c>
    </row>
    <row r="32">
      <c r="A32" s="96" t="inlineStr">
        <is>
          <t>7679607455212522247</t>
        </is>
      </c>
      <c r="B32" s="98" t="inlineStr">
        <is>
          <t>revlonmexico</t>
        </is>
      </c>
      <c r="C32" s="40" t="inlineStr">
        <is>
          <t>MX</t>
        </is>
      </c>
      <c r="D32" s="39" t="n">
        <v>5448.75</v>
      </c>
      <c r="E32" s="40">
        <f>D32/1.16</f>
        <v/>
      </c>
      <c r="F32" s="40">
        <f>D32/J32</f>
        <v/>
      </c>
      <c r="G32" s="92">
        <f>F32/1.16</f>
        <v/>
      </c>
      <c r="H32" s="92" t="n">
        <v>0</v>
      </c>
      <c r="I32" s="26" t="n">
        <v>3</v>
      </c>
      <c r="J32" s="74">
        <f>LET(dec, I32-INT(I32), IF(dec&lt;0.1, INT(I32), IF(dec&lt;=0.7, INT(I32)+0.5, INT(I32)+1)))</f>
        <v/>
      </c>
      <c r="K32" s="93" t="n">
        <v>46263</v>
      </c>
      <c r="L32" s="89" t="inlineStr">
        <is>
          <t>AISHA</t>
        </is>
      </c>
      <c r="M32" s="89" t="n"/>
      <c r="N32" s="89" t="inlineStr">
        <is>
          <t>MOISES</t>
        </is>
      </c>
    </row>
    <row r="33">
      <c r="A33" s="96" t="inlineStr">
        <is>
          <t>7680349731655420693</t>
        </is>
      </c>
      <c r="B33" s="98" t="inlineStr">
        <is>
          <t>revlonmexico</t>
        </is>
      </c>
      <c r="C33" s="40" t="inlineStr">
        <is>
          <t>MX</t>
        </is>
      </c>
      <c r="D33" s="39" t="n">
        <v>4656.29</v>
      </c>
      <c r="E33" s="40">
        <f>D33/1.16</f>
        <v/>
      </c>
      <c r="F33" s="40">
        <f>D33/J33</f>
        <v/>
      </c>
      <c r="G33" s="92">
        <f>F33/1.16</f>
        <v/>
      </c>
      <c r="H33" s="92" t="n">
        <v>0</v>
      </c>
      <c r="I33" s="26" t="n">
        <v>4.01</v>
      </c>
      <c r="J33" s="74">
        <f>LET(dec, I33-INT(I33), IF(dec&lt;0.1, INT(I33), IF(dec&lt;=0.7, INT(I33)+0.5, INT(I33)+1)))</f>
        <v/>
      </c>
      <c r="K33" s="93" t="n">
        <v>46265</v>
      </c>
      <c r="L33" s="89" t="inlineStr">
        <is>
          <t>AISHA</t>
        </is>
      </c>
      <c r="M33" s="89" t="n"/>
      <c r="N33" s="89" t="inlineStr">
        <is>
          <t>MOISES</t>
        </is>
      </c>
    </row>
    <row r="34">
      <c r="A34" s="96" t="inlineStr">
        <is>
          <t>7681091830485682964</t>
        </is>
      </c>
      <c r="B34" s="98" t="inlineStr">
        <is>
          <t>revlonmexico</t>
        </is>
      </c>
      <c r="C34" s="40" t="inlineStr">
        <is>
          <t>MX</t>
        </is>
      </c>
      <c r="D34" s="39" t="n">
        <v>5453.31</v>
      </c>
      <c r="E34" s="40">
        <f>D34/1.16</f>
        <v/>
      </c>
      <c r="F34" s="40">
        <f>D34/J34</f>
        <v/>
      </c>
      <c r="G34" s="92">
        <f>F34/1.16</f>
        <v/>
      </c>
      <c r="H34" s="92" t="n">
        <v>0</v>
      </c>
      <c r="I34" s="26" t="n">
        <v>4.01</v>
      </c>
      <c r="J34" s="74">
        <f>LET(dec, I34-INT(I34), IF(dec&lt;0.1, INT(I34), IF(dec&lt;=0.7, INT(I34)+0.5, INT(I34)+1)))</f>
        <v/>
      </c>
      <c r="K34" s="93" t="n">
        <v>46267</v>
      </c>
      <c r="L34" s="89" t="inlineStr">
        <is>
          <t>AISHA</t>
        </is>
      </c>
      <c r="M34" s="89" t="n"/>
      <c r="N34" s="89" t="inlineStr">
        <is>
          <t>MOISES</t>
        </is>
      </c>
    </row>
    <row r="35">
      <c r="A35" s="96" t="inlineStr">
        <is>
          <t>7681731186057562900</t>
        </is>
      </c>
      <c r="B35" s="98" t="inlineStr">
        <is>
          <t>revlonmexico</t>
        </is>
      </c>
      <c r="C35" s="40" t="inlineStr">
        <is>
          <t>MX</t>
        </is>
      </c>
      <c r="D35" s="39" t="n">
        <v>2313.8</v>
      </c>
      <c r="E35" s="40">
        <f>D35/1.16</f>
        <v/>
      </c>
      <c r="F35" s="40">
        <f>D35/J35</f>
        <v/>
      </c>
      <c r="G35" s="92">
        <f>F35/1.16</f>
        <v/>
      </c>
      <c r="H35" s="92" t="n">
        <v>0</v>
      </c>
      <c r="I35" s="26" t="n">
        <v>4</v>
      </c>
      <c r="J35" s="74">
        <f>LET(dec, I35-INT(I35), IF(dec&lt;0.1, INT(I35), IF(dec&lt;=0.7, INT(I35)+0.5, INT(I35)+1)))</f>
        <v/>
      </c>
      <c r="K35" s="93" t="n">
        <v>46269</v>
      </c>
      <c r="L35" s="91" t="inlineStr">
        <is>
          <t>MILI CONCHA</t>
        </is>
      </c>
      <c r="M35" s="89" t="n"/>
      <c r="N35" s="89" t="inlineStr">
        <is>
          <t>MOISES</t>
        </is>
      </c>
    </row>
    <row r="36">
      <c r="A36" s="96" t="inlineStr">
        <is>
          <t>7682452728740285202</t>
        </is>
      </c>
      <c r="B36" s="98" t="inlineStr">
        <is>
          <t>revlonmexico</t>
        </is>
      </c>
      <c r="C36" s="40" t="inlineStr">
        <is>
          <t>MX</t>
        </is>
      </c>
      <c r="D36" s="39" t="n">
        <v>8558.6</v>
      </c>
      <c r="E36" s="40">
        <f>D36/1.16</f>
        <v/>
      </c>
      <c r="F36" s="40">
        <f>D36/J36</f>
        <v/>
      </c>
      <c r="G36" s="92">
        <f>F36/1.16</f>
        <v/>
      </c>
      <c r="H36" s="92" t="n">
        <v>0</v>
      </c>
      <c r="I36" s="26" t="n">
        <v>4</v>
      </c>
      <c r="J36" s="74">
        <f>LET(dec, I36-INT(I36), IF(dec&lt;0.1, INT(I36), IF(dec&lt;=0.7, INT(I36)+0.5, INT(I36)+1)))</f>
        <v/>
      </c>
      <c r="K36" s="93" t="n">
        <v>46271</v>
      </c>
      <c r="L36" s="91" t="inlineStr">
        <is>
          <t>MILI CONCHA</t>
        </is>
      </c>
      <c r="M36" s="89" t="n"/>
      <c r="N36" s="89" t="inlineStr">
        <is>
          <t>MOISES</t>
        </is>
      </c>
    </row>
    <row r="37">
      <c r="A37" s="96" t="inlineStr">
        <is>
          <t>7682947488617089812</t>
        </is>
      </c>
      <c r="B37" s="98" t="inlineStr">
        <is>
          <t>revlonmexico</t>
        </is>
      </c>
      <c r="C37" s="40" t="inlineStr">
        <is>
          <t>MX</t>
        </is>
      </c>
      <c r="D37" s="39" t="n">
        <v>4079.46</v>
      </c>
      <c r="E37" s="40">
        <f>D37/1.16</f>
        <v/>
      </c>
      <c r="F37" s="40">
        <f>D37/J37</f>
        <v/>
      </c>
      <c r="G37" s="92">
        <f>F37/1.16</f>
        <v/>
      </c>
      <c r="H37" s="92" t="n">
        <v>0</v>
      </c>
      <c r="I37" s="26" t="n">
        <v>4</v>
      </c>
      <c r="J37" s="74">
        <f>LET(dec, I37-INT(I37), IF(dec&lt;0.1, INT(I37), IF(dec&lt;=0.7, INT(I37)+0.5, INT(I37)+1)))</f>
        <v/>
      </c>
      <c r="K37" s="93" t="n">
        <v>46272</v>
      </c>
      <c r="L37" s="91" t="inlineStr">
        <is>
          <t>MILI CONCHA</t>
        </is>
      </c>
      <c r="M37" s="89" t="n"/>
      <c r="N37" s="89" t="inlineStr">
        <is>
          <t>MOISES</t>
        </is>
      </c>
    </row>
    <row r="38">
      <c r="A38" s="96" t="inlineStr">
        <is>
          <t>7683689590162541333</t>
        </is>
      </c>
      <c r="B38" s="98" t="inlineStr">
        <is>
          <t>revlonmexico</t>
        </is>
      </c>
      <c r="C38" s="40" t="inlineStr">
        <is>
          <t>MX</t>
        </is>
      </c>
      <c r="D38" s="39" t="n">
        <v>4957.5</v>
      </c>
      <c r="E38" s="40">
        <f>D38/1.16</f>
        <v/>
      </c>
      <c r="F38" s="40">
        <f>D38/J38</f>
        <v/>
      </c>
      <c r="G38" s="92">
        <f>F38/1.16</f>
        <v/>
      </c>
      <c r="H38" s="92" t="n">
        <v>0</v>
      </c>
      <c r="I38" s="26" t="n">
        <v>4</v>
      </c>
      <c r="J38" s="74">
        <f>LET(dec, I38-INT(I38), IF(dec&lt;0.1, INT(I38), IF(dec&lt;=0.7, INT(I38)+0.5, INT(I38)+1)))</f>
        <v/>
      </c>
      <c r="K38" s="93" t="n">
        <v>46274</v>
      </c>
      <c r="L38" s="91" t="inlineStr">
        <is>
          <t>MILI CONCHA</t>
        </is>
      </c>
      <c r="M38" s="89" t="n"/>
      <c r="N38" s="89" t="inlineStr">
        <is>
          <t>MOISES</t>
        </is>
      </c>
    </row>
    <row r="39">
      <c r="A39" s="96" t="inlineStr">
        <is>
          <t>7685444484893166343</t>
        </is>
      </c>
      <c r="B39" s="98" t="inlineStr">
        <is>
          <t>revlonmexico</t>
        </is>
      </c>
      <c r="C39" s="40" t="inlineStr">
        <is>
          <t>MX</t>
        </is>
      </c>
      <c r="D39" s="39" t="n">
        <v>1059.9</v>
      </c>
      <c r="E39" s="40">
        <f>D39/1.16</f>
        <v/>
      </c>
      <c r="F39" s="40">
        <f>D39/J39</f>
        <v/>
      </c>
      <c r="G39" s="92">
        <f>F39/1.16</f>
        <v/>
      </c>
      <c r="H39" s="92" t="n">
        <v>0</v>
      </c>
      <c r="I39" s="26" t="n">
        <v>2.13</v>
      </c>
      <c r="J39" s="74">
        <f>LET(dec, I39-INT(I39), IF(dec&lt;0.1, INT(I39), IF(dec&lt;=0.7, INT(I39)+0.5, INT(I39)+1)))</f>
        <v/>
      </c>
      <c r="K39" s="93" t="n">
        <v>46279</v>
      </c>
      <c r="L39" s="91" t="inlineStr">
        <is>
          <t>MILI CONCHA</t>
        </is>
      </c>
      <c r="M39" s="89" t="n"/>
      <c r="N39" s="89" t="inlineStr">
        <is>
          <t>MOISES</t>
        </is>
      </c>
    </row>
    <row r="40">
      <c r="A40" s="96" t="inlineStr">
        <is>
          <t>7686661375631870727</t>
        </is>
      </c>
      <c r="B40" s="98" t="inlineStr">
        <is>
          <t>revlonmexico</t>
        </is>
      </c>
      <c r="C40" s="40" t="inlineStr">
        <is>
          <t>MX</t>
        </is>
      </c>
      <c r="D40" s="39" t="n">
        <v>5471.02</v>
      </c>
      <c r="E40" s="40">
        <f>D40/1.16</f>
        <v/>
      </c>
      <c r="F40" s="40">
        <f>D40/J40</f>
        <v/>
      </c>
      <c r="G40" s="92">
        <f>F40/1.16</f>
        <v/>
      </c>
      <c r="H40" s="92" t="n">
        <v>0</v>
      </c>
      <c r="I40" s="26" t="n">
        <v>4.02</v>
      </c>
      <c r="J40" s="74">
        <f>LET(dec, I40-INT(I40), IF(dec&lt;0.1, INT(I40), IF(dec&lt;=0.7, INT(I40)+0.5, INT(I40)+1)))</f>
        <v/>
      </c>
      <c r="K40" s="93" t="n">
        <v>46282</v>
      </c>
      <c r="L40" s="91" t="inlineStr">
        <is>
          <t>Emily Bustamante</t>
        </is>
      </c>
      <c r="M40" s="89" t="n"/>
      <c r="N40" s="89" t="inlineStr">
        <is>
          <t>MOISES</t>
        </is>
      </c>
    </row>
    <row r="41">
      <c r="A41" s="96" t="inlineStr">
        <is>
          <t>7688142420667550485</t>
        </is>
      </c>
      <c r="B41" s="98" t="inlineStr">
        <is>
          <t>revlonmexico</t>
        </is>
      </c>
      <c r="C41" s="40" t="inlineStr">
        <is>
          <t>MX</t>
        </is>
      </c>
      <c r="D41" s="39" t="n">
        <v>3710.11</v>
      </c>
      <c r="E41" s="40">
        <f>D41/1.16</f>
        <v/>
      </c>
      <c r="F41" s="40">
        <f>D41/J41</f>
        <v/>
      </c>
      <c r="G41" s="92">
        <f>F41/1.16</f>
        <v/>
      </c>
      <c r="H41" s="92" t="n">
        <v>0</v>
      </c>
      <c r="I41" s="26" t="n">
        <v>3.05</v>
      </c>
      <c r="J41" s="74">
        <f>LET(dec, I41-INT(I41), IF(dec&lt;0.1, INT(I41), IF(dec&lt;=0.7, INT(I41)+0.5, INT(I41)+1)))</f>
        <v/>
      </c>
      <c r="K41" s="93" t="n">
        <v>46286</v>
      </c>
      <c r="L41" s="91" t="inlineStr">
        <is>
          <t>Emily Bustamante</t>
        </is>
      </c>
      <c r="M41" s="89" t="n"/>
      <c r="N41" s="89" t="inlineStr">
        <is>
          <t>MOISES</t>
        </is>
      </c>
    </row>
    <row r="42">
      <c r="A42" s="96" t="inlineStr">
        <is>
          <t>7689255825619880711</t>
        </is>
      </c>
      <c r="B42" s="98" t="inlineStr">
        <is>
          <t>revlonmexico</t>
        </is>
      </c>
      <c r="C42" s="40" t="inlineStr">
        <is>
          <t>MX</t>
        </is>
      </c>
      <c r="D42" s="39" t="n">
        <v>2159.4</v>
      </c>
      <c r="E42" s="40">
        <f>D42/1.16</f>
        <v/>
      </c>
      <c r="F42" s="40">
        <f>D42/J42</f>
        <v/>
      </c>
      <c r="G42" s="92">
        <f>F42/1.16</f>
        <v/>
      </c>
      <c r="H42" s="92" t="n">
        <v>0</v>
      </c>
      <c r="I42" s="26" t="n">
        <v>3.11</v>
      </c>
      <c r="J42" s="74">
        <f>LET(dec, I42-INT(I42), IF(dec&lt;0.1, INT(I42), IF(dec&lt;=0.7, INT(I42)+0.5, INT(I42)+1)))</f>
        <v/>
      </c>
      <c r="K42" s="93" t="n">
        <v>46289</v>
      </c>
      <c r="L42" s="91" t="inlineStr">
        <is>
          <t>MILI CONCHA</t>
        </is>
      </c>
      <c r="M42" s="89" t="n"/>
      <c r="N42" s="89" t="inlineStr">
        <is>
          <t>MOISES</t>
        </is>
      </c>
    </row>
    <row r="43">
      <c r="A43" s="96" t="inlineStr">
        <is>
          <t>7689874413139266324</t>
        </is>
      </c>
      <c r="B43" s="98" t="inlineStr">
        <is>
          <t>revlonmexico</t>
        </is>
      </c>
      <c r="C43" s="40" t="inlineStr">
        <is>
          <t>MX</t>
        </is>
      </c>
      <c r="D43" s="39" t="n">
        <v>2933.19</v>
      </c>
      <c r="E43" s="40">
        <f>D43/1.16</f>
        <v/>
      </c>
      <c r="F43" s="40">
        <f>D43/J43</f>
        <v/>
      </c>
      <c r="G43" s="92">
        <f>F43/1.16</f>
        <v/>
      </c>
      <c r="H43" s="92" t="n">
        <v>0</v>
      </c>
      <c r="I43" s="26" t="n">
        <v>3</v>
      </c>
      <c r="J43" s="74">
        <f>LET(dec, I43-INT(I43), IF(dec&lt;0.1, INT(I43), IF(dec&lt;=0.7, INT(I43)+0.5, INT(I43)+1)))</f>
        <v/>
      </c>
      <c r="K43" s="93" t="n">
        <v>46291</v>
      </c>
      <c r="L43" s="91" t="inlineStr">
        <is>
          <t>Emily Bustamante</t>
        </is>
      </c>
      <c r="M43" s="89" t="n"/>
      <c r="N43" s="89" t="inlineStr">
        <is>
          <t>MOISES</t>
        </is>
      </c>
    </row>
    <row r="45">
      <c r="A45" s="7" t="inlineStr">
        <is>
          <t>Room ID</t>
        </is>
      </c>
      <c r="B45" s="7" t="inlineStr">
        <is>
          <t>TT Handle</t>
        </is>
      </c>
      <c r="C45" s="7" t="inlineStr">
        <is>
          <t>Country</t>
        </is>
      </c>
      <c r="D45" s="7" t="inlineStr">
        <is>
          <t>GMV</t>
        </is>
      </c>
      <c r="E45" s="7" t="inlineStr">
        <is>
          <t>GMV/sin EVA</t>
        </is>
      </c>
      <c r="F45" s="7" t="inlineStr">
        <is>
          <t>GMV PER HOUR</t>
        </is>
      </c>
      <c r="G45" s="7" t="inlineStr">
        <is>
          <t>GMV PER HOUR/sin EVA</t>
        </is>
      </c>
      <c r="H45" s="7" t="inlineStr">
        <is>
          <t>Ads Cost</t>
        </is>
      </c>
      <c r="I45" s="7" t="inlineStr">
        <is>
          <t>Duration (H)</t>
        </is>
      </c>
      <c r="J45" s="70" t="inlineStr">
        <is>
          <t>Duration （Formula）</t>
        </is>
      </c>
      <c r="K45" s="101" t="inlineStr">
        <is>
          <t>Start date</t>
        </is>
      </c>
      <c r="L45" s="7" t="inlineStr">
        <is>
          <t>HOST 1</t>
        </is>
      </c>
      <c r="M45" s="7" t="inlineStr">
        <is>
          <t xml:space="preserve">HOST 2 </t>
        </is>
      </c>
      <c r="N45" s="7" t="inlineStr">
        <is>
          <t>Operator</t>
        </is>
      </c>
    </row>
    <row r="46">
      <c r="A46" s="96" t="inlineStr">
        <is>
          <t>7690740257956727572</t>
        </is>
      </c>
      <c r="B46" s="98" t="inlineStr">
        <is>
          <t>revlonmexico</t>
        </is>
      </c>
      <c r="C46" s="40" t="inlineStr">
        <is>
          <t>MX</t>
        </is>
      </c>
      <c r="D46" s="39" t="n">
        <v>3429.7</v>
      </c>
      <c r="E46" s="40">
        <f>D46/1.16</f>
        <v/>
      </c>
      <c r="F46" s="40">
        <f>IFERROR(D46/J46,0)</f>
        <v/>
      </c>
      <c r="G46" s="92">
        <f>F46/1.16</f>
        <v/>
      </c>
      <c r="H46" s="92" t="n"/>
      <c r="I46" s="26" t="n">
        <v>3.04</v>
      </c>
      <c r="J46" s="74">
        <f>IF(I46-INT(I46)&lt;0.1,INT(I46),IF(I46-INT(I46)&lt;=0.7,INT(I46)+0.5,INT(I46)+1))</f>
        <v/>
      </c>
      <c r="K46" s="93" t="n">
        <v>46293</v>
      </c>
      <c r="L46" s="91" t="inlineStr">
        <is>
          <t>Emily Bustamante</t>
        </is>
      </c>
      <c r="M46" s="89" t="n"/>
      <c r="N46" s="89" t="inlineStr">
        <is>
          <t>MOISES</t>
        </is>
      </c>
    </row>
    <row r="47">
      <c r="A47" s="96" t="inlineStr">
        <is>
          <t>7693708803850242836</t>
        </is>
      </c>
      <c r="B47" s="98" t="inlineStr">
        <is>
          <t>revlonmexico</t>
        </is>
      </c>
      <c r="C47" s="40" t="inlineStr">
        <is>
          <t>MX</t>
        </is>
      </c>
      <c r="D47" s="39" t="n">
        <v>4225.78</v>
      </c>
      <c r="E47" s="40">
        <f>D47/1.16</f>
        <v/>
      </c>
      <c r="F47" s="40">
        <f>IFERROR(D47/J47,0)</f>
        <v/>
      </c>
      <c r="G47" s="92">
        <f>F47/1.16</f>
        <v/>
      </c>
      <c r="H47" s="92" t="n"/>
      <c r="I47" s="26" t="n">
        <v>3.01</v>
      </c>
      <c r="J47" s="74">
        <f>IF(I47-INT(I47)&lt;0.1,INT(I47),IF(I47-INT(I47)&lt;=0.7,INT(I47)+0.5,INT(I47)+1))</f>
        <v/>
      </c>
      <c r="K47" s="93" t="n">
        <v>46301</v>
      </c>
      <c r="L47" s="91" t="inlineStr">
        <is>
          <t>BRENDA LOPEZ</t>
        </is>
      </c>
      <c r="M47" s="89" t="n"/>
      <c r="N47" s="89" t="inlineStr">
        <is>
          <t>MOISES</t>
        </is>
      </c>
    </row>
    <row r="48">
      <c r="A48" s="96" t="inlineStr">
        <is>
          <t>7694452498953816839</t>
        </is>
      </c>
      <c r="B48" s="98" t="inlineStr">
        <is>
          <t>revlonmexico</t>
        </is>
      </c>
      <c r="C48" s="40" t="inlineStr">
        <is>
          <t>MX</t>
        </is>
      </c>
      <c r="D48" s="39" t="n">
        <v>3271.92</v>
      </c>
      <c r="E48" s="40">
        <f>D48/1.16</f>
        <v/>
      </c>
      <c r="F48" s="40">
        <f>IFERROR(D48/J48,0)</f>
        <v/>
      </c>
      <c r="G48" s="92">
        <f>F48/1.16</f>
        <v/>
      </c>
      <c r="H48" s="92" t="n"/>
      <c r="I48" s="26" t="n">
        <v>3.02</v>
      </c>
      <c r="J48" s="74">
        <f>IF(I48-INT(I48)&lt;0.1,INT(I48),IF(I48-INT(I48)&lt;=0.7,INT(I48)+0.5,INT(I48)+1))</f>
        <v/>
      </c>
      <c r="K48" s="93" t="n">
        <v>46303</v>
      </c>
      <c r="L48" s="91" t="inlineStr">
        <is>
          <t>Emily Bustamante</t>
        </is>
      </c>
      <c r="M48" s="89" t="n"/>
      <c r="N48" s="89" t="inlineStr">
        <is>
          <t>MOISES</t>
        </is>
      </c>
    </row>
    <row r="49">
      <c r="A49" s="96" t="inlineStr">
        <is>
          <t>7696306304524077831</t>
        </is>
      </c>
      <c r="B49" s="98" t="inlineStr">
        <is>
          <t>revlonmexico</t>
        </is>
      </c>
      <c r="C49" s="40" t="inlineStr">
        <is>
          <t>MX</t>
        </is>
      </c>
      <c r="D49" s="39" t="n">
        <v>1880.8</v>
      </c>
      <c r="E49" s="40">
        <f>D49/1.16</f>
        <v/>
      </c>
      <c r="F49" s="40">
        <f>IFERROR(D49/J49,0)</f>
        <v/>
      </c>
      <c r="G49" s="92">
        <f>F49/1.16</f>
        <v/>
      </c>
      <c r="H49" s="92" t="n"/>
      <c r="I49" s="26" t="n">
        <v>3.08</v>
      </c>
      <c r="J49" s="74">
        <f>IF(I49-INT(I49)&lt;0.1,INT(I49),IF(I49-INT(I49)&lt;=0.7,INT(I49)+0.5,INT(I49)+1))</f>
        <v/>
      </c>
      <c r="K49" s="93" t="n">
        <v>46308</v>
      </c>
      <c r="L49" s="91" t="inlineStr">
        <is>
          <t>KARIM</t>
        </is>
      </c>
      <c r="M49" s="89" t="n"/>
      <c r="N49" s="89" t="inlineStr">
        <is>
          <t>MOISES</t>
        </is>
      </c>
    </row>
    <row r="50">
      <c r="A50" s="96" t="inlineStr">
        <is>
          <t>7697048716272618241</t>
        </is>
      </c>
      <c r="B50" s="98" t="inlineStr">
        <is>
          <t>revlonmexico</t>
        </is>
      </c>
      <c r="C50" s="40" t="inlineStr">
        <is>
          <t>MX</t>
        </is>
      </c>
      <c r="D50" s="39" t="n">
        <v>2876.65</v>
      </c>
      <c r="E50" s="40">
        <f>D50/1.16</f>
        <v/>
      </c>
      <c r="F50" s="40">
        <f>IFERROR(D50/J50,0)</f>
        <v/>
      </c>
      <c r="G50" s="92">
        <f>F50/1.16</f>
        <v/>
      </c>
      <c r="H50" s="92" t="n"/>
      <c r="I50" s="26" t="n">
        <v>4</v>
      </c>
      <c r="J50" s="74">
        <f>IF(I50-INT(I50)&lt;0.1,INT(I50),IF(I50-INT(I50)&lt;=0.7,INT(I50)+0.5,INT(I50)+1))</f>
        <v/>
      </c>
      <c r="K50" s="93" t="n">
        <v>46310</v>
      </c>
      <c r="L50" s="91" t="inlineStr">
        <is>
          <t>BRENDA LOPEZ</t>
        </is>
      </c>
      <c r="M50" s="89" t="n"/>
      <c r="N50" s="89" t="inlineStr">
        <is>
          <t>MOISES</t>
        </is>
      </c>
    </row>
    <row r="51">
      <c r="A51" s="96" t="inlineStr">
        <is>
          <t>7697790926735166224</t>
        </is>
      </c>
      <c r="B51" s="98" t="inlineStr">
        <is>
          <t>revlonmexico</t>
        </is>
      </c>
      <c r="C51" s="40" t="inlineStr">
        <is>
          <t>MX</t>
        </is>
      </c>
      <c r="D51" s="39" t="n">
        <v>2571.15</v>
      </c>
      <c r="E51" s="40">
        <f>D51/1.16</f>
        <v/>
      </c>
      <c r="F51" s="40">
        <f>IFERROR(D51/J51,0)</f>
        <v/>
      </c>
      <c r="G51" s="92">
        <f>F51/1.16</f>
        <v/>
      </c>
      <c r="H51" s="92" t="n"/>
      <c r="I51" s="26" t="n">
        <v>3.12</v>
      </c>
      <c r="J51" s="74">
        <f>IF(I51-INT(I51)&lt;0.1,INT(I51),IF(I51-INT(I51)&lt;=0.7,INT(I51)+0.5,INT(I51)+1))</f>
        <v/>
      </c>
      <c r="K51" s="93" t="n">
        <v>46312</v>
      </c>
      <c r="L51" s="91" t="inlineStr">
        <is>
          <t>Emily Bustamante</t>
        </is>
      </c>
      <c r="M51" s="89" t="n"/>
      <c r="N51" s="89" t="inlineStr">
        <is>
          <t>MOISES</t>
        </is>
      </c>
    </row>
    <row r="52">
      <c r="A52" s="96" t="inlineStr">
        <is>
          <t>7698904628225772306</t>
        </is>
      </c>
      <c r="B52" s="98" t="inlineStr">
        <is>
          <t>revlonmexico</t>
        </is>
      </c>
      <c r="C52" s="40" t="inlineStr">
        <is>
          <t>MX</t>
        </is>
      </c>
      <c r="D52" s="39" t="n">
        <v>2400</v>
      </c>
      <c r="E52" s="40">
        <f>D52/1.16</f>
        <v/>
      </c>
      <c r="F52" s="40">
        <f>IFERROR(D52/J52,0)</f>
        <v/>
      </c>
      <c r="G52" s="92">
        <f>F52/1.16</f>
        <v/>
      </c>
      <c r="H52" s="92" t="n"/>
      <c r="I52" s="26" t="n">
        <v>3.04</v>
      </c>
      <c r="J52" s="74">
        <f>IF(I52-INT(I52)&lt;0.1,INT(I52),IF(I52-INT(I52)&lt;=0.7,INT(I52)+0.5,INT(I52)+1))</f>
        <v/>
      </c>
      <c r="K52" s="93" t="n">
        <v>46315</v>
      </c>
      <c r="L52" s="91" t="inlineStr">
        <is>
          <t>KARIM</t>
        </is>
      </c>
      <c r="M52" s="89" t="n"/>
      <c r="N52" s="89" t="inlineStr">
        <is>
          <t>MOISES</t>
        </is>
      </c>
    </row>
    <row r="53">
      <c r="A53" s="96" t="inlineStr">
        <is>
          <t>7699645187568847636</t>
        </is>
      </c>
      <c r="B53" s="98" t="inlineStr">
        <is>
          <t>revlonmexico</t>
        </is>
      </c>
      <c r="C53" s="40" t="inlineStr">
        <is>
          <t>MX</t>
        </is>
      </c>
      <c r="D53" s="39" t="n">
        <v>3466.35</v>
      </c>
      <c r="E53" s="40">
        <f>D53/1.16</f>
        <v/>
      </c>
      <c r="F53" s="40">
        <f>IFERROR(D53/J53,0)</f>
        <v/>
      </c>
      <c r="G53" s="92">
        <f>F53/1.16</f>
        <v/>
      </c>
      <c r="H53" s="92" t="n"/>
      <c r="I53" s="26" t="n">
        <v>3.1</v>
      </c>
      <c r="J53" s="74">
        <f>IF(I53-INT(I53)&lt;0.1,INT(I53),IF(I53-INT(I53)&lt;=0.7,INT(I53)+0.5,INT(I53)+1))</f>
        <v/>
      </c>
      <c r="K53" s="93" t="n">
        <v>46317</v>
      </c>
      <c r="L53" s="91" t="inlineStr">
        <is>
          <t>Emily Bustamante</t>
        </is>
      </c>
      <c r="M53" s="89" t="n"/>
      <c r="N53" s="89" t="inlineStr">
        <is>
          <t>MOISES</t>
        </is>
      </c>
    </row>
    <row r="54">
      <c r="A54" s="96" t="inlineStr">
        <is>
          <t>7700016107565959943</t>
        </is>
      </c>
      <c r="B54" s="98" t="inlineStr">
        <is>
          <t>revlonmexico</t>
        </is>
      </c>
      <c r="C54" s="40" t="inlineStr">
        <is>
          <t>MX</t>
        </is>
      </c>
      <c r="D54" s="39" t="n">
        <v>1576.5</v>
      </c>
      <c r="E54" s="40">
        <f>D54/1.16</f>
        <v/>
      </c>
      <c r="F54" s="40">
        <f>IFERROR(D54/J54,0)</f>
        <v/>
      </c>
      <c r="G54" s="92">
        <f>F54/1.16</f>
        <v/>
      </c>
      <c r="H54" s="92" t="n"/>
      <c r="I54" s="26" t="n">
        <v>3.1</v>
      </c>
      <c r="J54" s="74">
        <f>IF(I54-INT(I54)&lt;0.1,INT(I54),IF(I54-INT(I54)&lt;=0.7,INT(I54)+0.5,INT(I54)+1))</f>
        <v/>
      </c>
      <c r="K54" s="93" t="n">
        <v>46318</v>
      </c>
      <c r="L54" s="91" t="inlineStr">
        <is>
          <t>BRENDA LOPEZ</t>
        </is>
      </c>
      <c r="M54" s="89" t="n"/>
      <c r="N54" s="89" t="inlineStr">
        <is>
          <t>MOISES</t>
        </is>
      </c>
    </row>
    <row r="55">
      <c r="A55" s="96" t="inlineStr">
        <is>
          <t>7701130451062754066</t>
        </is>
      </c>
      <c r="B55" s="98" t="inlineStr">
        <is>
          <t>revlonmexico</t>
        </is>
      </c>
      <c r="C55" s="40" t="inlineStr">
        <is>
          <t>MX</t>
        </is>
      </c>
      <c r="D55" s="39" t="n">
        <v>0</v>
      </c>
      <c r="E55" s="40">
        <f>D55/1.16</f>
        <v/>
      </c>
      <c r="F55" s="40">
        <f>IFERROR(D55/J55,0)</f>
        <v/>
      </c>
      <c r="G55" s="92">
        <f>F55/1.16</f>
        <v/>
      </c>
      <c r="H55" s="92" t="n"/>
      <c r="I55" s="26" t="n">
        <v>0.04</v>
      </c>
      <c r="J55" s="74">
        <f>IF(I55-INT(I55)&lt;0.1,INT(I55),IF(I55-INT(I55)&lt;=0.7,INT(I55)+0.5,INT(I55)+1))</f>
        <v/>
      </c>
      <c r="K55" s="93" t="n">
        <v>46321</v>
      </c>
      <c r="L55" s="91" t="inlineStr">
        <is>
          <t>BRENDA LOPEZ</t>
        </is>
      </c>
      <c r="M55" s="89" t="n"/>
      <c r="N55" s="89" t="inlineStr">
        <is>
          <t>MOISES</t>
        </is>
      </c>
    </row>
    <row r="56">
      <c r="A56" s="96" t="inlineStr">
        <is>
          <t>7701131176820607752</t>
        </is>
      </c>
      <c r="B56" s="98" t="inlineStr">
        <is>
          <t>revlonmexico</t>
        </is>
      </c>
      <c r="C56" s="40" t="inlineStr">
        <is>
          <t>MX</t>
        </is>
      </c>
      <c r="D56" s="39" t="n">
        <v>0</v>
      </c>
      <c r="E56" s="40">
        <f>D56/1.16</f>
        <v/>
      </c>
      <c r="F56" s="40">
        <f>IFERROR(D56/J56,0)</f>
        <v/>
      </c>
      <c r="G56" s="92">
        <f>F56/1.16</f>
        <v/>
      </c>
      <c r="H56" s="92" t="n"/>
      <c r="I56" s="26" t="n">
        <v>0.06</v>
      </c>
      <c r="J56" s="74">
        <f>IF(I56-INT(I56)&lt;0.1,INT(I56),IF(I56-INT(I56)&lt;=0.7,INT(I56)+0.5,INT(I56)+1))</f>
        <v/>
      </c>
      <c r="K56" s="93" t="n">
        <v>46321</v>
      </c>
      <c r="L56" s="91" t="inlineStr">
        <is>
          <t>BRENDA LOPEZ</t>
        </is>
      </c>
      <c r="M56" s="89" t="n"/>
      <c r="N56" s="89" t="inlineStr">
        <is>
          <t>MOISES</t>
        </is>
      </c>
    </row>
    <row r="57">
      <c r="A57" s="96" t="inlineStr">
        <is>
          <t>7701132019296242440</t>
        </is>
      </c>
      <c r="B57" s="98" t="inlineStr">
        <is>
          <t>revlonmexico</t>
        </is>
      </c>
      <c r="C57" s="40" t="inlineStr">
        <is>
          <t>MX</t>
        </is>
      </c>
      <c r="D57" s="39" t="n">
        <v>2832.77</v>
      </c>
      <c r="E57" s="40">
        <f>D57/1.16</f>
        <v/>
      </c>
      <c r="F57" s="40">
        <f>IFERROR(D57/J57,0)</f>
        <v/>
      </c>
      <c r="G57" s="92">
        <f>F57/1.16</f>
        <v/>
      </c>
      <c r="H57" s="92" t="n"/>
      <c r="I57" s="26" t="n">
        <v>3.01</v>
      </c>
      <c r="J57" s="74">
        <f>IF(I57-INT(I57)&lt;0.1,INT(I57),IF(I57-INT(I57)&lt;=0.7,INT(I57)+0.5,INT(I57)+1))</f>
        <v/>
      </c>
      <c r="K57" s="93" t="n">
        <v>46321</v>
      </c>
      <c r="L57" s="91" t="inlineStr">
        <is>
          <t>BRENDA LOPEZ</t>
        </is>
      </c>
      <c r="M57" s="89" t="n"/>
      <c r="N57" s="89" t="inlineStr">
        <is>
          <t>MOISES</t>
        </is>
      </c>
    </row>
  </sheetData>
  <dataValidations count="2">
    <dataValidation sqref="L2:M2 L3:L6 L10:L11 L13 L15:L16 L22 L25:L28 L32:L34" showDropDown="0" showInputMessage="0" showErrorMessage="1" allowBlank="1" type="list">
      <formula1>"AISHA,MILLY"</formula1>
    </dataValidation>
    <dataValidation sqref="L12 L14 L19:L21 L23:L24 L29 L35:L43 L46:L57" showDropDown="0" showInputMessage="0" showErrorMessage="1" allowBlank="1" type="list">
      <formula1>"EMILIANO,JORGE,CLAUDIA,EMILIA,MILI CONCHA,Emily Bustamante"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N16"/>
  <sheetViews>
    <sheetView workbookViewId="0">
      <selection activeCell="A1" sqref="A1"/>
    </sheetView>
  </sheetViews>
  <sheetFormatPr baseColWidth="8" defaultColWidth="12.63" defaultRowHeight="15.75" customHeight="1"/>
  <cols>
    <col width="19.25" customWidth="1" style="118" min="1" max="1"/>
    <col width="14.38" customWidth="1" style="118" min="2" max="2"/>
    <col width="15" customWidth="1" style="118" min="12" max="12"/>
    <col width="16.25" customWidth="1" style="118" min="14" max="14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70" t="inlineStr">
        <is>
          <t>Duration （Formula）</t>
        </is>
      </c>
      <c r="K1" s="58" t="inlineStr">
        <is>
          <t>Start date</t>
        </is>
      </c>
      <c r="L1" s="71" t="inlineStr">
        <is>
          <t>HOST 1</t>
        </is>
      </c>
      <c r="M1" s="71" t="inlineStr">
        <is>
          <t xml:space="preserve">HOST 2 </t>
        </is>
      </c>
      <c r="N1" s="71" t="inlineStr">
        <is>
          <t>Operator</t>
        </is>
      </c>
    </row>
    <row r="2">
      <c r="A2" s="96" t="inlineStr">
        <is>
          <t>7666175319883533077</t>
        </is>
      </c>
      <c r="B2" s="103" t="inlineStr">
        <is>
          <t>nexusstoreoficial</t>
        </is>
      </c>
      <c r="C2" s="40" t="inlineStr">
        <is>
          <t>MX</t>
        </is>
      </c>
      <c r="D2" s="39" t="n">
        <v>8291.57</v>
      </c>
      <c r="E2" s="40">
        <f>D2/1.16</f>
        <v/>
      </c>
      <c r="F2" s="40">
        <f>D2/J2</f>
        <v/>
      </c>
      <c r="G2" s="40">
        <f>F2/1.16</f>
        <v/>
      </c>
      <c r="H2" s="92" t="n">
        <v>0</v>
      </c>
      <c r="I2" s="26" t="n">
        <v>4</v>
      </c>
      <c r="J2" s="74" t="n">
        <v>4</v>
      </c>
      <c r="K2" s="93" t="n">
        <v>46227</v>
      </c>
      <c r="L2" s="89" t="inlineStr">
        <is>
          <t>FRANSISCO GARCIA</t>
        </is>
      </c>
      <c r="M2" s="89" t="inlineStr">
        <is>
          <t>NADIA</t>
        </is>
      </c>
      <c r="N2" s="38" t="inlineStr">
        <is>
          <t>RODRIGO LOPEZ</t>
        </is>
      </c>
    </row>
    <row r="4">
      <c r="A4" s="7" t="inlineStr">
        <is>
          <t>Room ID</t>
        </is>
      </c>
      <c r="B4" s="7" t="inlineStr">
        <is>
          <t>TT Handle</t>
        </is>
      </c>
      <c r="C4" s="7" t="inlineStr">
        <is>
          <t>Country</t>
        </is>
      </c>
      <c r="D4" s="7" t="inlineStr">
        <is>
          <t>GMV</t>
        </is>
      </c>
      <c r="E4" s="7" t="inlineStr">
        <is>
          <t>GMV/sin EVA</t>
        </is>
      </c>
      <c r="F4" s="7" t="inlineStr">
        <is>
          <t>GMV PER HOUR</t>
        </is>
      </c>
      <c r="G4" s="7" t="inlineStr">
        <is>
          <t>GMV PER HOUR/sin EVA</t>
        </is>
      </c>
      <c r="H4" s="7" t="inlineStr">
        <is>
          <t>Ads Cost</t>
        </is>
      </c>
      <c r="I4" s="7" t="inlineStr">
        <is>
          <t>Duration (H)</t>
        </is>
      </c>
      <c r="J4" s="70" t="inlineStr">
        <is>
          <t>Duration （Formula）</t>
        </is>
      </c>
      <c r="K4" s="58" t="inlineStr">
        <is>
          <t>Start date</t>
        </is>
      </c>
      <c r="L4" s="71" t="inlineStr">
        <is>
          <t>HOST 1</t>
        </is>
      </c>
      <c r="M4" s="71" t="inlineStr">
        <is>
          <t xml:space="preserve">HOST 2 </t>
        </is>
      </c>
      <c r="N4" s="71" t="inlineStr">
        <is>
          <t>Operator</t>
        </is>
      </c>
    </row>
    <row r="5">
      <c r="A5" s="96" t="inlineStr">
        <is>
          <t>7667655698567187218</t>
        </is>
      </c>
      <c r="B5" s="98" t="inlineStr">
        <is>
          <t>nexusstoreoficial</t>
        </is>
      </c>
      <c r="C5" s="40" t="inlineStr">
        <is>
          <t>MX</t>
        </is>
      </c>
      <c r="D5" s="100" t="n">
        <v>28136.27</v>
      </c>
      <c r="E5" s="40">
        <f>D5/1.16</f>
        <v/>
      </c>
      <c r="F5" s="40">
        <f>D5/J5</f>
        <v/>
      </c>
      <c r="G5" s="40">
        <f>F5/1.16</f>
        <v/>
      </c>
      <c r="H5" s="92" t="n">
        <v>0</v>
      </c>
      <c r="I5" s="26" t="n">
        <v>4</v>
      </c>
      <c r="J5" s="74" t="n">
        <v>4</v>
      </c>
      <c r="K5" s="93" t="n">
        <v>46231</v>
      </c>
      <c r="L5" s="36" t="inlineStr">
        <is>
          <t>AISHA</t>
        </is>
      </c>
      <c r="M5" s="89" t="n"/>
      <c r="N5" s="38" t="inlineStr">
        <is>
          <t>RODRIGO LOPEZ</t>
        </is>
      </c>
    </row>
    <row r="6">
      <c r="A6" s="96" t="inlineStr">
        <is>
          <t>7668768878004833031</t>
        </is>
      </c>
      <c r="B6" s="98" t="inlineStr">
        <is>
          <t>nexusstoreoficial</t>
        </is>
      </c>
      <c r="C6" s="40" t="inlineStr">
        <is>
          <t>MX</t>
        </is>
      </c>
      <c r="D6" s="100" t="n">
        <v>53456.53</v>
      </c>
      <c r="E6" s="40">
        <f>D6/1.16</f>
        <v/>
      </c>
      <c r="F6" s="40">
        <f>D6/J6</f>
        <v/>
      </c>
      <c r="G6" s="40">
        <f>F6/1.16</f>
        <v/>
      </c>
      <c r="H6" s="92" t="n">
        <v>0</v>
      </c>
      <c r="I6" s="26" t="n">
        <v>4</v>
      </c>
      <c r="J6" s="74" t="n">
        <v>4</v>
      </c>
      <c r="K6" s="93" t="n">
        <v>46234</v>
      </c>
      <c r="L6" s="36" t="inlineStr">
        <is>
          <t>AISHA</t>
        </is>
      </c>
      <c r="M6" s="89" t="n"/>
      <c r="N6" s="38" t="inlineStr">
        <is>
          <t>RODRIGO LOPEZ</t>
        </is>
      </c>
    </row>
    <row r="7">
      <c r="A7" s="96" t="inlineStr">
        <is>
          <t>7670253137659906824</t>
        </is>
      </c>
      <c r="B7" s="98" t="inlineStr">
        <is>
          <t>nexusstoreoficial</t>
        </is>
      </c>
      <c r="C7" s="40" t="inlineStr">
        <is>
          <t>MX</t>
        </is>
      </c>
      <c r="D7" s="100" t="n">
        <v>30326.34</v>
      </c>
      <c r="E7" s="40">
        <f>D7/1.16</f>
        <v/>
      </c>
      <c r="F7" s="40">
        <f>D7/J7</f>
        <v/>
      </c>
      <c r="G7" s="40">
        <f>F7/1.16</f>
        <v/>
      </c>
      <c r="H7" s="92" t="n">
        <v>0</v>
      </c>
      <c r="I7" s="26" t="n">
        <v>4</v>
      </c>
      <c r="J7" s="74" t="n">
        <v>4</v>
      </c>
      <c r="K7" s="93" t="n">
        <v>46238</v>
      </c>
      <c r="L7" s="91" t="inlineStr">
        <is>
          <t>EMILIANO</t>
        </is>
      </c>
      <c r="M7" s="89" t="n"/>
      <c r="N7" s="38" t="inlineStr">
        <is>
          <t>RODRIGO LOPEZ</t>
        </is>
      </c>
    </row>
    <row r="8">
      <c r="A8" s="96" t="inlineStr">
        <is>
          <t>7670995268355132181</t>
        </is>
      </c>
      <c r="B8" s="98" t="inlineStr">
        <is>
          <t>nexusstoreoficial</t>
        </is>
      </c>
      <c r="C8" s="40" t="inlineStr">
        <is>
          <t>MX</t>
        </is>
      </c>
      <c r="D8" s="100" t="n">
        <v>44187.08</v>
      </c>
      <c r="E8" s="40">
        <f>D8/1.16</f>
        <v/>
      </c>
      <c r="F8" s="40">
        <f>D8/J8</f>
        <v/>
      </c>
      <c r="G8" s="40">
        <f>F8/1.16</f>
        <v/>
      </c>
      <c r="H8" s="92" t="n">
        <v>0</v>
      </c>
      <c r="I8" s="26" t="n">
        <v>4</v>
      </c>
      <c r="J8" s="74" t="n">
        <v>4</v>
      </c>
      <c r="K8" s="93" t="n">
        <v>46240</v>
      </c>
      <c r="L8" s="36" t="inlineStr">
        <is>
          <t>AISHA</t>
        </is>
      </c>
      <c r="M8" s="89" t="n"/>
      <c r="N8" s="38" t="inlineStr">
        <is>
          <t>RODRIGO LOPEZ</t>
        </is>
      </c>
    </row>
    <row r="9">
      <c r="A9" s="96" t="inlineStr">
        <is>
          <t>7672850534794382087</t>
        </is>
      </c>
      <c r="B9" s="98" t="inlineStr">
        <is>
          <t>nexusstoreoficial</t>
        </is>
      </c>
      <c r="C9" s="40" t="inlineStr">
        <is>
          <t>MX</t>
        </is>
      </c>
      <c r="D9" s="100" t="n">
        <v>59897.33</v>
      </c>
      <c r="E9" s="40">
        <f>D9/1.16</f>
        <v/>
      </c>
      <c r="F9" s="40">
        <f>D9/J9</f>
        <v/>
      </c>
      <c r="G9" s="40">
        <f>F9/1.16</f>
        <v/>
      </c>
      <c r="H9" s="92" t="n">
        <v>0</v>
      </c>
      <c r="I9" s="26" t="n">
        <v>4</v>
      </c>
      <c r="J9" s="74" t="n">
        <v>4</v>
      </c>
      <c r="K9" s="93" t="n">
        <v>46245</v>
      </c>
      <c r="L9" s="36" t="inlineStr">
        <is>
          <t>AISHA</t>
        </is>
      </c>
      <c r="M9" s="89" t="n"/>
      <c r="N9" s="38" t="inlineStr">
        <is>
          <t>RODRIGO LOPEZ</t>
        </is>
      </c>
    </row>
    <row r="10">
      <c r="A10" s="96" t="inlineStr">
        <is>
          <t>7673592655817689874</t>
        </is>
      </c>
      <c r="B10" s="98" t="inlineStr">
        <is>
          <t>nexusstoreoficial</t>
        </is>
      </c>
      <c r="C10" s="40" t="inlineStr">
        <is>
          <t>MX</t>
        </is>
      </c>
      <c r="D10" s="100" t="n">
        <v>13039.86</v>
      </c>
      <c r="E10" s="40">
        <f>D10/1.16</f>
        <v/>
      </c>
      <c r="F10" s="40">
        <f>D10/J10</f>
        <v/>
      </c>
      <c r="G10" s="40">
        <f>F10/1.16</f>
        <v/>
      </c>
      <c r="H10" s="92" t="n">
        <v>1925.05</v>
      </c>
      <c r="I10" s="26" t="n">
        <v>4</v>
      </c>
      <c r="J10" s="74" t="n">
        <v>4</v>
      </c>
      <c r="K10" s="93" t="n">
        <v>46247</v>
      </c>
      <c r="L10" s="36" t="inlineStr">
        <is>
          <t>AISHA</t>
        </is>
      </c>
      <c r="M10" s="89" t="n"/>
      <c r="N10" s="38" t="inlineStr">
        <is>
          <t>RODRIGO LOPEZ</t>
        </is>
      </c>
    </row>
    <row r="11">
      <c r="A11" s="96" t="inlineStr">
        <is>
          <t>7673963828514622228</t>
        </is>
      </c>
      <c r="B11" s="98" t="inlineStr">
        <is>
          <t>nexusstoreoficial</t>
        </is>
      </c>
      <c r="C11" s="40" t="inlineStr">
        <is>
          <t>MX</t>
        </is>
      </c>
      <c r="D11" s="100" t="n">
        <v>23080.64</v>
      </c>
      <c r="E11" s="40">
        <f>D11/1.16</f>
        <v/>
      </c>
      <c r="F11" s="40">
        <f>D11/J11</f>
        <v/>
      </c>
      <c r="G11" s="40">
        <f>F11/1.16</f>
        <v/>
      </c>
      <c r="H11" s="92" t="n">
        <v>2983.63</v>
      </c>
      <c r="I11" s="26" t="n">
        <v>4</v>
      </c>
      <c r="J11" s="74" t="n">
        <v>4</v>
      </c>
      <c r="K11" s="93" t="n">
        <v>46248</v>
      </c>
      <c r="L11" s="36" t="inlineStr">
        <is>
          <t>AISHA</t>
        </is>
      </c>
      <c r="M11" s="89" t="n"/>
      <c r="N11" s="38" t="inlineStr">
        <is>
          <t>RODRIGO LOPEZ</t>
        </is>
      </c>
    </row>
    <row r="12">
      <c r="A12" s="96" t="inlineStr">
        <is>
          <t>7674381167484619541</t>
        </is>
      </c>
      <c r="B12" s="98" t="inlineStr">
        <is>
          <t>nexusstoreoficial</t>
        </is>
      </c>
      <c r="C12" s="40" t="inlineStr">
        <is>
          <t>MX</t>
        </is>
      </c>
      <c r="D12" s="100" t="n">
        <v>83473.60000000001</v>
      </c>
      <c r="E12" s="40">
        <f>D12/1.16</f>
        <v/>
      </c>
      <c r="F12" s="40">
        <f>D12/J12</f>
        <v/>
      </c>
      <c r="G12" s="40">
        <f>F12/1.16</f>
        <v/>
      </c>
      <c r="H12" s="92" t="n">
        <v>4990.38</v>
      </c>
      <c r="I12" s="26" t="n">
        <v>4</v>
      </c>
      <c r="J12" s="74" t="n">
        <v>4</v>
      </c>
      <c r="K12" s="93" t="n">
        <v>46249</v>
      </c>
      <c r="L12" s="36" t="inlineStr">
        <is>
          <t>AISHA</t>
        </is>
      </c>
      <c r="M12" s="89" t="n"/>
      <c r="N12" s="38" t="inlineStr">
        <is>
          <t>RODRIGO LOPEZ</t>
        </is>
      </c>
    </row>
    <row r="13">
      <c r="A13" s="96" t="inlineStr">
        <is>
          <t>7675077114218957586</t>
        </is>
      </c>
      <c r="B13" s="98" t="inlineStr">
        <is>
          <t>nexusstoreoficial</t>
        </is>
      </c>
      <c r="C13" s="40" t="inlineStr">
        <is>
          <t>MX</t>
        </is>
      </c>
      <c r="D13" s="100" t="n">
        <v>57852.03</v>
      </c>
      <c r="E13" s="40">
        <f>D13/1.16</f>
        <v/>
      </c>
      <c r="F13" s="40">
        <f>D13/J13</f>
        <v/>
      </c>
      <c r="G13" s="40">
        <f>F13/1.16</f>
        <v/>
      </c>
      <c r="H13" s="92" t="n">
        <v>4646.41</v>
      </c>
      <c r="I13" s="26" t="n">
        <v>4</v>
      </c>
      <c r="J13" s="74" t="n">
        <v>4</v>
      </c>
      <c r="K13" s="93" t="n">
        <v>46251</v>
      </c>
      <c r="L13" s="36" t="inlineStr">
        <is>
          <t>AISHA</t>
        </is>
      </c>
      <c r="M13" s="89" t="n"/>
      <c r="N13" s="38" t="inlineStr">
        <is>
          <t>RODRIGO LOPEZ</t>
        </is>
      </c>
    </row>
    <row r="14">
      <c r="A14" s="96" t="inlineStr">
        <is>
          <t>7675448231962102549</t>
        </is>
      </c>
      <c r="B14" s="98" t="inlineStr">
        <is>
          <t>nexusstoreoficial</t>
        </is>
      </c>
      <c r="C14" s="40" t="inlineStr">
        <is>
          <t>MX</t>
        </is>
      </c>
      <c r="D14" s="100" t="n">
        <v>67514.92999999999</v>
      </c>
      <c r="E14" s="40">
        <f>D14/1.16</f>
        <v/>
      </c>
      <c r="F14" s="40">
        <f>D14/J14</f>
        <v/>
      </c>
      <c r="G14" s="40">
        <f>F14/1.16</f>
        <v/>
      </c>
      <c r="H14" s="92" t="n">
        <v>4984.11</v>
      </c>
      <c r="I14" s="26" t="n">
        <v>4</v>
      </c>
      <c r="J14" s="74" t="n">
        <v>4</v>
      </c>
      <c r="K14" s="93" t="n">
        <v>46252</v>
      </c>
      <c r="L14" s="36" t="inlineStr">
        <is>
          <t>AISHA</t>
        </is>
      </c>
      <c r="M14" s="89" t="n"/>
      <c r="N14" s="38" t="inlineStr">
        <is>
          <t>RODRIGO LOPEZ</t>
        </is>
      </c>
    </row>
    <row r="15">
      <c r="A15" s="96" t="inlineStr">
        <is>
          <t>7675819315639765781</t>
        </is>
      </c>
      <c r="B15" s="98" t="inlineStr">
        <is>
          <t>nexusstoreoficial</t>
        </is>
      </c>
      <c r="C15" s="40" t="inlineStr">
        <is>
          <t>MX</t>
        </is>
      </c>
      <c r="D15" s="100" t="n">
        <v>56506.09</v>
      </c>
      <c r="E15" s="40">
        <f>D15/1.16</f>
        <v/>
      </c>
      <c r="F15" s="40">
        <f>D15/J15</f>
        <v/>
      </c>
      <c r="G15" s="40">
        <f>F15/1.16</f>
        <v/>
      </c>
      <c r="H15" s="92" t="n">
        <v>2782.51</v>
      </c>
      <c r="I15" s="26" t="n">
        <v>4</v>
      </c>
      <c r="J15" s="74" t="n">
        <v>4</v>
      </c>
      <c r="K15" s="93" t="n">
        <v>46253</v>
      </c>
      <c r="L15" s="36" t="inlineStr">
        <is>
          <t>AISHA</t>
        </is>
      </c>
      <c r="M15" s="89" t="n"/>
      <c r="N15" s="38" t="inlineStr">
        <is>
          <t>RODRIGO LOPEZ</t>
        </is>
      </c>
    </row>
    <row r="16">
      <c r="A16" s="96" t="inlineStr">
        <is>
          <t>7678045950353214228</t>
        </is>
      </c>
      <c r="B16" s="98" t="inlineStr">
        <is>
          <t>nexusstoreoficial</t>
        </is>
      </c>
      <c r="C16" s="40" t="inlineStr">
        <is>
          <t>MX</t>
        </is>
      </c>
      <c r="D16" s="100" t="n">
        <v>28524.91</v>
      </c>
      <c r="E16" s="40">
        <f>D16/1.16</f>
        <v/>
      </c>
      <c r="F16" s="40">
        <f>D16/J16</f>
        <v/>
      </c>
      <c r="G16" s="40">
        <f>F16/1.16</f>
        <v/>
      </c>
      <c r="H16" s="92" t="n">
        <v>0</v>
      </c>
      <c r="I16" s="26" t="n">
        <v>4</v>
      </c>
      <c r="J16" s="74" t="n">
        <v>4</v>
      </c>
      <c r="K16" s="93" t="n">
        <v>46259</v>
      </c>
      <c r="L16" s="36" t="inlineStr">
        <is>
          <t>AISHA</t>
        </is>
      </c>
      <c r="M16" s="89" t="n"/>
      <c r="N16" s="38" t="inlineStr">
        <is>
          <t>RODRIGO LOPEZ</t>
        </is>
      </c>
    </row>
  </sheetData>
  <dataValidations count="3">
    <dataValidation sqref="L2:M2" showDropDown="0" showInputMessage="0" showErrorMessage="1" allowBlank="1" type="list">
      <formula1>"FRANSISCO GARCIA,NADIA"</formula1>
    </dataValidation>
    <dataValidation sqref="L7" showDropDown="0" showInputMessage="0" showErrorMessage="1" allowBlank="1" type="list">
      <formula1>"EMILIANO,JORGE,CLAUDIA,EMILIA,MILI CONCHA"</formula1>
    </dataValidation>
    <dataValidation sqref="L5:L6 L8:L16" showDropDown="0" showInputMessage="0" showErrorMessage="1" allowBlank="1" type="list">
      <formula1>"AISHA"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N11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18" min="1" max="1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70" t="inlineStr">
        <is>
          <t>Duration （Formula）</t>
        </is>
      </c>
      <c r="K1" s="58" t="inlineStr">
        <is>
          <t>Start date</t>
        </is>
      </c>
      <c r="L1" s="71" t="inlineStr">
        <is>
          <t>HOST 1</t>
        </is>
      </c>
      <c r="M1" s="71" t="inlineStr">
        <is>
          <t xml:space="preserve">HOST 2 </t>
        </is>
      </c>
      <c r="N1" s="71" t="inlineStr">
        <is>
          <t>Operator</t>
        </is>
      </c>
    </row>
    <row r="2">
      <c r="A2" s="96" t="inlineStr">
        <is>
          <t>7682136647142017812</t>
        </is>
      </c>
      <c r="B2" s="104" t="inlineStr">
        <is>
          <t>priceonline.mx</t>
        </is>
      </c>
      <c r="C2" s="40" t="inlineStr">
        <is>
          <t>MX</t>
        </is>
      </c>
      <c r="D2" s="39" t="n">
        <v>9923.33</v>
      </c>
      <c r="E2" s="40">
        <f>D2/1.16</f>
        <v/>
      </c>
      <c r="F2" s="40">
        <f>D2/J2</f>
        <v/>
      </c>
      <c r="G2" s="40">
        <f>F2/1.16</f>
        <v/>
      </c>
      <c r="H2" s="92" t="n">
        <v>0</v>
      </c>
      <c r="I2" s="74" t="n">
        <v>3.03</v>
      </c>
      <c r="J2" s="74">
        <f>LET(dec, I2-INT(I2), IF(dec&lt;0.1, INT(I2), IF(dec&lt;=0.7, INT(I2)+0.5, INT(I2)+1)))</f>
        <v/>
      </c>
      <c r="K2" s="93" t="n">
        <v>46270</v>
      </c>
      <c r="L2" s="89" t="inlineStr">
        <is>
          <t>Sara Yoshimi</t>
        </is>
      </c>
      <c r="M2" s="89" t="n"/>
      <c r="N2" s="38" t="inlineStr">
        <is>
          <t>RODRIGO LOPEZ</t>
        </is>
      </c>
    </row>
    <row r="3">
      <c r="A3" s="96" t="inlineStr">
        <is>
          <t>7682962909259402005</t>
        </is>
      </c>
      <c r="B3" s="104" t="inlineStr">
        <is>
          <t>priceonline.mx</t>
        </is>
      </c>
      <c r="C3" s="40" t="inlineStr">
        <is>
          <t>MX</t>
        </is>
      </c>
      <c r="D3" s="39" t="n">
        <v>12783.09</v>
      </c>
      <c r="E3" s="40">
        <f>D3/1.16</f>
        <v/>
      </c>
      <c r="F3" s="40">
        <f>D3/J3</f>
        <v/>
      </c>
      <c r="G3" s="40">
        <f>F3/1.16</f>
        <v/>
      </c>
      <c r="H3" s="92" t="n">
        <v>0</v>
      </c>
      <c r="I3" s="74" t="n">
        <v>3</v>
      </c>
      <c r="J3" s="74">
        <f>LET(dec, I3-INT(I3), IF(dec&lt;0.1, INT(I3), IF(dec&lt;=0.7, INT(I3)+0.5, INT(I3)+1)))</f>
        <v/>
      </c>
      <c r="K3" s="93" t="n">
        <v>46272</v>
      </c>
      <c r="L3" s="89" t="inlineStr">
        <is>
          <t>Sara Yoshimi</t>
        </is>
      </c>
      <c r="M3" s="89" t="n"/>
      <c r="N3" s="38" t="inlineStr">
        <is>
          <t>RODRIGO LOPEZ</t>
        </is>
      </c>
    </row>
    <row r="4">
      <c r="A4" s="96" t="inlineStr">
        <is>
          <t>7684075978269035285</t>
        </is>
      </c>
      <c r="B4" s="104" t="inlineStr">
        <is>
          <t>priceonline.mx</t>
        </is>
      </c>
      <c r="C4" s="40" t="inlineStr">
        <is>
          <t>MX</t>
        </is>
      </c>
      <c r="D4" s="39" t="n">
        <v>8848.15</v>
      </c>
      <c r="E4" s="40">
        <f>D4/1.16</f>
        <v/>
      </c>
      <c r="F4" s="40">
        <f>D4/J4</f>
        <v/>
      </c>
      <c r="G4" s="40">
        <f>F4/1.16</f>
        <v/>
      </c>
      <c r="H4" s="92" t="n">
        <v>0</v>
      </c>
      <c r="I4" s="74" t="n">
        <v>3</v>
      </c>
      <c r="J4" s="74">
        <f>LET(dec, I4-INT(I4), IF(dec&lt;0.1, INT(I4), IF(dec&lt;=0.7, INT(I4)+0.5, INT(I4)+1)))</f>
        <v/>
      </c>
      <c r="K4" s="93" t="n">
        <v>46275</v>
      </c>
      <c r="L4" s="89" t="inlineStr">
        <is>
          <t>Sara Yoshimi</t>
        </is>
      </c>
      <c r="M4" s="89" t="n"/>
      <c r="N4" s="38" t="inlineStr">
        <is>
          <t>RODRIGO LOPEZ</t>
        </is>
      </c>
    </row>
    <row r="5">
      <c r="A5" s="96" t="inlineStr">
        <is>
          <t>7684416310058519317</t>
        </is>
      </c>
      <c r="B5" s="104" t="inlineStr">
        <is>
          <t>priceonline.mx</t>
        </is>
      </c>
      <c r="C5" s="40" t="inlineStr">
        <is>
          <t>MX</t>
        </is>
      </c>
      <c r="D5" s="39" t="n">
        <v>3412.5</v>
      </c>
      <c r="E5" s="40">
        <f>D5/1.16</f>
        <v/>
      </c>
      <c r="F5" s="40">
        <f>D5/J5</f>
        <v/>
      </c>
      <c r="G5" s="40">
        <f>F5/1.16</f>
        <v/>
      </c>
      <c r="H5" s="92" t="n">
        <v>0</v>
      </c>
      <c r="I5" s="74" t="n">
        <v>4</v>
      </c>
      <c r="J5" s="74">
        <f>LET(dec, I5-INT(I5), IF(dec&lt;0.1, INT(I5), IF(dec&lt;=0.7, INT(I5)+0.5, INT(I5)+1)))</f>
        <v/>
      </c>
      <c r="K5" s="93" t="n">
        <v>46276</v>
      </c>
      <c r="L5" s="89" t="inlineStr">
        <is>
          <t>Sara Yoshimi</t>
        </is>
      </c>
      <c r="M5" s="89" t="n"/>
      <c r="N5" s="38" t="inlineStr">
        <is>
          <t>RODRIGO LOPEZ</t>
        </is>
      </c>
    </row>
    <row r="6">
      <c r="A6" s="96" t="inlineStr">
        <is>
          <t>7685544953032592149</t>
        </is>
      </c>
      <c r="B6" s="104" t="inlineStr">
        <is>
          <t>priceonline.mx</t>
        </is>
      </c>
      <c r="C6" s="40" t="inlineStr">
        <is>
          <t>MX</t>
        </is>
      </c>
      <c r="D6" s="39" t="n">
        <v>4708.7</v>
      </c>
      <c r="E6" s="40">
        <f>D6/1.16</f>
        <v/>
      </c>
      <c r="F6" s="40">
        <f>D6/J6</f>
        <v/>
      </c>
      <c r="G6" s="40">
        <f>F6/1.16</f>
        <v/>
      </c>
      <c r="H6" s="92" t="n">
        <v>0</v>
      </c>
      <c r="I6" s="74" t="n">
        <v>4</v>
      </c>
      <c r="J6" s="74">
        <f>LET(dec, I6-INT(I6), IF(dec&lt;0.1, INT(I6), IF(dec&lt;=0.7, INT(I6)+0.5, INT(I6)+1)))</f>
        <v/>
      </c>
      <c r="K6" s="93" t="n">
        <v>46279</v>
      </c>
      <c r="L6" s="89" t="inlineStr">
        <is>
          <t>Sara Yoshimi</t>
        </is>
      </c>
      <c r="M6" s="89" t="n"/>
      <c r="N6" s="38" t="inlineStr">
        <is>
          <t>RODRIGO LOPEZ</t>
        </is>
      </c>
    </row>
    <row r="7">
      <c r="A7" s="96" t="inlineStr">
        <is>
          <t>7686658265047960327</t>
        </is>
      </c>
      <c r="B7" s="104" t="inlineStr">
        <is>
          <t>priceonline.mx</t>
        </is>
      </c>
      <c r="C7" s="40" t="inlineStr">
        <is>
          <t>MX</t>
        </is>
      </c>
      <c r="D7" s="39" t="n">
        <v>6651.4</v>
      </c>
      <c r="E7" s="40">
        <f>D7/1.16</f>
        <v/>
      </c>
      <c r="F7" s="40">
        <f>D7/J7</f>
        <v/>
      </c>
      <c r="G7" s="40">
        <f>F7/1.16</f>
        <v/>
      </c>
      <c r="H7" s="92" t="n">
        <v>0</v>
      </c>
      <c r="I7" s="74" t="n">
        <v>4</v>
      </c>
      <c r="J7" s="74">
        <f>LET(dec, I7-INT(I7), IF(dec&lt;0.1, INT(I7), IF(dec&lt;=0.7, INT(I7)+0.5, INT(I7)+1)))</f>
        <v/>
      </c>
      <c r="K7" s="93" t="n">
        <v>46282</v>
      </c>
      <c r="L7" s="89" t="inlineStr">
        <is>
          <t>Sara Yoshimi</t>
        </is>
      </c>
      <c r="M7" s="89" t="n"/>
      <c r="N7" s="38" t="inlineStr">
        <is>
          <t>RODRIGO LOPEZ</t>
        </is>
      </c>
    </row>
    <row r="8">
      <c r="A8" s="96" t="inlineStr">
        <is>
          <t>7687029399470934804</t>
        </is>
      </c>
      <c r="B8" s="104" t="inlineStr">
        <is>
          <t>priceonline.mx</t>
        </is>
      </c>
      <c r="C8" s="40" t="inlineStr">
        <is>
          <t>MX</t>
        </is>
      </c>
      <c r="D8" s="39" t="n">
        <v>10531.5</v>
      </c>
      <c r="E8" s="40">
        <f>D8/1.16</f>
        <v/>
      </c>
      <c r="F8" s="40">
        <f>D8/J8</f>
        <v/>
      </c>
      <c r="G8" s="40">
        <f>F8/1.16</f>
        <v/>
      </c>
      <c r="H8" s="92" t="n">
        <v>0</v>
      </c>
      <c r="I8" s="74" t="n">
        <v>3.04</v>
      </c>
      <c r="J8" s="74">
        <f>LET(dec, I8-INT(I8), IF(dec&lt;0.1, INT(I8), IF(dec&lt;=0.7, INT(I8)+0.5, INT(I8)+1)))</f>
        <v/>
      </c>
      <c r="K8" s="93" t="n">
        <v>46283</v>
      </c>
      <c r="L8" s="89" t="inlineStr">
        <is>
          <t>Sara Yoshimi</t>
        </is>
      </c>
      <c r="M8" s="89" t="n"/>
      <c r="N8" s="38" t="inlineStr">
        <is>
          <t>RODRIGO LOPEZ</t>
        </is>
      </c>
    </row>
    <row r="9">
      <c r="A9" s="96" t="inlineStr">
        <is>
          <t>7688142897274686228</t>
        </is>
      </c>
      <c r="B9" s="104" t="inlineStr">
        <is>
          <t>priceonline.mx</t>
        </is>
      </c>
      <c r="C9" s="40" t="inlineStr">
        <is>
          <t>MX</t>
        </is>
      </c>
      <c r="D9" s="39" t="n">
        <v>5109.43</v>
      </c>
      <c r="E9" s="40">
        <f>D9/1.16</f>
        <v/>
      </c>
      <c r="F9" s="40">
        <f>D9/J9</f>
        <v/>
      </c>
      <c r="G9" s="40">
        <f>F9/1.16</f>
        <v/>
      </c>
      <c r="H9" s="92" t="n">
        <v>0</v>
      </c>
      <c r="I9" s="74" t="n">
        <v>3</v>
      </c>
      <c r="J9" s="74">
        <f>LET(dec, I9-INT(I9), IF(dec&lt;0.1, INT(I9), IF(dec&lt;=0.7, INT(I9)+0.5, INT(I9)+1)))</f>
        <v/>
      </c>
      <c r="K9" s="93" t="n">
        <v>46286</v>
      </c>
      <c r="L9" s="89" t="inlineStr">
        <is>
          <t>Sara Yoshimi</t>
        </is>
      </c>
      <c r="M9" s="89" t="n"/>
      <c r="N9" s="38" t="inlineStr">
        <is>
          <t>RODRIGO LOPEZ</t>
        </is>
      </c>
    </row>
    <row r="10">
      <c r="A10" s="96" t="inlineStr">
        <is>
          <t>7688884764140374804</t>
        </is>
      </c>
      <c r="B10" s="104" t="inlineStr">
        <is>
          <t>priceonline.mx</t>
        </is>
      </c>
      <c r="C10" s="40" t="inlineStr">
        <is>
          <t>MX</t>
        </is>
      </c>
      <c r="D10" s="39" t="n">
        <v>12393.86</v>
      </c>
      <c r="E10" s="40">
        <f>D10/1.16</f>
        <v/>
      </c>
      <c r="F10" s="40">
        <f>D10/J10</f>
        <v/>
      </c>
      <c r="G10" s="40">
        <f>F10/1.16</f>
        <v/>
      </c>
      <c r="H10" s="92" t="n">
        <v>0</v>
      </c>
      <c r="I10" s="74" t="n">
        <v>3.07</v>
      </c>
      <c r="J10" s="74">
        <f>LET(dec, I10-INT(I10), IF(dec&lt;0.1, INT(I10), IF(dec&lt;=0.7, INT(I10)+0.5, INT(I10)+1)))</f>
        <v/>
      </c>
      <c r="K10" s="93" t="n">
        <v>46288</v>
      </c>
      <c r="L10" s="89" t="inlineStr">
        <is>
          <t>Alejandra Pier</t>
        </is>
      </c>
      <c r="M10" s="89" t="n"/>
      <c r="N10" s="38" t="inlineStr">
        <is>
          <t>RODRIGO LOPEZ</t>
        </is>
      </c>
    </row>
    <row r="11">
      <c r="A11" s="96" t="inlineStr">
        <is>
          <t>7689626918001969940</t>
        </is>
      </c>
      <c r="B11" s="104" t="inlineStr">
        <is>
          <t>priceonline.mx</t>
        </is>
      </c>
      <c r="C11" s="40" t="inlineStr">
        <is>
          <t>MX</t>
        </is>
      </c>
      <c r="D11" s="39" t="n">
        <v>15070.89</v>
      </c>
      <c r="E11" s="40">
        <f>D11/1.16</f>
        <v/>
      </c>
      <c r="F11" s="40">
        <f>D11/J11</f>
        <v/>
      </c>
      <c r="G11" s="40">
        <f>F11/1.16</f>
        <v/>
      </c>
      <c r="H11" s="92" t="n">
        <v>0</v>
      </c>
      <c r="I11" s="74" t="n">
        <v>3.1</v>
      </c>
      <c r="J11" s="74">
        <f>LET(dec, I11-INT(I11), IF(dec&lt;0.1, INT(I11), IF(dec&lt;=0.7, INT(I11)+0.5, INT(I11)+1)))</f>
        <v/>
      </c>
      <c r="K11" s="93" t="n">
        <v>46290</v>
      </c>
      <c r="L11" s="89" t="inlineStr">
        <is>
          <t>Alejandra Pier</t>
        </is>
      </c>
      <c r="M11" s="89" t="n"/>
      <c r="N11" s="89" t="inlineStr">
        <is>
          <t>MOISES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C966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118" min="1" max="1"/>
    <col width="13.75" customWidth="1" style="118" min="11" max="11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28" t="inlineStr">
        <is>
          <t>Duration （Formula）</t>
        </is>
      </c>
      <c r="K1" s="105" t="inlineStr">
        <is>
          <t>Start date</t>
        </is>
      </c>
      <c r="L1" s="71" t="inlineStr">
        <is>
          <t>HOST 1</t>
        </is>
      </c>
      <c r="M1" s="71" t="inlineStr">
        <is>
          <t xml:space="preserve">HOST 2 </t>
        </is>
      </c>
      <c r="N1" s="71" t="inlineStr">
        <is>
          <t>HOST 3</t>
        </is>
      </c>
      <c r="O1" s="71" t="inlineStr">
        <is>
          <t>Operator</t>
        </is>
      </c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  <c r="AC1" s="59" t="n"/>
    </row>
    <row r="2">
      <c r="A2" s="85" t="inlineStr">
        <is>
          <t>7633818714357418760</t>
        </is>
      </c>
      <c r="B2" s="85" t="inlineStr">
        <is>
          <t>rey_selecto</t>
        </is>
      </c>
      <c r="C2" s="85" t="inlineStr">
        <is>
          <t>MX</t>
        </is>
      </c>
      <c r="D2" s="86" t="n">
        <v>140531.25</v>
      </c>
      <c r="E2" s="40">
        <f>D2/1.16</f>
        <v/>
      </c>
      <c r="F2" s="86" t="n">
        <v>21864.06</v>
      </c>
      <c r="G2" s="40">
        <f>F2/1.16</f>
        <v/>
      </c>
      <c r="H2" s="87" t="n">
        <v>0</v>
      </c>
      <c r="I2" s="85" t="n">
        <v>6</v>
      </c>
      <c r="J2" s="89">
        <f>LET(dec, I2-INT(I2), IF(dec&lt;0.1, INT(I2), IF(dec&lt;=0.7, INT(I2)+0.5, INT(I2)+1)))</f>
        <v/>
      </c>
      <c r="K2" s="90" t="n">
        <v>46140</v>
      </c>
      <c r="L2" s="85" t="inlineStr">
        <is>
          <t>DAVID</t>
        </is>
      </c>
      <c r="M2" s="96" t="n"/>
      <c r="N2" s="96" t="n"/>
      <c r="O2" s="110" t="inlineStr">
        <is>
          <t>JUAN PABLO</t>
        </is>
      </c>
      <c r="P2" s="107" t="n"/>
      <c r="Q2" s="107" t="n"/>
      <c r="R2" s="107" t="n"/>
      <c r="S2" s="107" t="n"/>
      <c r="T2" s="107" t="n"/>
      <c r="U2" s="107" t="n"/>
      <c r="V2" s="107" t="n"/>
      <c r="W2" s="107" t="n"/>
      <c r="X2" s="107" t="n"/>
      <c r="Y2" s="107" t="n"/>
      <c r="Z2" s="107" t="n"/>
      <c r="AA2" s="107" t="n"/>
      <c r="AB2" s="107" t="n"/>
      <c r="AC2" s="107" t="n"/>
    </row>
    <row r="3">
      <c r="A3" s="85" t="inlineStr">
        <is>
          <t>7634197169515268871</t>
        </is>
      </c>
      <c r="B3" s="85" t="inlineStr">
        <is>
          <t>rey_selecto</t>
        </is>
      </c>
      <c r="C3" s="85" t="inlineStr">
        <is>
          <t>MX</t>
        </is>
      </c>
      <c r="D3" s="86" t="n">
        <v>143383.55</v>
      </c>
      <c r="E3" s="40">
        <f>D3/1.16</f>
        <v/>
      </c>
      <c r="F3" s="86" t="n">
        <v>19547.12</v>
      </c>
      <c r="G3" s="40">
        <f>F3/1.16</f>
        <v/>
      </c>
      <c r="H3" s="87" t="n">
        <v>0</v>
      </c>
      <c r="I3" s="85" t="n">
        <v>6</v>
      </c>
      <c r="J3" s="89">
        <f>LET(dec, I3-INT(I3), IF(dec&lt;0.1, INT(I3), IF(dec&lt;=0.7, INT(I3)+0.5, INT(I3)+1)))</f>
        <v/>
      </c>
      <c r="K3" s="90" t="n">
        <v>46141</v>
      </c>
      <c r="L3" s="85" t="inlineStr">
        <is>
          <t>DAVID</t>
        </is>
      </c>
      <c r="M3" s="96" t="n"/>
      <c r="N3" s="96" t="n"/>
      <c r="O3" s="110" t="inlineStr">
        <is>
          <t>JUAN PABLO</t>
        </is>
      </c>
      <c r="P3" s="107" t="n"/>
      <c r="Q3" s="107" t="n"/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</row>
    <row r="4">
      <c r="A4" s="85" t="inlineStr">
        <is>
          <t>7634564282404752135</t>
        </is>
      </c>
      <c r="B4" s="85" t="inlineStr">
        <is>
          <t>rey_selecto</t>
        </is>
      </c>
      <c r="C4" s="85" t="inlineStr">
        <is>
          <t>MX</t>
        </is>
      </c>
      <c r="D4" s="86" t="n">
        <v>189594</v>
      </c>
      <c r="E4" s="40">
        <f>D4/1.16</f>
        <v/>
      </c>
      <c r="F4" s="86" t="n">
        <v>26243.35</v>
      </c>
      <c r="G4" s="40">
        <f>F4/1.16</f>
        <v/>
      </c>
      <c r="H4" s="87" t="n">
        <v>0</v>
      </c>
      <c r="I4" s="85" t="n">
        <v>6</v>
      </c>
      <c r="J4" s="89">
        <f>LET(dec, I4-INT(I4), IF(dec&lt;0.1, INT(I4), IF(dec&lt;=0.7, INT(I4)+0.5, INT(I4)+1)))</f>
        <v/>
      </c>
      <c r="K4" s="90" t="n">
        <v>46142</v>
      </c>
      <c r="L4" s="85" t="inlineStr">
        <is>
          <t>DAVID</t>
        </is>
      </c>
      <c r="M4" s="111" t="n"/>
      <c r="N4" s="111" t="n"/>
      <c r="O4" s="110" t="inlineStr">
        <is>
          <t>JUAN PABLO</t>
        </is>
      </c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</row>
    <row r="5">
      <c r="A5" s="85" t="inlineStr">
        <is>
          <t>7636049148764654344</t>
        </is>
      </c>
      <c r="B5" s="85" t="inlineStr">
        <is>
          <t>rey_selecto</t>
        </is>
      </c>
      <c r="C5" s="85" t="inlineStr">
        <is>
          <t>MX</t>
        </is>
      </c>
      <c r="D5" s="86" t="n">
        <v>322371.98</v>
      </c>
      <c r="E5" s="40">
        <f>D5/1.16</f>
        <v/>
      </c>
      <c r="F5" s="86" t="n">
        <v>39568.45</v>
      </c>
      <c r="G5" s="40">
        <f>F5/1.16</f>
        <v/>
      </c>
      <c r="H5" s="87" t="n">
        <v>0</v>
      </c>
      <c r="I5" s="109" t="n">
        <v>6.23306</v>
      </c>
      <c r="J5" s="89" t="n">
        <v>6</v>
      </c>
      <c r="K5" s="90" t="n">
        <v>46146</v>
      </c>
      <c r="L5" s="85" t="inlineStr">
        <is>
          <t>DAVID</t>
        </is>
      </c>
      <c r="M5" s="111" t="n"/>
      <c r="N5" s="111" t="n"/>
      <c r="O5" s="110" t="inlineStr">
        <is>
          <t>JUAN PABLO</t>
        </is>
      </c>
      <c r="P5" s="107" t="n"/>
      <c r="Q5" s="107" t="n"/>
      <c r="R5" s="107" t="n"/>
      <c r="S5" s="107" t="n"/>
      <c r="T5" s="107" t="n"/>
      <c r="U5" s="107" t="n"/>
      <c r="V5" s="107" t="n"/>
      <c r="W5" s="107" t="n"/>
      <c r="X5" s="107" t="n"/>
      <c r="Y5" s="107" t="n"/>
      <c r="Z5" s="107" t="n"/>
      <c r="AA5" s="107" t="n"/>
      <c r="AB5" s="107" t="n"/>
      <c r="AC5" s="107" t="n"/>
    </row>
    <row r="6">
      <c r="A6" s="85" t="inlineStr">
        <is>
          <t>7636417559851551496</t>
        </is>
      </c>
      <c r="B6" s="85" t="inlineStr">
        <is>
          <t>rey_selecto</t>
        </is>
      </c>
      <c r="C6" s="85" t="inlineStr">
        <is>
          <t>MX</t>
        </is>
      </c>
      <c r="D6" s="86" t="n">
        <v>84385.50999999999</v>
      </c>
      <c r="E6" s="40">
        <f>D6/1.16</f>
        <v/>
      </c>
      <c r="F6" s="86" t="n">
        <v>16380.72</v>
      </c>
      <c r="G6" s="40">
        <f>F6/1.16</f>
        <v/>
      </c>
      <c r="H6" s="87" t="n">
        <v>0</v>
      </c>
      <c r="I6" s="109" t="n">
        <v>5.015</v>
      </c>
      <c r="J6" s="89">
        <f>LET(dec, I6-INT(I6), IF(dec&lt;0.1, INT(I6), IF(dec&lt;=0.7, INT(I6)+0.5, INT(I6)+1)))</f>
        <v/>
      </c>
      <c r="K6" s="90" t="n">
        <v>46147</v>
      </c>
      <c r="L6" s="85" t="inlineStr">
        <is>
          <t>DAVID</t>
        </is>
      </c>
      <c r="M6" s="111" t="n"/>
      <c r="N6" s="111" t="n"/>
      <c r="O6" s="110" t="inlineStr">
        <is>
          <t>JUAN PABLO</t>
        </is>
      </c>
      <c r="P6" s="107" t="n"/>
      <c r="Q6" s="107" t="n"/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</row>
    <row r="7">
      <c r="A7" s="85" t="inlineStr">
        <is>
          <t>7636789241757862674</t>
        </is>
      </c>
      <c r="B7" s="85" t="inlineStr">
        <is>
          <t>rey_selecto</t>
        </is>
      </c>
      <c r="C7" s="85" t="inlineStr">
        <is>
          <t>MX</t>
        </is>
      </c>
      <c r="D7" s="86" t="n">
        <v>82365.94</v>
      </c>
      <c r="E7" s="40">
        <f>D7/1.16</f>
        <v/>
      </c>
      <c r="F7" s="86" t="n">
        <v>13338.08</v>
      </c>
      <c r="G7" s="40">
        <f>F7/1.16</f>
        <v/>
      </c>
      <c r="H7" s="87" t="n">
        <v>0</v>
      </c>
      <c r="I7" s="109" t="n">
        <v>6.27528</v>
      </c>
      <c r="J7" s="89" t="n">
        <v>6</v>
      </c>
      <c r="K7" s="90" t="n">
        <v>46148</v>
      </c>
      <c r="L7" s="85" t="inlineStr">
        <is>
          <t>DAVID</t>
        </is>
      </c>
      <c r="M7" s="111" t="n"/>
      <c r="N7" s="111" t="n"/>
      <c r="O7" s="110" t="inlineStr">
        <is>
          <t>JUAN PABLO</t>
        </is>
      </c>
      <c r="P7" s="107" t="n"/>
      <c r="Q7" s="107" t="n"/>
      <c r="R7" s="107" t="n"/>
      <c r="S7" s="107" t="n"/>
      <c r="T7" s="107" t="n"/>
      <c r="U7" s="107" t="n"/>
      <c r="V7" s="107" t="n"/>
      <c r="W7" s="107" t="n"/>
      <c r="X7" s="107" t="n"/>
      <c r="Y7" s="107" t="n"/>
      <c r="Z7" s="107" t="n"/>
      <c r="AA7" s="107" t="n"/>
      <c r="AB7" s="107" t="n"/>
      <c r="AC7" s="107" t="n"/>
    </row>
    <row r="8">
      <c r="A8" s="85" t="inlineStr">
        <is>
          <t>7637160041962867463</t>
        </is>
      </c>
      <c r="B8" s="85" t="inlineStr">
        <is>
          <t>rey_selecto</t>
        </is>
      </c>
      <c r="C8" s="85" t="inlineStr">
        <is>
          <t>MX</t>
        </is>
      </c>
      <c r="D8" s="86" t="n">
        <v>66070.28</v>
      </c>
      <c r="E8" s="40">
        <f>D8/1.16</f>
        <v/>
      </c>
      <c r="F8" s="86" t="n">
        <v>13477.72</v>
      </c>
      <c r="G8" s="40">
        <f>F8/1.16</f>
        <v/>
      </c>
      <c r="H8" s="87" t="n">
        <v>0</v>
      </c>
      <c r="I8" s="109" t="n">
        <v>5.095</v>
      </c>
      <c r="J8" s="89">
        <f>LET(dec, I8-INT(I8), IF(dec&lt;0.1, INT(I8), IF(dec&lt;=0.7, INT(I8)+0.5, INT(I8)+1)))</f>
        <v/>
      </c>
      <c r="K8" s="90" t="n">
        <v>46149</v>
      </c>
      <c r="L8" s="85" t="inlineStr">
        <is>
          <t>DAVID</t>
        </is>
      </c>
      <c r="M8" s="110" t="n"/>
      <c r="N8" s="110" t="n"/>
      <c r="O8" s="110" t="inlineStr">
        <is>
          <t>JUAN PABLO</t>
        </is>
      </c>
      <c r="P8" s="107" t="n"/>
      <c r="Q8" s="107" t="n"/>
      <c r="R8" s="107" t="n"/>
      <c r="S8" s="107" t="n"/>
      <c r="T8" s="107" t="n"/>
      <c r="U8" s="107" t="n"/>
      <c r="V8" s="107" t="n"/>
      <c r="W8" s="107" t="n"/>
      <c r="X8" s="107" t="n"/>
      <c r="Y8" s="107" t="n"/>
      <c r="Z8" s="107" t="n"/>
      <c r="AA8" s="107" t="n"/>
      <c r="AB8" s="107" t="n"/>
      <c r="AC8" s="107" t="n"/>
    </row>
    <row r="9">
      <c r="A9" s="85" t="inlineStr">
        <is>
          <t>7637532393633401608</t>
        </is>
      </c>
      <c r="B9" s="85" t="inlineStr">
        <is>
          <t>rey_selecto</t>
        </is>
      </c>
      <c r="C9" s="85" t="inlineStr">
        <is>
          <t>MX</t>
        </is>
      </c>
      <c r="D9" s="86" t="n">
        <v>158592.03</v>
      </c>
      <c r="E9" s="40">
        <f>D9/1.16</f>
        <v/>
      </c>
      <c r="F9" s="86" t="n">
        <v>19657.46</v>
      </c>
      <c r="G9" s="40">
        <f>F9/1.16</f>
        <v/>
      </c>
      <c r="H9" s="87" t="n">
        <v>0</v>
      </c>
      <c r="I9" s="109" t="n">
        <v>8.112780000000001</v>
      </c>
      <c r="J9" s="89" t="n">
        <v>8</v>
      </c>
      <c r="K9" s="90" t="n">
        <v>46150</v>
      </c>
      <c r="L9" s="85" t="inlineStr">
        <is>
          <t>DAVID</t>
        </is>
      </c>
      <c r="M9" s="111" t="n"/>
      <c r="N9" s="111" t="n"/>
      <c r="O9" s="110" t="inlineStr">
        <is>
          <t>JUAN PABLO</t>
        </is>
      </c>
      <c r="P9" s="107" t="n"/>
      <c r="Q9" s="107" t="n"/>
      <c r="R9" s="107" t="n"/>
      <c r="S9" s="107" t="n"/>
      <c r="T9" s="107" t="n"/>
      <c r="U9" s="107" t="n"/>
      <c r="V9" s="107" t="n"/>
      <c r="W9" s="107" t="n"/>
      <c r="X9" s="107" t="n"/>
      <c r="Y9" s="107" t="n"/>
      <c r="Z9" s="107" t="n"/>
      <c r="AA9" s="107" t="n"/>
      <c r="AB9" s="107" t="n"/>
      <c r="AC9" s="107" t="n"/>
    </row>
    <row r="10">
      <c r="A10" s="85" t="inlineStr">
        <is>
          <t>7638649738620865288</t>
        </is>
      </c>
      <c r="B10" s="85" t="inlineStr">
        <is>
          <t>rey_selecto</t>
        </is>
      </c>
      <c r="C10" s="85" t="inlineStr">
        <is>
          <t>MX</t>
        </is>
      </c>
      <c r="D10" s="86" t="n">
        <v>140793</v>
      </c>
      <c r="E10" s="40">
        <f>D10/1.16</f>
        <v/>
      </c>
      <c r="F10" s="86" t="n">
        <v>21360.55</v>
      </c>
      <c r="G10" s="40">
        <f>F10/1.16</f>
        <v/>
      </c>
      <c r="H10" s="87" t="n">
        <v>0</v>
      </c>
      <c r="I10" s="109" t="n">
        <v>7.04639</v>
      </c>
      <c r="J10" s="89">
        <f>LET(dec, I10-INT(I10), IF(dec&lt;0.1, INT(I10), IF(dec&lt;=0.7, INT(I10)+0.5, INT(I10)+1)))</f>
        <v/>
      </c>
      <c r="K10" s="90" t="n">
        <v>46153</v>
      </c>
      <c r="L10" s="85" t="inlineStr">
        <is>
          <t>DAVID</t>
        </is>
      </c>
      <c r="M10" s="111" t="n"/>
      <c r="N10" s="111" t="n"/>
      <c r="O10" s="110" t="inlineStr">
        <is>
          <t>JUAN PABLO</t>
        </is>
      </c>
      <c r="P10" s="107" t="n"/>
      <c r="Q10" s="107" t="n"/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</row>
    <row r="11">
      <c r="A11" s="85" t="inlineStr">
        <is>
          <t>7639020388484418322</t>
        </is>
      </c>
      <c r="B11" s="85" t="inlineStr">
        <is>
          <t>rey_selecto</t>
        </is>
      </c>
      <c r="C11" s="85" t="inlineStr">
        <is>
          <t>MX</t>
        </is>
      </c>
      <c r="D11" s="86" t="n">
        <v>87213</v>
      </c>
      <c r="E11" s="40">
        <f>D11/1.16</f>
        <v/>
      </c>
      <c r="F11" s="86" t="n">
        <v>14532.18</v>
      </c>
      <c r="G11" s="40">
        <f>F11/1.16</f>
        <v/>
      </c>
      <c r="H11" s="87" t="n">
        <v>0</v>
      </c>
      <c r="I11" s="109" t="n">
        <v>6.00139</v>
      </c>
      <c r="J11" s="89">
        <f>LET(dec, I11-INT(I11), IF(dec&lt;0.1, INT(I11), IF(dec&lt;=0.7, INT(I11)+0.5, INT(I11)+1)))</f>
        <v/>
      </c>
      <c r="K11" s="90" t="n">
        <v>46154</v>
      </c>
      <c r="L11" s="85" t="inlineStr">
        <is>
          <t>DAVID</t>
        </is>
      </c>
      <c r="M11" s="111" t="n"/>
      <c r="N11" s="111" t="n"/>
      <c r="O11" s="110" t="inlineStr">
        <is>
          <t>JUAN PABLO</t>
        </is>
      </c>
      <c r="P11" s="107" t="n"/>
      <c r="Q11" s="107" t="n"/>
      <c r="R11" s="107" t="n"/>
      <c r="S11" s="107" t="n"/>
      <c r="T11" s="107" t="n"/>
      <c r="U11" s="107" t="n"/>
      <c r="V11" s="107" t="n"/>
      <c r="W11" s="107" t="n"/>
      <c r="X11" s="107" t="n"/>
      <c r="Y11" s="107" t="n"/>
      <c r="Z11" s="107" t="n"/>
      <c r="AA11" s="107" t="n"/>
      <c r="AB11" s="107" t="n"/>
      <c r="AC11" s="107" t="n"/>
    </row>
    <row r="12">
      <c r="A12" s="85" t="inlineStr">
        <is>
          <t>7639393143695805191</t>
        </is>
      </c>
      <c r="B12" s="85" t="inlineStr">
        <is>
          <t>rey_selecto</t>
        </is>
      </c>
      <c r="C12" s="85" t="inlineStr">
        <is>
          <t>MX</t>
        </is>
      </c>
      <c r="D12" s="86" t="n">
        <v>87932</v>
      </c>
      <c r="E12" s="40">
        <f>D12/1.16</f>
        <v/>
      </c>
      <c r="F12" s="86" t="n">
        <v>14643.77</v>
      </c>
      <c r="G12" s="40">
        <f>F12/1.16</f>
        <v/>
      </c>
      <c r="H12" s="87" t="n">
        <v>0</v>
      </c>
      <c r="I12" s="85" t="n">
        <v>6</v>
      </c>
      <c r="J12" s="89">
        <f>LET(dec, I12-INT(I12), IF(dec&lt;0.1, INT(I12), IF(dec&lt;=0.7, INT(I12)+0.5, INT(I12)+1)))</f>
        <v/>
      </c>
      <c r="K12" s="90" t="n">
        <v>46155</v>
      </c>
      <c r="L12" s="85" t="inlineStr">
        <is>
          <t>DAVID</t>
        </is>
      </c>
      <c r="M12" s="111" t="n"/>
      <c r="N12" s="111" t="n"/>
      <c r="O12" s="110" t="inlineStr">
        <is>
          <t>JUAN PABLO</t>
        </is>
      </c>
      <c r="P12" s="107" t="n"/>
      <c r="Q12" s="107" t="n"/>
      <c r="R12" s="107" t="n"/>
      <c r="S12" s="107" t="n"/>
      <c r="T12" s="107" t="n"/>
      <c r="U12" s="107" t="n"/>
      <c r="V12" s="107" t="n"/>
      <c r="W12" s="107" t="n"/>
      <c r="X12" s="107" t="n"/>
      <c r="Y12" s="107" t="n"/>
      <c r="Z12" s="107" t="n"/>
      <c r="AA12" s="107" t="n"/>
      <c r="AB12" s="107" t="n"/>
      <c r="AC12" s="107" t="n"/>
    </row>
    <row r="13">
      <c r="A13" s="85" t="inlineStr">
        <is>
          <t>7639739023532378898</t>
        </is>
      </c>
      <c r="B13" s="85" t="inlineStr">
        <is>
          <t>rey_selecto</t>
        </is>
      </c>
      <c r="C13" s="85" t="inlineStr">
        <is>
          <t>MX</t>
        </is>
      </c>
      <c r="D13" s="86" t="n">
        <v>54972</v>
      </c>
      <c r="E13" s="40">
        <f>D13/1.16</f>
        <v/>
      </c>
      <c r="F13" s="86" t="n">
        <v>10797.58</v>
      </c>
      <c r="G13" s="40">
        <f>F13/1.16</f>
        <v/>
      </c>
      <c r="H13" s="87" t="n">
        <v>0</v>
      </c>
      <c r="I13" s="85" t="n">
        <v>5</v>
      </c>
      <c r="J13" s="89">
        <f>LET(dec, I13-INT(I13), IF(dec&lt;0.1, INT(I13), IF(dec&lt;=0.7, INT(I13)+0.5, INT(I13)+1)))</f>
        <v/>
      </c>
      <c r="K13" s="90" t="n">
        <v>46156</v>
      </c>
      <c r="L13" s="85" t="inlineStr">
        <is>
          <t>DAVID</t>
        </is>
      </c>
      <c r="M13" s="111" t="n"/>
      <c r="N13" s="111" t="n"/>
      <c r="O13" s="110" t="inlineStr">
        <is>
          <t>JUAN PABLO</t>
        </is>
      </c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107" t="n"/>
      <c r="AB13" s="107" t="n"/>
      <c r="AC13" s="107" t="n"/>
    </row>
    <row r="14">
      <c r="A14" s="85" t="inlineStr">
        <is>
          <t>7640132256317246226</t>
        </is>
      </c>
      <c r="B14" s="85" t="inlineStr">
        <is>
          <t>rey_selecto</t>
        </is>
      </c>
      <c r="C14" s="85" t="inlineStr">
        <is>
          <t>MX</t>
        </is>
      </c>
      <c r="D14" s="86" t="n">
        <v>274535</v>
      </c>
      <c r="E14" s="40">
        <f>D14/1.16</f>
        <v/>
      </c>
      <c r="F14" s="86" t="n">
        <v>39163.32</v>
      </c>
      <c r="G14" s="40">
        <f>F14/1.16</f>
        <v/>
      </c>
      <c r="H14" s="87" t="n">
        <v>0</v>
      </c>
      <c r="I14" s="85" t="n">
        <v>7</v>
      </c>
      <c r="J14" s="89">
        <f>LET(dec, I14-INT(I14), IF(dec&lt;0.1, INT(I14), IF(dec&lt;=0.7, INT(I14)+0.5, INT(I14)+1)))</f>
        <v/>
      </c>
      <c r="K14" s="90" t="n">
        <v>46157</v>
      </c>
      <c r="L14" s="85" t="inlineStr">
        <is>
          <t>DAVID</t>
        </is>
      </c>
      <c r="M14" s="111" t="n"/>
      <c r="N14" s="111" t="n"/>
      <c r="O14" s="110" t="inlineStr">
        <is>
          <t>JUAN PABLO</t>
        </is>
      </c>
      <c r="P14" s="107" t="n"/>
      <c r="Q14" s="107" t="n"/>
      <c r="R14" s="107" t="n"/>
      <c r="S14" s="107" t="n"/>
      <c r="T14" s="107" t="n"/>
      <c r="U14" s="107" t="n"/>
      <c r="V14" s="107" t="n"/>
      <c r="W14" s="107" t="n"/>
      <c r="X14" s="107" t="n"/>
      <c r="Y14" s="107" t="n"/>
      <c r="Z14" s="107" t="n"/>
      <c r="AA14" s="107" t="n"/>
      <c r="AB14" s="107" t="n"/>
      <c r="AC14" s="107" t="n"/>
    </row>
    <row r="15">
      <c r="A15" s="85" t="inlineStr">
        <is>
          <t>7640930763189947143</t>
        </is>
      </c>
      <c r="B15" s="85" t="inlineStr">
        <is>
          <t>rey_selecto</t>
        </is>
      </c>
      <c r="C15" s="85" t="inlineStr">
        <is>
          <t>MX</t>
        </is>
      </c>
      <c r="D15" s="86" t="n">
        <v>115554</v>
      </c>
      <c r="E15" s="40">
        <f>D15/1.16</f>
        <v/>
      </c>
      <c r="F15" s="86" t="n">
        <v>16342.94</v>
      </c>
      <c r="G15" s="40">
        <f>F15/1.16</f>
        <v/>
      </c>
      <c r="H15" s="87" t="n">
        <v>0</v>
      </c>
      <c r="I15" s="85" t="n">
        <v>7</v>
      </c>
      <c r="J15" s="89">
        <f>LET(dec, I15-INT(I15), IF(dec&lt;0.1, INT(I15), IF(dec&lt;=0.7, INT(I15)+0.5, INT(I15)+1)))</f>
        <v/>
      </c>
      <c r="K15" s="90" t="n">
        <v>46159</v>
      </c>
      <c r="L15" s="85" t="inlineStr">
        <is>
          <t>DAVID</t>
        </is>
      </c>
      <c r="M15" s="111" t="n"/>
      <c r="N15" s="111" t="n"/>
      <c r="O15" s="110" t="inlineStr">
        <is>
          <t>JUAN PABLO</t>
        </is>
      </c>
      <c r="P15" s="107" t="n"/>
      <c r="Q15" s="107" t="n"/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</row>
    <row r="16">
      <c r="A16" s="85" t="inlineStr">
        <is>
          <t>7641243193096915720</t>
        </is>
      </c>
      <c r="B16" s="85" t="inlineStr">
        <is>
          <t>rey_selecto</t>
        </is>
      </c>
      <c r="C16" s="85" t="inlineStr">
        <is>
          <t>MX</t>
        </is>
      </c>
      <c r="D16" s="86" t="n">
        <v>133956</v>
      </c>
      <c r="E16" s="40">
        <f>D16/1.16</f>
        <v/>
      </c>
      <c r="F16" s="86" t="n">
        <v>19072.94</v>
      </c>
      <c r="G16" s="40">
        <f>F16/1.16</f>
        <v/>
      </c>
      <c r="H16" s="87" t="n">
        <v>0</v>
      </c>
      <c r="I16" s="85" t="n">
        <v>7</v>
      </c>
      <c r="J16" s="89">
        <f>LET(dec, I16-INT(I16), IF(dec&lt;0.1, INT(I16), IF(dec&lt;=0.7, INT(I16)+0.5, INT(I16)+1)))</f>
        <v/>
      </c>
      <c r="K16" s="90" t="n">
        <v>46160</v>
      </c>
      <c r="L16" s="85" t="inlineStr">
        <is>
          <t>DAVID</t>
        </is>
      </c>
      <c r="M16" s="111" t="n"/>
      <c r="N16" s="111" t="n"/>
      <c r="O16" s="110" t="inlineStr">
        <is>
          <t>JUAN PABLO</t>
        </is>
      </c>
      <c r="P16" s="107" t="n"/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</row>
    <row r="17">
      <c r="A17" s="85" t="inlineStr">
        <is>
          <t>7641613182726228744</t>
        </is>
      </c>
      <c r="B17" s="85" t="inlineStr">
        <is>
          <t>rey_selecto</t>
        </is>
      </c>
      <c r="C17" s="85" t="inlineStr">
        <is>
          <t>MX</t>
        </is>
      </c>
      <c r="D17" s="86" t="n">
        <v>76542</v>
      </c>
      <c r="E17" s="40">
        <f>D17/1.16</f>
        <v/>
      </c>
      <c r="F17" s="86" t="n">
        <v>12733.93</v>
      </c>
      <c r="G17" s="40">
        <f>F17/1.16</f>
        <v/>
      </c>
      <c r="H17" s="87" t="n">
        <v>0</v>
      </c>
      <c r="I17" s="85" t="n">
        <v>6</v>
      </c>
      <c r="J17" s="89">
        <f>LET(dec, I17-INT(I17), IF(dec&lt;0.1, INT(I17), IF(dec&lt;=0.7, INT(I17)+0.5, INT(I17)+1)))</f>
        <v/>
      </c>
      <c r="K17" s="90" t="n">
        <v>46161</v>
      </c>
      <c r="L17" s="85" t="inlineStr">
        <is>
          <t>DAVID</t>
        </is>
      </c>
      <c r="M17" s="111" t="n"/>
      <c r="N17" s="111" t="n"/>
      <c r="O17" s="110" t="inlineStr">
        <is>
          <t>JUAN PABLO</t>
        </is>
      </c>
      <c r="P17" s="107" t="n"/>
      <c r="Q17" s="107" t="n"/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</row>
    <row r="18">
      <c r="A18" s="85" t="inlineStr">
        <is>
          <t>7641982698668706568</t>
        </is>
      </c>
      <c r="B18" s="85" t="inlineStr">
        <is>
          <t>rey_selecto</t>
        </is>
      </c>
      <c r="C18" s="85" t="inlineStr">
        <is>
          <t>MX</t>
        </is>
      </c>
      <c r="D18" s="86" t="n">
        <v>98394</v>
      </c>
      <c r="E18" s="40">
        <f>D18/1.16</f>
        <v/>
      </c>
      <c r="F18" s="86" t="n">
        <v>14637.79</v>
      </c>
      <c r="G18" s="40">
        <f>F18/1.16</f>
        <v/>
      </c>
      <c r="H18" s="87" t="n">
        <v>0</v>
      </c>
      <c r="I18" s="85" t="n">
        <v>6</v>
      </c>
      <c r="J18" s="89">
        <f>LET(dec, I18-INT(I18), IF(dec&lt;0.1, INT(I18), IF(dec&lt;=0.7, INT(I18)+0.5, INT(I18)+1)))</f>
        <v/>
      </c>
      <c r="K18" s="90" t="n">
        <v>46162</v>
      </c>
      <c r="L18" s="85" t="inlineStr">
        <is>
          <t>DAVID</t>
        </is>
      </c>
      <c r="M18" s="111" t="n"/>
      <c r="N18" s="111" t="n"/>
      <c r="O18" s="110" t="inlineStr">
        <is>
          <t>JUAN PABLO</t>
        </is>
      </c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</row>
    <row r="19">
      <c r="A19" s="85" t="inlineStr">
        <is>
          <t>7642359722653584146</t>
        </is>
      </c>
      <c r="B19" s="85" t="inlineStr">
        <is>
          <t>rey_selecto</t>
        </is>
      </c>
      <c r="C19" s="85" t="inlineStr">
        <is>
          <t>MX</t>
        </is>
      </c>
      <c r="D19" s="86" t="n">
        <v>17432</v>
      </c>
      <c r="E19" s="40">
        <f>D19/1.16</f>
        <v/>
      </c>
      <c r="F19" s="86" t="n">
        <v>9523.030000000001</v>
      </c>
      <c r="G19" s="40">
        <f>F19/1.16</f>
        <v/>
      </c>
      <c r="H19" s="87" t="n">
        <v>0</v>
      </c>
      <c r="I19" s="85" t="n">
        <v>1</v>
      </c>
      <c r="J19" s="89">
        <f>LET(dec, I19-INT(I19), IF(dec&lt;0.1, INT(I19), IF(dec&lt;=0.7, INT(I19)+0.5, INT(I19)+1)))</f>
        <v/>
      </c>
      <c r="K19" s="90" t="n">
        <v>46163</v>
      </c>
      <c r="L19" s="85" t="inlineStr">
        <is>
          <t>DAVID</t>
        </is>
      </c>
      <c r="M19" s="111" t="n"/>
      <c r="N19" s="111" t="n"/>
      <c r="O19" s="110" t="inlineStr">
        <is>
          <t>JUAN PABLO</t>
        </is>
      </c>
      <c r="P19" s="107" t="n"/>
      <c r="Q19" s="107" t="n"/>
      <c r="R19" s="107" t="n"/>
      <c r="S19" s="107" t="n"/>
      <c r="T19" s="107" t="n"/>
      <c r="U19" s="107" t="n"/>
      <c r="V19" s="107" t="n"/>
      <c r="W19" s="107" t="n"/>
      <c r="X19" s="107" t="n"/>
      <c r="Y19" s="107" t="n"/>
      <c r="Z19" s="107" t="n"/>
      <c r="AA19" s="107" t="n"/>
      <c r="AB19" s="107" t="n"/>
      <c r="AC19" s="107" t="n"/>
    </row>
    <row r="20">
      <c r="A20" s="85" t="inlineStr">
        <is>
          <t>7642390964482460424</t>
        </is>
      </c>
      <c r="B20" s="85" t="inlineStr">
        <is>
          <t>rey_selecto</t>
        </is>
      </c>
      <c r="C20" s="85" t="inlineStr">
        <is>
          <t>MX</t>
        </is>
      </c>
      <c r="D20" s="86" t="n">
        <v>33634</v>
      </c>
      <c r="E20" s="40">
        <f>D20/1.16</f>
        <v/>
      </c>
      <c r="F20" s="86" t="n">
        <v>11056.9</v>
      </c>
      <c r="G20" s="40">
        <f>F20/1.16</f>
        <v/>
      </c>
      <c r="H20" s="87" t="n">
        <v>0</v>
      </c>
      <c r="I20" s="85" t="n">
        <v>3</v>
      </c>
      <c r="J20" s="89">
        <f>LET(dec, I20-INT(I20), IF(dec&lt;0.1, INT(I20), IF(dec&lt;=0.7, INT(I20)+0.5, INT(I20)+1)))</f>
        <v/>
      </c>
      <c r="K20" s="90" t="n">
        <v>46163</v>
      </c>
      <c r="L20" s="85" t="inlineStr">
        <is>
          <t>DAVID</t>
        </is>
      </c>
      <c r="M20" s="111" t="n"/>
      <c r="N20" s="111" t="n"/>
      <c r="O20" s="110" t="inlineStr">
        <is>
          <t>JUAN PABLO</t>
        </is>
      </c>
      <c r="P20" s="107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</row>
    <row r="21">
      <c r="A21" s="85" t="inlineStr">
        <is>
          <t>7642731784450493202</t>
        </is>
      </c>
      <c r="B21" s="85" t="inlineStr">
        <is>
          <t>rey_selecto</t>
        </is>
      </c>
      <c r="C21" s="85" t="inlineStr">
        <is>
          <t>MX</t>
        </is>
      </c>
      <c r="D21" s="86" t="n">
        <v>83908</v>
      </c>
      <c r="E21" s="40">
        <f>D21/1.16</f>
        <v/>
      </c>
      <c r="F21" s="86" t="n">
        <v>16787.18</v>
      </c>
      <c r="G21" s="40">
        <f>F21/1.16</f>
        <v/>
      </c>
      <c r="H21" s="87" t="n">
        <v>0</v>
      </c>
      <c r="I21" s="85" t="n">
        <v>5</v>
      </c>
      <c r="J21" s="89">
        <f>LET(dec, I21-INT(I21), IF(dec&lt;0.1, INT(I21), IF(dec&lt;=0.7, INT(I21)+0.5, INT(I21)+1)))</f>
        <v/>
      </c>
      <c r="K21" s="90" t="n">
        <v>46164</v>
      </c>
      <c r="L21" s="85" t="inlineStr">
        <is>
          <t>DAVID</t>
        </is>
      </c>
      <c r="M21" s="111" t="n"/>
      <c r="N21" s="111" t="n"/>
      <c r="O21" s="110" t="inlineStr">
        <is>
          <t>JUAN PABLO</t>
        </is>
      </c>
      <c r="P21" s="107" t="n"/>
      <c r="Q21" s="107" t="n"/>
      <c r="R21" s="107" t="n"/>
      <c r="S21" s="107" t="n"/>
      <c r="T21" s="107" t="n"/>
      <c r="U21" s="107" t="n"/>
      <c r="V21" s="107" t="n"/>
      <c r="W21" s="107" t="n"/>
      <c r="X21" s="107" t="n"/>
      <c r="Y21" s="107" t="n"/>
      <c r="Z21" s="107" t="n"/>
      <c r="AA21" s="107" t="n"/>
      <c r="AB21" s="107" t="n"/>
      <c r="AC21" s="107" t="n"/>
    </row>
    <row r="22">
      <c r="A22" s="85" t="inlineStr">
        <is>
          <t>7643840429208734482</t>
        </is>
      </c>
      <c r="B22" s="85" t="inlineStr">
        <is>
          <t>rey_selecto</t>
        </is>
      </c>
      <c r="C22" s="85" t="inlineStr">
        <is>
          <t>MX</t>
        </is>
      </c>
      <c r="D22" s="86" t="n">
        <v>201629</v>
      </c>
      <c r="E22" s="40">
        <f>D22/1.16</f>
        <v/>
      </c>
      <c r="F22" s="86" t="n">
        <v>28765.28</v>
      </c>
      <c r="G22" s="40">
        <f>F22/1.16</f>
        <v/>
      </c>
      <c r="H22" s="87" t="n">
        <v>0</v>
      </c>
      <c r="I22" s="85" t="n">
        <v>7</v>
      </c>
      <c r="J22" s="89">
        <f>LET(dec, I22-INT(I22), IF(dec&lt;0.1, INT(I22), IF(dec&lt;=0.7, INT(I22)+0.5, INT(I22)+1)))</f>
        <v/>
      </c>
      <c r="K22" s="90" t="n">
        <v>46167</v>
      </c>
      <c r="L22" s="85" t="inlineStr">
        <is>
          <t>DAVID</t>
        </is>
      </c>
      <c r="M22" s="111" t="n"/>
      <c r="N22" s="111" t="n"/>
      <c r="O22" s="110" t="inlineStr">
        <is>
          <t>JUAN PABLO</t>
        </is>
      </c>
      <c r="P22" s="107" t="n"/>
      <c r="Q22" s="107" t="n"/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</row>
    <row r="23">
      <c r="A23" s="85" t="inlineStr">
        <is>
          <t>7644214194325850900</t>
        </is>
      </c>
      <c r="B23" s="85" t="inlineStr">
        <is>
          <t>rey_selecto</t>
        </is>
      </c>
      <c r="C23" s="85" t="inlineStr">
        <is>
          <t>MX</t>
        </is>
      </c>
      <c r="D23" s="86" t="n">
        <v>183924</v>
      </c>
      <c r="E23" s="40">
        <f>D23/1.16</f>
        <v/>
      </c>
      <c r="F23" s="86" t="n">
        <v>20026.86</v>
      </c>
      <c r="G23" s="40">
        <f>F23/1.16</f>
        <v/>
      </c>
      <c r="H23" s="87" t="n">
        <v>0</v>
      </c>
      <c r="I23" s="85" t="n">
        <v>9</v>
      </c>
      <c r="J23" s="89">
        <f>LET(dec, I23-INT(I23), IF(dec&lt;0.1, INT(I23), IF(dec&lt;=0.7, INT(I23)+0.5, INT(I23)+1)))</f>
        <v/>
      </c>
      <c r="K23" s="90" t="n">
        <v>46168</v>
      </c>
      <c r="L23" s="85" t="inlineStr">
        <is>
          <t>DAVID</t>
        </is>
      </c>
      <c r="M23" s="111" t="n"/>
      <c r="N23" s="111" t="n"/>
      <c r="O23" s="110" t="inlineStr">
        <is>
          <t>JUAN PABLO</t>
        </is>
      </c>
      <c r="P23" s="107" t="n"/>
      <c r="Q23" s="107" t="n"/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107" t="n"/>
      <c r="AB23" s="107" t="n"/>
      <c r="AC23" s="107" t="n"/>
    </row>
    <row r="24">
      <c r="A24" s="85" t="inlineStr">
        <is>
          <t>7644585231026719495</t>
        </is>
      </c>
      <c r="B24" s="85" t="inlineStr">
        <is>
          <t>rey_selecto</t>
        </is>
      </c>
      <c r="C24" s="85" t="inlineStr">
        <is>
          <t>MX</t>
        </is>
      </c>
      <c r="D24" s="86" t="n">
        <v>120668</v>
      </c>
      <c r="E24" s="40">
        <f>D24/1.16</f>
        <v/>
      </c>
      <c r="F24" s="86" t="n">
        <v>17145.07</v>
      </c>
      <c r="G24" s="40">
        <f>F24/1.16</f>
        <v/>
      </c>
      <c r="H24" s="87" t="n">
        <v>0</v>
      </c>
      <c r="I24" s="85" t="n">
        <v>7</v>
      </c>
      <c r="J24" s="89">
        <f>LET(dec, I24-INT(I24), IF(dec&lt;0.1, INT(I24), IF(dec&lt;=0.7, INT(I24)+0.5, INT(I24)+1)))</f>
        <v/>
      </c>
      <c r="K24" s="90" t="n">
        <v>46169</v>
      </c>
      <c r="L24" s="85" t="inlineStr">
        <is>
          <t>DAVID</t>
        </is>
      </c>
      <c r="M24" s="111" t="n"/>
      <c r="N24" s="111" t="n"/>
      <c r="O24" s="110" t="inlineStr">
        <is>
          <t>JUAN PABLO</t>
        </is>
      </c>
      <c r="P24" s="107" t="n"/>
      <c r="Q24" s="107" t="n"/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07" t="n"/>
      <c r="AA24" s="107" t="n"/>
      <c r="AB24" s="107" t="n"/>
      <c r="AC24" s="107" t="n"/>
    </row>
    <row r="25">
      <c r="D25" s="113" t="n"/>
      <c r="F25" s="113" t="n"/>
      <c r="K25" s="84" t="n"/>
    </row>
    <row r="26">
      <c r="A26" s="7" t="inlineStr">
        <is>
          <t>Room ID</t>
        </is>
      </c>
      <c r="B26" s="7" t="inlineStr">
        <is>
          <t>TT Handle</t>
        </is>
      </c>
      <c r="C26" s="7" t="inlineStr">
        <is>
          <t>Country</t>
        </is>
      </c>
      <c r="D26" s="7" t="inlineStr">
        <is>
          <t>GMV</t>
        </is>
      </c>
      <c r="E26" s="7" t="inlineStr">
        <is>
          <t>GMV/sin EVA</t>
        </is>
      </c>
      <c r="F26" s="7" t="inlineStr">
        <is>
          <t>GMV PER HOUR</t>
        </is>
      </c>
      <c r="G26" s="7" t="inlineStr">
        <is>
          <t>GMV PER HOUR/sin EVA</t>
        </is>
      </c>
      <c r="H26" s="7" t="inlineStr">
        <is>
          <t>Ads Cost</t>
        </is>
      </c>
      <c r="I26" s="7" t="inlineStr">
        <is>
          <t>Duration (H)</t>
        </is>
      </c>
      <c r="J26" s="28" t="inlineStr">
        <is>
          <t>Duration （Formula）</t>
        </is>
      </c>
      <c r="K26" s="105" t="inlineStr">
        <is>
          <t>Start date</t>
        </is>
      </c>
      <c r="L26" s="71" t="inlineStr">
        <is>
          <t>HOST 1</t>
        </is>
      </c>
      <c r="M26" s="71" t="inlineStr">
        <is>
          <t xml:space="preserve">HOST 2 </t>
        </is>
      </c>
      <c r="N26" s="71" t="inlineStr">
        <is>
          <t>HOST 3</t>
        </is>
      </c>
      <c r="O26" s="71" t="inlineStr">
        <is>
          <t>Operator</t>
        </is>
      </c>
    </row>
    <row r="27">
      <c r="A27" s="85" t="inlineStr">
        <is>
          <t>7644959111487785748</t>
        </is>
      </c>
      <c r="B27" s="85" t="inlineStr">
        <is>
          <t>rey_selecto</t>
        </is>
      </c>
      <c r="C27" s="85" t="inlineStr">
        <is>
          <t>MX</t>
        </is>
      </c>
      <c r="D27" s="86" t="n">
        <v>85507.52</v>
      </c>
      <c r="E27" s="40">
        <f>D27/1.16</f>
        <v/>
      </c>
      <c r="F27" s="86" t="n">
        <v>21864.06</v>
      </c>
      <c r="G27" s="40">
        <f>F27/1.16</f>
        <v/>
      </c>
      <c r="H27" s="87" t="n">
        <v>0</v>
      </c>
      <c r="I27" s="99" t="n">
        <v>7</v>
      </c>
      <c r="J27" s="89">
        <f>LET(dec, I27-INT(I27), IF(dec&lt;0.1, INT(I27), IF(dec&lt;=0.7, INT(I27)+0.5, INT(I27)+1)))</f>
        <v/>
      </c>
      <c r="K27" s="90" t="n">
        <v>46168</v>
      </c>
      <c r="L27" s="85" t="inlineStr">
        <is>
          <t>DAVID</t>
        </is>
      </c>
      <c r="M27" s="96" t="n"/>
      <c r="N27" s="96" t="n"/>
      <c r="O27" s="110" t="inlineStr">
        <is>
          <t>JUAN PABLO</t>
        </is>
      </c>
    </row>
    <row r="28">
      <c r="A28" s="85" t="inlineStr">
        <is>
          <t>7645330052206250772</t>
        </is>
      </c>
      <c r="B28" s="85" t="inlineStr">
        <is>
          <t>rey_selecto</t>
        </is>
      </c>
      <c r="C28" s="85" t="inlineStr">
        <is>
          <t>MX</t>
        </is>
      </c>
      <c r="D28" s="86" t="n">
        <v>98163.36</v>
      </c>
      <c r="E28" s="40">
        <f>D28/1.16</f>
        <v/>
      </c>
      <c r="F28" s="86" t="n">
        <v>19547.12</v>
      </c>
      <c r="G28" s="40">
        <f>F28/1.16</f>
        <v/>
      </c>
      <c r="H28" s="87" t="n">
        <v>0</v>
      </c>
      <c r="I28" s="99" t="n">
        <v>7</v>
      </c>
      <c r="J28" s="89">
        <f>LET(dec, I28-INT(I28), IF(dec&lt;0.1, INT(I28), IF(dec&lt;=0.7, INT(I28)+0.5, INT(I28)+1)))</f>
        <v/>
      </c>
      <c r="K28" s="90" t="n">
        <v>46170</v>
      </c>
      <c r="L28" s="85" t="inlineStr">
        <is>
          <t>DAVID</t>
        </is>
      </c>
      <c r="M28" s="96" t="n"/>
      <c r="N28" s="96" t="n"/>
      <c r="O28" s="110" t="inlineStr">
        <is>
          <t>JUAN PABLO</t>
        </is>
      </c>
    </row>
    <row r="29">
      <c r="A29" s="85" t="inlineStr">
        <is>
          <t>7645704908645157653</t>
        </is>
      </c>
      <c r="B29" s="85" t="inlineStr">
        <is>
          <t>rey_selecto</t>
        </is>
      </c>
      <c r="C29" s="85" t="inlineStr">
        <is>
          <t>MX</t>
        </is>
      </c>
      <c r="D29" s="86" t="n">
        <v>128014.89</v>
      </c>
      <c r="E29" s="40">
        <f>D29/1.16</f>
        <v/>
      </c>
      <c r="F29" s="86" t="n">
        <v>26243.35</v>
      </c>
      <c r="G29" s="40">
        <f>F29/1.16</f>
        <v/>
      </c>
      <c r="H29" s="87" t="n">
        <v>0</v>
      </c>
      <c r="I29" s="99" t="n">
        <v>7</v>
      </c>
      <c r="J29" s="89">
        <f>LET(dec, I29-INT(I29), IF(dec&lt;0.1, INT(I29), IF(dec&lt;=0.7, INT(I29)+0.5, INT(I29)+1)))</f>
        <v/>
      </c>
      <c r="K29" s="90" t="n">
        <v>46172</v>
      </c>
      <c r="L29" s="85" t="inlineStr">
        <is>
          <t>DAVID</t>
        </is>
      </c>
      <c r="M29" s="111" t="n"/>
      <c r="N29" s="111" t="n"/>
      <c r="O29" s="110" t="inlineStr">
        <is>
          <t>JUAN PABLO</t>
        </is>
      </c>
    </row>
    <row r="30">
      <c r="A30" s="85" t="inlineStr">
        <is>
          <t>7646427047757187860</t>
        </is>
      </c>
      <c r="B30" s="85" t="inlineStr">
        <is>
          <t>rey_selecto</t>
        </is>
      </c>
      <c r="C30" s="85" t="inlineStr">
        <is>
          <t>MX</t>
        </is>
      </c>
      <c r="D30" s="86" t="n">
        <v>291914.42</v>
      </c>
      <c r="E30" s="40">
        <f>D30/1.16</f>
        <v/>
      </c>
      <c r="F30" s="86" t="n">
        <v>39568.45</v>
      </c>
      <c r="G30" s="40">
        <f>F30/1.16</f>
        <v/>
      </c>
      <c r="H30" s="87" t="n">
        <v>0</v>
      </c>
      <c r="I30" s="99" t="n">
        <v>12</v>
      </c>
      <c r="J30" s="89">
        <f>LET(dec, I30-INT(I30), IF(dec&lt;0.1, INT(I30), IF(dec&lt;=0.7, INT(I30)+0.5, INT(I30)+1)))</f>
        <v/>
      </c>
      <c r="K30" s="90" t="n">
        <v>46174</v>
      </c>
      <c r="L30" s="85" t="inlineStr">
        <is>
          <t>DAVID</t>
        </is>
      </c>
      <c r="M30" s="111" t="n"/>
      <c r="N30" s="111" t="n"/>
      <c r="O30" s="110" t="inlineStr">
        <is>
          <t>JUAN PABLO</t>
        </is>
      </c>
    </row>
    <row r="31">
      <c r="A31" s="85" t="inlineStr">
        <is>
          <t>7650519709956672276</t>
        </is>
      </c>
      <c r="B31" s="85" t="inlineStr">
        <is>
          <t>rey_selecto</t>
        </is>
      </c>
      <c r="C31" s="85" t="inlineStr">
        <is>
          <t>MX</t>
        </is>
      </c>
      <c r="D31" s="86" t="n">
        <v>185068.7</v>
      </c>
      <c r="E31" s="40">
        <f>D31/1.16</f>
        <v/>
      </c>
      <c r="F31" s="86" t="n">
        <v>16380.72</v>
      </c>
      <c r="G31" s="40">
        <f>F31/1.16</f>
        <v/>
      </c>
      <c r="H31" s="87" t="n">
        <v>0</v>
      </c>
      <c r="I31" s="99" t="n">
        <v>8</v>
      </c>
      <c r="J31" s="89">
        <f>LET(dec, I31-INT(I31), IF(dec&lt;0.1, INT(I31), IF(dec&lt;=0.7, INT(I31)+0.5, INT(I31)+1)))</f>
        <v/>
      </c>
      <c r="K31" s="90" t="n">
        <v>46175</v>
      </c>
      <c r="L31" s="85" t="inlineStr">
        <is>
          <t>DAVID</t>
        </is>
      </c>
      <c r="M31" s="111" t="n"/>
      <c r="N31" s="111" t="n"/>
      <c r="O31" s="110" t="inlineStr">
        <is>
          <t>JUAN PABLO</t>
        </is>
      </c>
    </row>
    <row r="32">
      <c r="A32" s="85" t="inlineStr">
        <is>
          <t>7647551685807639314</t>
        </is>
      </c>
      <c r="B32" s="85" t="inlineStr">
        <is>
          <t>rey_selecto</t>
        </is>
      </c>
      <c r="C32" s="85" t="inlineStr">
        <is>
          <t>MX</t>
        </is>
      </c>
      <c r="D32" s="86" t="n">
        <v>36178.45</v>
      </c>
      <c r="E32" s="40">
        <f>D32/1.16</f>
        <v/>
      </c>
      <c r="F32" s="86" t="n">
        <v>13338.08</v>
      </c>
      <c r="G32" s="40">
        <f>F32/1.16</f>
        <v/>
      </c>
      <c r="H32" s="87" t="n">
        <v>0</v>
      </c>
      <c r="I32" s="99" t="n">
        <v>3</v>
      </c>
      <c r="J32" s="89">
        <f>LET(dec, I32-INT(I32), IF(dec&lt;0.1, INT(I32), IF(dec&lt;=0.7, INT(I32)+0.5, INT(I32)+1)))</f>
        <v/>
      </c>
      <c r="K32" s="90" t="n">
        <v>46176</v>
      </c>
      <c r="L32" s="85" t="inlineStr">
        <is>
          <t>DAVID</t>
        </is>
      </c>
      <c r="M32" s="111" t="n"/>
      <c r="N32" s="111" t="n"/>
      <c r="O32" s="110" t="inlineStr">
        <is>
          <t>JUAN PABLO</t>
        </is>
      </c>
    </row>
    <row r="33">
      <c r="A33" s="85" t="inlineStr">
        <is>
          <t>7649409619750144775</t>
        </is>
      </c>
      <c r="B33" s="85" t="inlineStr">
        <is>
          <t>rey_selecto</t>
        </is>
      </c>
      <c r="C33" s="85" t="inlineStr">
        <is>
          <t>MX</t>
        </is>
      </c>
      <c r="D33" s="86" t="n">
        <v>73216.05</v>
      </c>
      <c r="E33" s="40">
        <f>D33/1.16</f>
        <v/>
      </c>
      <c r="F33" s="86" t="n">
        <v>13477.72</v>
      </c>
      <c r="G33" s="40">
        <f>F33/1.16</f>
        <v/>
      </c>
      <c r="H33" s="87" t="n">
        <v>0</v>
      </c>
      <c r="I33" s="99" t="n">
        <v>5</v>
      </c>
      <c r="J33" s="89">
        <f>LET(dec, I33-INT(I33), IF(dec&lt;0.1, INT(I33), IF(dec&lt;=0.7, INT(I33)+0.5, INT(I33)+1)))</f>
        <v/>
      </c>
      <c r="K33" s="90" t="n">
        <v>46177</v>
      </c>
      <c r="L33" s="85" t="inlineStr">
        <is>
          <t>DAVID</t>
        </is>
      </c>
      <c r="M33" s="110" t="n"/>
      <c r="N33" s="110" t="n"/>
      <c r="O33" s="110" t="inlineStr">
        <is>
          <t>JUAN PABLO</t>
        </is>
      </c>
    </row>
    <row r="34">
      <c r="A34" s="85" t="inlineStr">
        <is>
          <t>7647925401701403413</t>
        </is>
      </c>
      <c r="B34" s="85" t="inlineStr">
        <is>
          <t>rey_selecto</t>
        </is>
      </c>
      <c r="C34" s="85" t="inlineStr">
        <is>
          <t>MX</t>
        </is>
      </c>
      <c r="D34" s="86" t="n">
        <v>100135.03</v>
      </c>
      <c r="E34" s="40">
        <f>D34/1.16</f>
        <v/>
      </c>
      <c r="F34" s="86" t="n">
        <v>19657.46</v>
      </c>
      <c r="G34" s="40">
        <f>F34/1.16</f>
        <v/>
      </c>
      <c r="H34" s="87" t="n">
        <v>0</v>
      </c>
      <c r="I34" s="99" t="n">
        <v>5</v>
      </c>
      <c r="J34" s="89">
        <f>LET(dec, I34-INT(I34), IF(dec&lt;0.1, INT(I34), IF(dec&lt;=0.7, INT(I34)+0.5, INT(I34)+1)))</f>
        <v/>
      </c>
      <c r="K34" s="90" t="n">
        <v>46178</v>
      </c>
      <c r="L34" s="85" t="inlineStr">
        <is>
          <t>DAVID</t>
        </is>
      </c>
      <c r="M34" s="111" t="n"/>
      <c r="N34" s="111" t="n"/>
      <c r="O34" s="110" t="inlineStr">
        <is>
          <t>JUAN PABLO</t>
        </is>
      </c>
    </row>
    <row r="35">
      <c r="A35" s="85" t="inlineStr">
        <is>
          <t>7653120955108461332</t>
        </is>
      </c>
      <c r="B35" s="85" t="inlineStr">
        <is>
          <t>rey_selecto</t>
        </is>
      </c>
      <c r="C35" s="85" t="inlineStr">
        <is>
          <t>MX</t>
        </is>
      </c>
      <c r="D35" s="86" t="n">
        <v>84169.72</v>
      </c>
      <c r="E35" s="40">
        <f>D35/1.16</f>
        <v/>
      </c>
      <c r="F35" s="86" t="n">
        <v>21360.55</v>
      </c>
      <c r="G35" s="40">
        <f>F35/1.16</f>
        <v/>
      </c>
      <c r="H35" s="87" t="n">
        <v>0</v>
      </c>
      <c r="I35" s="99" t="n">
        <v>5</v>
      </c>
      <c r="J35" s="89">
        <f>LET(dec, I35-INT(I35), IF(dec&lt;0.1, INT(I35), IF(dec&lt;=0.7, INT(I35)+0.5, INT(I35)+1)))</f>
        <v/>
      </c>
      <c r="K35" s="90" t="n">
        <v>46181</v>
      </c>
      <c r="L35" s="85" t="inlineStr">
        <is>
          <t>DAVID</t>
        </is>
      </c>
      <c r="M35" s="111" t="n"/>
      <c r="N35" s="111" t="n"/>
      <c r="O35" s="110" t="inlineStr">
        <is>
          <t>JUAN PABLO</t>
        </is>
      </c>
    </row>
    <row r="36">
      <c r="A36" s="85" t="inlineStr">
        <is>
          <t>7651636874411248404</t>
        </is>
      </c>
      <c r="B36" s="85" t="inlineStr">
        <is>
          <t>rey_selecto</t>
        </is>
      </c>
      <c r="C36" s="85" t="inlineStr">
        <is>
          <t>MX</t>
        </is>
      </c>
      <c r="D36" s="86" t="n">
        <v>101863.05</v>
      </c>
      <c r="E36" s="40">
        <f>D36/1.16</f>
        <v/>
      </c>
      <c r="F36" s="86" t="n">
        <v>14532.18</v>
      </c>
      <c r="G36" s="40">
        <f>F36/1.16</f>
        <v/>
      </c>
      <c r="H36" s="87" t="n">
        <v>0</v>
      </c>
      <c r="I36" s="99" t="n">
        <v>5</v>
      </c>
      <c r="J36" s="89">
        <f>LET(dec, I36-INT(I36), IF(dec&lt;0.1, INT(I36), IF(dec&lt;=0.7, INT(I36)+0.5, INT(I36)+1)))</f>
        <v/>
      </c>
      <c r="K36" s="90" t="n">
        <v>46182</v>
      </c>
      <c r="L36" s="85" t="inlineStr">
        <is>
          <t>DAVID</t>
        </is>
      </c>
      <c r="M36" s="111" t="n"/>
      <c r="N36" s="111" t="n"/>
      <c r="O36" s="110" t="inlineStr">
        <is>
          <t>JUAN PABLO</t>
        </is>
      </c>
    </row>
    <row r="37">
      <c r="A37" s="85" t="inlineStr">
        <is>
          <t>7652379127989062420</t>
        </is>
      </c>
      <c r="B37" s="85" t="inlineStr">
        <is>
          <t>rey_selecto</t>
        </is>
      </c>
      <c r="C37" s="85" t="inlineStr">
        <is>
          <t>MX</t>
        </is>
      </c>
      <c r="D37" s="86" t="n">
        <v>73716.69</v>
      </c>
      <c r="E37" s="40">
        <f>D37/1.16</f>
        <v/>
      </c>
      <c r="F37" s="86" t="n">
        <v>14643.77</v>
      </c>
      <c r="G37" s="40">
        <f>F37/1.16</f>
        <v/>
      </c>
      <c r="H37" s="87" t="n">
        <v>0</v>
      </c>
      <c r="I37" s="99" t="n">
        <v>5</v>
      </c>
      <c r="J37" s="89">
        <f>LET(dec, I37-INT(I37), IF(dec&lt;0.1, INT(I37), IF(dec&lt;=0.7, INT(I37)+0.5, INT(I37)+1)))</f>
        <v/>
      </c>
      <c r="K37" s="90" t="n">
        <v>46183</v>
      </c>
      <c r="L37" s="85" t="inlineStr">
        <is>
          <t>DAVID</t>
        </is>
      </c>
      <c r="M37" s="111" t="n"/>
      <c r="N37" s="111" t="n"/>
      <c r="O37" s="110" t="inlineStr">
        <is>
          <t>JUAN PABLO</t>
        </is>
      </c>
    </row>
    <row r="38">
      <c r="A38" s="85" t="inlineStr">
        <is>
          <t>7652750293578353429</t>
        </is>
      </c>
      <c r="B38" s="85" t="inlineStr">
        <is>
          <t>rey_selecto</t>
        </is>
      </c>
      <c r="C38" s="85" t="inlineStr">
        <is>
          <t>MX</t>
        </is>
      </c>
      <c r="D38" s="86" t="n">
        <v>107676.01</v>
      </c>
      <c r="E38" s="40">
        <f>D38/1.16</f>
        <v/>
      </c>
      <c r="F38" s="86" t="n">
        <v>10797.58</v>
      </c>
      <c r="G38" s="40">
        <f>F38/1.16</f>
        <v/>
      </c>
      <c r="H38" s="87" t="n">
        <v>0</v>
      </c>
      <c r="I38" s="99" t="n">
        <v>5</v>
      </c>
      <c r="J38" s="89">
        <f>LET(dec, I38-INT(I38), IF(dec&lt;0.1, INT(I38), IF(dec&lt;=0.7, INT(I38)+0.5, INT(I38)+1)))</f>
        <v/>
      </c>
      <c r="K38" s="90" t="n">
        <v>46185</v>
      </c>
      <c r="L38" s="85" t="inlineStr">
        <is>
          <t>DAVID</t>
        </is>
      </c>
      <c r="M38" s="111" t="n"/>
      <c r="N38" s="111" t="n"/>
      <c r="O38" s="110" t="inlineStr">
        <is>
          <t>JUAN PABLO</t>
        </is>
      </c>
    </row>
    <row r="39">
      <c r="A39" s="85" t="inlineStr">
        <is>
          <t>7649039826500815636</t>
        </is>
      </c>
      <c r="B39" s="85" t="inlineStr">
        <is>
          <t>rey_selecto</t>
        </is>
      </c>
      <c r="C39" s="85" t="inlineStr">
        <is>
          <t>MX</t>
        </is>
      </c>
      <c r="D39" s="86" t="n">
        <v>91685.06</v>
      </c>
      <c r="E39" s="40">
        <f>D39/1.16</f>
        <v/>
      </c>
      <c r="F39" s="86" t="n">
        <v>39163.32</v>
      </c>
      <c r="G39" s="40">
        <f>F39/1.16</f>
        <v/>
      </c>
      <c r="H39" s="87" t="n">
        <v>0</v>
      </c>
      <c r="I39" s="99" t="n">
        <v>5</v>
      </c>
      <c r="J39" s="89">
        <f>LET(dec, I39-INT(I39), IF(dec&lt;0.1, INT(I39), IF(dec&lt;=0.7, INT(I39)+0.5, INT(I39)+1)))</f>
        <v/>
      </c>
      <c r="K39" s="90" t="n">
        <v>46186</v>
      </c>
      <c r="L39" s="85" t="inlineStr">
        <is>
          <t>DAVID</t>
        </is>
      </c>
      <c r="M39" s="111" t="n"/>
      <c r="N39" s="111" t="n"/>
      <c r="O39" s="110" t="inlineStr">
        <is>
          <t>JUAN PABLO</t>
        </is>
      </c>
    </row>
    <row r="40">
      <c r="A40" s="85" t="inlineStr">
        <is>
          <t>7652008502827354898</t>
        </is>
      </c>
      <c r="B40" s="85" t="inlineStr">
        <is>
          <t>rey_selecto</t>
        </is>
      </c>
      <c r="C40" s="85" t="inlineStr">
        <is>
          <t>MX</t>
        </is>
      </c>
      <c r="D40" s="86" t="n">
        <v>141099.48</v>
      </c>
      <c r="E40" s="40">
        <f>D40/1.16</f>
        <v/>
      </c>
      <c r="F40" s="86" t="n">
        <v>16342.94</v>
      </c>
      <c r="G40" s="40">
        <f>F40/1.16</f>
        <v/>
      </c>
      <c r="H40" s="87" t="n">
        <v>0</v>
      </c>
      <c r="I40" s="99" t="n">
        <v>4</v>
      </c>
      <c r="J40" s="89">
        <f>LET(dec, I40-INT(I40), IF(dec&lt;0.1, INT(I40), IF(dec&lt;=0.7, INT(I40)+0.5, INT(I40)+1)))</f>
        <v/>
      </c>
      <c r="K40" s="90" t="n">
        <v>46188</v>
      </c>
      <c r="L40" s="85" t="inlineStr">
        <is>
          <t>DAVID</t>
        </is>
      </c>
      <c r="M40" s="111" t="n"/>
      <c r="N40" s="111" t="n"/>
      <c r="O40" s="110" t="inlineStr">
        <is>
          <t>JUAN PABLO</t>
        </is>
      </c>
    </row>
    <row r="41">
      <c r="A41" s="85" t="inlineStr">
        <is>
          <t>7654977276081802005</t>
        </is>
      </c>
      <c r="B41" s="85" t="inlineStr">
        <is>
          <t>rey_selecto</t>
        </is>
      </c>
      <c r="C41" s="85" t="inlineStr">
        <is>
          <t>MX</t>
        </is>
      </c>
      <c r="D41" s="86" t="n">
        <v>46882.51</v>
      </c>
      <c r="E41" s="40">
        <f>D41/1.16</f>
        <v/>
      </c>
      <c r="F41" s="86" t="n">
        <v>19072.94</v>
      </c>
      <c r="G41" s="40">
        <f>F41/1.16</f>
        <v/>
      </c>
      <c r="H41" s="87" t="n">
        <v>0</v>
      </c>
      <c r="I41" s="99" t="n">
        <v>3</v>
      </c>
      <c r="J41" s="89">
        <f>LET(dec, I41-INT(I41), IF(dec&lt;0.1, INT(I41), IF(dec&lt;=0.7, INT(I41)+0.5, INT(I41)+1)))</f>
        <v/>
      </c>
      <c r="K41" s="90" t="n">
        <v>46189</v>
      </c>
      <c r="L41" s="85" t="inlineStr">
        <is>
          <t>DAVID</t>
        </is>
      </c>
      <c r="M41" s="111" t="n"/>
      <c r="N41" s="111" t="n"/>
      <c r="O41" s="110" t="inlineStr">
        <is>
          <t>JUAN PABLO</t>
        </is>
      </c>
    </row>
    <row r="42">
      <c r="A42" s="85" t="inlineStr">
        <is>
          <t>7655719951287028501</t>
        </is>
      </c>
      <c r="B42" s="85" t="inlineStr">
        <is>
          <t>rey_selecto</t>
        </is>
      </c>
      <c r="C42" s="85" t="inlineStr">
        <is>
          <t>MX</t>
        </is>
      </c>
      <c r="D42" s="86" t="n">
        <v>117851.23</v>
      </c>
      <c r="E42" s="40">
        <f>D42/1.16</f>
        <v/>
      </c>
      <c r="F42" s="86" t="n">
        <v>12733.93</v>
      </c>
      <c r="G42" s="40">
        <f>F42/1.16</f>
        <v/>
      </c>
      <c r="H42" s="87" t="n">
        <v>0</v>
      </c>
      <c r="I42" s="99" t="n">
        <v>7</v>
      </c>
      <c r="J42" s="89">
        <f>LET(dec, I42-INT(I42), IF(dec&lt;0.1, INT(I42), IF(dec&lt;=0.7, INT(I42)+0.5, INT(I42)+1)))</f>
        <v/>
      </c>
      <c r="K42" s="90" t="n">
        <v>46190</v>
      </c>
      <c r="L42" s="85" t="inlineStr">
        <is>
          <t>DAVID</t>
        </is>
      </c>
      <c r="M42" s="111" t="n"/>
      <c r="N42" s="111" t="n"/>
      <c r="O42" s="110" t="inlineStr">
        <is>
          <t>JUAN PABLO</t>
        </is>
      </c>
    </row>
    <row r="43">
      <c r="A43" s="85" t="inlineStr">
        <is>
          <t>7654606787428649749</t>
        </is>
      </c>
      <c r="B43" s="85" t="inlineStr">
        <is>
          <t>rey_selecto</t>
        </is>
      </c>
      <c r="C43" s="85" t="inlineStr">
        <is>
          <t>MX</t>
        </is>
      </c>
      <c r="D43" s="86" t="n">
        <v>49289.03</v>
      </c>
      <c r="E43" s="40">
        <f>D43/1.16</f>
        <v/>
      </c>
      <c r="F43" s="86" t="n">
        <v>14637.79</v>
      </c>
      <c r="G43" s="40">
        <f>F43/1.16</f>
        <v/>
      </c>
      <c r="H43" s="87" t="n">
        <v>0</v>
      </c>
      <c r="I43" s="99" t="n">
        <v>7</v>
      </c>
      <c r="J43" s="89">
        <f>LET(dec, I43-INT(I43), IF(dec&lt;0.1, INT(I43), IF(dec&lt;=0.7, INT(I43)+0.5, INT(I43)+1)))</f>
        <v/>
      </c>
      <c r="K43" s="90" t="n">
        <v>46191</v>
      </c>
      <c r="L43" s="85" t="inlineStr">
        <is>
          <t>DAVID</t>
        </is>
      </c>
      <c r="M43" s="111" t="n"/>
      <c r="N43" s="111" t="n"/>
      <c r="O43" s="110" t="inlineStr">
        <is>
          <t>JUAN PABLO</t>
        </is>
      </c>
    </row>
    <row r="44">
      <c r="A44" s="85" t="inlineStr">
        <is>
          <t>7649782728196229895</t>
        </is>
      </c>
      <c r="B44" s="85" t="inlineStr">
        <is>
          <t>rey_selecto</t>
        </is>
      </c>
      <c r="C44" s="85" t="inlineStr">
        <is>
          <t>MX</t>
        </is>
      </c>
      <c r="D44" s="86" t="n">
        <v>122531.37</v>
      </c>
      <c r="E44" s="40">
        <f>D44/1.16</f>
        <v/>
      </c>
      <c r="F44" s="86" t="n">
        <v>9523.030000000001</v>
      </c>
      <c r="G44" s="40">
        <f>F44/1.16</f>
        <v/>
      </c>
      <c r="H44" s="87" t="n">
        <v>0</v>
      </c>
      <c r="I44" s="99" t="n">
        <v>8</v>
      </c>
      <c r="J44" s="89">
        <f>LET(dec, I44-INT(I44), IF(dec&lt;0.1, INT(I44), IF(dec&lt;=0.7, INT(I44)+0.5, INT(I44)+1)))</f>
        <v/>
      </c>
      <c r="K44" s="90" t="n">
        <v>46192</v>
      </c>
      <c r="L44" s="85" t="inlineStr">
        <is>
          <t>DAVID</t>
        </is>
      </c>
      <c r="M44" s="111" t="n"/>
      <c r="N44" s="111" t="n"/>
      <c r="O44" s="110" t="inlineStr">
        <is>
          <t>JUAN PABLO</t>
        </is>
      </c>
    </row>
    <row r="45">
      <c r="A45" s="85" t="inlineStr">
        <is>
          <t>7654235810493123349</t>
        </is>
      </c>
      <c r="B45" s="85" t="inlineStr">
        <is>
          <t>rey_selecto</t>
        </is>
      </c>
      <c r="C45" s="85" t="inlineStr">
        <is>
          <t>MX</t>
        </is>
      </c>
      <c r="D45" s="86" t="n">
        <v>77174.60000000001</v>
      </c>
      <c r="E45" s="40">
        <f>D45/1.16</f>
        <v/>
      </c>
      <c r="F45" s="86" t="n">
        <v>11056.9</v>
      </c>
      <c r="G45" s="40">
        <f>F45/1.16</f>
        <v/>
      </c>
      <c r="H45" s="87" t="n">
        <v>0</v>
      </c>
      <c r="I45" s="99" t="n">
        <v>5</v>
      </c>
      <c r="J45" s="89">
        <f>LET(dec, I45-INT(I45), IF(dec&lt;0.1, INT(I45), IF(dec&lt;=0.7, INT(I45)+0.5, INT(I45)+1)))</f>
        <v/>
      </c>
      <c r="K45" s="90" t="n">
        <v>46195</v>
      </c>
      <c r="L45" s="85" t="inlineStr">
        <is>
          <t>DAVID</t>
        </is>
      </c>
      <c r="M45" s="111" t="n"/>
      <c r="N45" s="111" t="n"/>
      <c r="O45" s="110" t="inlineStr">
        <is>
          <t>JUAN PABLO</t>
        </is>
      </c>
    </row>
    <row r="46">
      <c r="A46" s="85" t="inlineStr">
        <is>
          <t>7646814185218722580</t>
        </is>
      </c>
      <c r="B46" s="85" t="inlineStr">
        <is>
          <t>rey_selecto</t>
        </is>
      </c>
      <c r="C46" s="85" t="inlineStr">
        <is>
          <t>MX</t>
        </is>
      </c>
      <c r="D46" s="86" t="n">
        <v>44546.86</v>
      </c>
      <c r="E46" s="40">
        <f>D46/1.16</f>
        <v/>
      </c>
      <c r="F46" s="86" t="n">
        <v>16787.18</v>
      </c>
      <c r="G46" s="40">
        <f>F46/1.16</f>
        <v/>
      </c>
      <c r="H46" s="87" t="n">
        <v>0</v>
      </c>
      <c r="I46" s="99" t="n">
        <v>5</v>
      </c>
      <c r="J46" s="89">
        <f>LET(dec, I46-INT(I46), IF(dec&lt;0.1, INT(I46), IF(dec&lt;=0.7, INT(I46)+0.5, INT(I46)+1)))</f>
        <v/>
      </c>
      <c r="K46" s="90" t="n">
        <v>46196</v>
      </c>
      <c r="L46" s="85" t="inlineStr">
        <is>
          <t>DAVID</t>
        </is>
      </c>
      <c r="M46" s="111" t="n"/>
      <c r="N46" s="111" t="n"/>
      <c r="O46" s="110" t="inlineStr">
        <is>
          <t>JUAN PABLO</t>
        </is>
      </c>
    </row>
    <row r="47">
      <c r="A47" s="85" t="inlineStr">
        <is>
          <t>7645330052206250772</t>
        </is>
      </c>
      <c r="B47" s="85" t="inlineStr">
        <is>
          <t>rey_selecto</t>
        </is>
      </c>
      <c r="C47" s="85" t="inlineStr">
        <is>
          <t>MX</t>
        </is>
      </c>
      <c r="D47" s="86" t="n">
        <v>32761.17</v>
      </c>
      <c r="E47" s="40">
        <f>D47/1.16</f>
        <v/>
      </c>
      <c r="F47" s="86" t="n">
        <v>28765.28</v>
      </c>
      <c r="G47" s="40">
        <f>F47/1.16</f>
        <v/>
      </c>
      <c r="H47" s="87" t="n">
        <v>0</v>
      </c>
      <c r="I47" s="99" t="n">
        <v>5</v>
      </c>
      <c r="J47" s="89">
        <f>LET(dec, I47-INT(I47), IF(dec&lt;0.1, INT(I47), IF(dec&lt;=0.7, INT(I47)+0.5, INT(I47)+1)))</f>
        <v/>
      </c>
      <c r="K47" s="90" t="n">
        <v>46197</v>
      </c>
      <c r="L47" s="85" t="inlineStr">
        <is>
          <t>DAVID</t>
        </is>
      </c>
      <c r="M47" s="111" t="n"/>
      <c r="N47" s="111" t="n"/>
      <c r="O47" s="110" t="inlineStr">
        <is>
          <t>JUAN PABLO</t>
        </is>
      </c>
    </row>
    <row r="48">
      <c r="A48" s="85" t="inlineStr">
        <is>
          <t>7644959111487785748</t>
        </is>
      </c>
      <c r="B48" s="85" t="inlineStr">
        <is>
          <t>rey_selecto</t>
        </is>
      </c>
      <c r="C48" s="85" t="inlineStr">
        <is>
          <t>MX</t>
        </is>
      </c>
      <c r="D48" s="86" t="n">
        <v>79437.61</v>
      </c>
      <c r="E48" s="40">
        <f>D48/1.16</f>
        <v/>
      </c>
      <c r="F48" s="86" t="n">
        <v>20026.86</v>
      </c>
      <c r="G48" s="40">
        <f>F48/1.16</f>
        <v/>
      </c>
      <c r="H48" s="87" t="n">
        <v>0</v>
      </c>
      <c r="I48" s="99" t="n">
        <v>5</v>
      </c>
      <c r="J48" s="89">
        <f>LET(dec, I48-INT(I48), IF(dec&lt;0.1, INT(I48), IF(dec&lt;=0.7, INT(I48)+0.5, INT(I48)+1)))</f>
        <v/>
      </c>
      <c r="K48" s="90" t="n">
        <v>46198</v>
      </c>
      <c r="L48" s="85" t="inlineStr">
        <is>
          <t>DAVID</t>
        </is>
      </c>
      <c r="M48" s="111" t="n"/>
      <c r="N48" s="111" t="n"/>
      <c r="O48" s="110" t="inlineStr">
        <is>
          <t>JUAN PABLO</t>
        </is>
      </c>
    </row>
    <row r="49">
      <c r="A49" s="85" t="inlineStr">
        <is>
          <t>7645704908645157653</t>
        </is>
      </c>
      <c r="B49" s="85" t="inlineStr">
        <is>
          <t>rey_selecto</t>
        </is>
      </c>
      <c r="C49" s="85" t="inlineStr">
        <is>
          <t>MX</t>
        </is>
      </c>
      <c r="D49" s="86" t="n">
        <v>164741.23</v>
      </c>
      <c r="E49" s="40">
        <f>D49/1.16</f>
        <v/>
      </c>
      <c r="F49" s="86" t="n">
        <v>17145.07</v>
      </c>
      <c r="G49" s="40">
        <f>F49/1.16</f>
        <v/>
      </c>
      <c r="H49" s="87" t="n">
        <v>0</v>
      </c>
      <c r="I49" s="99" t="n">
        <v>7</v>
      </c>
      <c r="J49" s="89">
        <f>LET(dec, I49-INT(I49), IF(dec&lt;0.1, INT(I49), IF(dec&lt;=0.7, INT(I49)+0.5, INT(I49)+1)))</f>
        <v/>
      </c>
      <c r="K49" s="90" t="n">
        <v>46199</v>
      </c>
      <c r="L49" s="85" t="inlineStr">
        <is>
          <t>DAVID</t>
        </is>
      </c>
      <c r="M49" s="111" t="n"/>
      <c r="N49" s="111" t="n"/>
      <c r="O49" s="110" t="inlineStr">
        <is>
          <t>JUAN PABLO</t>
        </is>
      </c>
    </row>
    <row r="50">
      <c r="A50" s="85" t="inlineStr">
        <is>
          <t>7656832321504480021</t>
        </is>
      </c>
      <c r="B50" s="85" t="inlineStr">
        <is>
          <t>rey_selecto</t>
        </is>
      </c>
      <c r="C50" s="85" t="inlineStr">
        <is>
          <t>MX</t>
        </is>
      </c>
      <c r="D50" s="86" t="n">
        <v>119237.59</v>
      </c>
      <c r="E50" s="40">
        <f>D50/1.16</f>
        <v/>
      </c>
      <c r="F50" s="86">
        <f>D50/I50</f>
        <v/>
      </c>
      <c r="G50" s="40">
        <f>F50/1.16</f>
        <v/>
      </c>
      <c r="H50" s="87" t="n">
        <v>0</v>
      </c>
      <c r="I50" s="99" t="n">
        <v>6.008333333333334</v>
      </c>
      <c r="J50" s="89">
        <f>LET(dec, I50-INT(I50), IF(dec&lt;0.1, INT(I50), IF(dec&lt;=0.7, INT(I50)+0.5, INT(I50)+1)))</f>
        <v/>
      </c>
      <c r="K50" s="90" t="n">
        <v>46202</v>
      </c>
      <c r="L50" s="85" t="inlineStr">
        <is>
          <t>DAVID</t>
        </is>
      </c>
      <c r="M50" s="111" t="n"/>
      <c r="N50" s="111" t="n"/>
      <c r="O50" s="110" t="inlineStr">
        <is>
          <t>JUAN PABLO</t>
        </is>
      </c>
    </row>
    <row r="51">
      <c r="D51" s="113" t="n"/>
      <c r="F51" s="113" t="n"/>
      <c r="K51" s="84" t="n"/>
    </row>
    <row r="52">
      <c r="D52" s="113" t="n"/>
      <c r="F52" s="113" t="n"/>
      <c r="K52" s="84" t="n"/>
    </row>
    <row r="53">
      <c r="A53" s="7" t="inlineStr">
        <is>
          <t>Room ID</t>
        </is>
      </c>
      <c r="B53" s="7" t="inlineStr">
        <is>
          <t>TT Handle</t>
        </is>
      </c>
      <c r="C53" s="7" t="inlineStr">
        <is>
          <t>Country</t>
        </is>
      </c>
      <c r="D53" s="7" t="inlineStr">
        <is>
          <t>GMV</t>
        </is>
      </c>
      <c r="E53" s="7" t="inlineStr">
        <is>
          <t>GMV/sin EVA</t>
        </is>
      </c>
      <c r="F53" s="7" t="inlineStr">
        <is>
          <t>GMV PER HOUR</t>
        </is>
      </c>
      <c r="G53" s="7" t="inlineStr">
        <is>
          <t>GMV PER HOUR/sin EVA</t>
        </is>
      </c>
      <c r="H53" s="7" t="inlineStr">
        <is>
          <t>Ads Cost</t>
        </is>
      </c>
      <c r="I53" s="7" t="inlineStr">
        <is>
          <t>Duration (H)</t>
        </is>
      </c>
      <c r="J53" s="28" t="inlineStr">
        <is>
          <t>Duration （Formula）</t>
        </is>
      </c>
      <c r="K53" s="105" t="inlineStr">
        <is>
          <t>Start date</t>
        </is>
      </c>
      <c r="L53" s="71" t="inlineStr">
        <is>
          <t>HOST 1</t>
        </is>
      </c>
      <c r="M53" s="71" t="inlineStr">
        <is>
          <t xml:space="preserve">HOST 2 </t>
        </is>
      </c>
      <c r="N53" s="71" t="inlineStr">
        <is>
          <t>HOST 3</t>
        </is>
      </c>
      <c r="O53" s="71" t="inlineStr">
        <is>
          <t>Operator</t>
        </is>
      </c>
    </row>
    <row r="54">
      <c r="A54" s="85" t="inlineStr">
        <is>
          <t>7657202217484634901</t>
        </is>
      </c>
      <c r="B54" s="85" t="inlineStr">
        <is>
          <t>rey_selecto</t>
        </is>
      </c>
      <c r="C54" s="85" t="inlineStr">
        <is>
          <t>MX</t>
        </is>
      </c>
      <c r="D54" s="86" t="n">
        <v>53610.01</v>
      </c>
      <c r="E54" s="40">
        <f>D54/1.16</f>
        <v/>
      </c>
      <c r="F54" s="86">
        <f>D54/J54</f>
        <v/>
      </c>
      <c r="G54" s="40">
        <f>F54/1.16</f>
        <v/>
      </c>
      <c r="H54" s="87" t="n">
        <v>0</v>
      </c>
      <c r="I54" s="99" t="n">
        <v>4.04</v>
      </c>
      <c r="J54" s="89">
        <f>LET(dec, I54-INT(I54), IF(dec&lt;0.1, INT(I54), IF(dec&lt;=0.7, INT(I54)+0.5, INT(I54)+1)))</f>
        <v/>
      </c>
      <c r="K54" s="90" t="n">
        <v>46203</v>
      </c>
      <c r="L54" s="85" t="inlineStr">
        <is>
          <t>DAVID</t>
        </is>
      </c>
      <c r="M54" s="111" t="n"/>
      <c r="N54" s="111" t="n"/>
      <c r="O54" s="110" t="inlineStr">
        <is>
          <t>JUAN PABLO</t>
        </is>
      </c>
    </row>
    <row r="55">
      <c r="A55" s="85" t="inlineStr">
        <is>
          <t>7657576752142748437</t>
        </is>
      </c>
      <c r="B55" s="85" t="inlineStr">
        <is>
          <t>rey_selecto</t>
        </is>
      </c>
      <c r="C55" s="85" t="inlineStr">
        <is>
          <t>MX</t>
        </is>
      </c>
      <c r="D55" s="86" t="n">
        <v>192273.65</v>
      </c>
      <c r="E55" s="40">
        <f>D55/1.16</f>
        <v/>
      </c>
      <c r="F55" s="86">
        <f>D55/J55</f>
        <v/>
      </c>
      <c r="G55" s="40">
        <f>F55/1.16</f>
        <v/>
      </c>
      <c r="H55" s="87" t="n">
        <v>0</v>
      </c>
      <c r="I55" s="99" t="n">
        <v>7.17</v>
      </c>
      <c r="J55" s="89">
        <f>LET(dec, I55-INT(I55), IF(dec&lt;0.1, INT(I55), IF(dec&lt;=0.7, INT(I55)+0.5, INT(I55)+1)))</f>
        <v/>
      </c>
      <c r="K55" s="90" t="n">
        <v>46204</v>
      </c>
      <c r="L55" s="85" t="inlineStr">
        <is>
          <t>DAVID</t>
        </is>
      </c>
      <c r="M55" s="111" t="n"/>
      <c r="N55" s="111" t="n"/>
      <c r="O55" s="110" t="inlineStr">
        <is>
          <t>JUAN PABLO</t>
        </is>
      </c>
    </row>
    <row r="56">
      <c r="A56" s="85" t="inlineStr">
        <is>
          <t>7657946635418897172</t>
        </is>
      </c>
      <c r="B56" s="85" t="inlineStr">
        <is>
          <t>rey_selecto</t>
        </is>
      </c>
      <c r="C56" s="85" t="inlineStr">
        <is>
          <t>MX</t>
        </is>
      </c>
      <c r="D56" s="86" t="n">
        <v>149197.24</v>
      </c>
      <c r="E56" s="40">
        <f>D56/1.16</f>
        <v/>
      </c>
      <c r="F56" s="86">
        <f>D56/J56</f>
        <v/>
      </c>
      <c r="G56" s="40">
        <f>F56/1.16</f>
        <v/>
      </c>
      <c r="H56" s="87" t="n">
        <v>0</v>
      </c>
      <c r="I56" s="99" t="n">
        <v>7.57</v>
      </c>
      <c r="J56" s="89">
        <f>LET(dec, I56-INT(I56), IF(dec&lt;0.1, INT(I56), IF(dec&lt;=0.7, INT(I56)+0.5, INT(I56)+1)))</f>
        <v/>
      </c>
      <c r="K56" s="90" t="n">
        <v>46205</v>
      </c>
      <c r="L56" s="85" t="inlineStr">
        <is>
          <t>DAVID</t>
        </is>
      </c>
      <c r="M56" s="111" t="n"/>
      <c r="N56" s="111" t="n"/>
      <c r="O56" s="110" t="inlineStr">
        <is>
          <t>JUAN PABLO</t>
        </is>
      </c>
    </row>
    <row r="57">
      <c r="A57" s="85" t="inlineStr">
        <is>
          <t>7658319346627037972</t>
        </is>
      </c>
      <c r="B57" s="85" t="inlineStr">
        <is>
          <t>rey_selecto</t>
        </is>
      </c>
      <c r="C57" s="85" t="inlineStr">
        <is>
          <t>MX</t>
        </is>
      </c>
      <c r="D57" s="86" t="n">
        <v>123525.72</v>
      </c>
      <c r="E57" s="40">
        <f>D57/1.16</f>
        <v/>
      </c>
      <c r="F57" s="86">
        <f>D57/J57</f>
        <v/>
      </c>
      <c r="G57" s="40">
        <f>F57/1.16</f>
        <v/>
      </c>
      <c r="H57" s="87" t="n">
        <v>0</v>
      </c>
      <c r="I57" s="99" t="n">
        <v>7.03</v>
      </c>
      <c r="J57" s="89">
        <f>LET(dec, I57-INT(I57), IF(dec&lt;0.1, INT(I57), IF(dec&lt;=0.7, INT(I57)+0.5, INT(I57)+1)))</f>
        <v/>
      </c>
      <c r="K57" s="90" t="n">
        <v>46206</v>
      </c>
      <c r="L57" s="85" t="inlineStr">
        <is>
          <t>DAVID</t>
        </is>
      </c>
      <c r="M57" s="111" t="n"/>
      <c r="N57" s="111" t="n"/>
      <c r="O57" s="110" t="inlineStr">
        <is>
          <t>JUAN PABLO</t>
        </is>
      </c>
    </row>
    <row r="58">
      <c r="A58" s="85" t="inlineStr">
        <is>
          <t>7659434622109092629</t>
        </is>
      </c>
      <c r="B58" s="85" t="inlineStr">
        <is>
          <t>rey_selecto</t>
        </is>
      </c>
      <c r="C58" s="85" t="inlineStr">
        <is>
          <t>MX</t>
        </is>
      </c>
      <c r="D58" s="86" t="n">
        <v>73974.82000000001</v>
      </c>
      <c r="E58" s="40">
        <f>D58/1.16</f>
        <v/>
      </c>
      <c r="F58" s="86">
        <f>D58/J58</f>
        <v/>
      </c>
      <c r="G58" s="40">
        <f>F58/1.16</f>
        <v/>
      </c>
      <c r="H58" s="87" t="n">
        <v>0</v>
      </c>
      <c r="I58" s="99" t="n">
        <v>5.04</v>
      </c>
      <c r="J58" s="89">
        <f>LET(dec, I58-INT(I58), IF(dec&lt;0.1, INT(I58), IF(dec&lt;=0.7, INT(I58)+0.5, INT(I58)+1)))</f>
        <v/>
      </c>
      <c r="K58" s="90" t="n">
        <v>46209</v>
      </c>
      <c r="L58" s="85" t="inlineStr">
        <is>
          <t>DAVID</t>
        </is>
      </c>
      <c r="M58" s="111" t="n"/>
      <c r="N58" s="111" t="n"/>
      <c r="O58" s="110" t="inlineStr">
        <is>
          <t>JUAN PABLO</t>
        </is>
      </c>
    </row>
    <row r="59">
      <c r="A59" s="85" t="inlineStr">
        <is>
          <t>7659804720728165140</t>
        </is>
      </c>
      <c r="B59" s="85" t="inlineStr">
        <is>
          <t>rey_selecto</t>
        </is>
      </c>
      <c r="C59" s="85" t="inlineStr">
        <is>
          <t>MX</t>
        </is>
      </c>
      <c r="D59" s="86" t="n">
        <v>66347</v>
      </c>
      <c r="E59" s="40">
        <f>D59/1.16</f>
        <v/>
      </c>
      <c r="F59" s="86">
        <f>D59/J59</f>
        <v/>
      </c>
      <c r="G59" s="40">
        <f>F59/1.16</f>
        <v/>
      </c>
      <c r="H59" s="87" t="n">
        <v>0</v>
      </c>
      <c r="I59" s="99" t="n">
        <v>5.01</v>
      </c>
      <c r="J59" s="89">
        <f>LET(dec, I59-INT(I59), IF(dec&lt;0.1, INT(I59), IF(dec&lt;=0.7, INT(I59)+0.5, INT(I59)+1)))</f>
        <v/>
      </c>
      <c r="K59" s="90" t="n">
        <v>46210</v>
      </c>
      <c r="L59" s="85" t="inlineStr">
        <is>
          <t>DAVID</t>
        </is>
      </c>
      <c r="M59" s="111" t="n"/>
      <c r="N59" s="111" t="n"/>
      <c r="O59" s="110" t="inlineStr">
        <is>
          <t>JUAN PABLO</t>
        </is>
      </c>
    </row>
    <row r="60">
      <c r="A60" s="85" t="inlineStr">
        <is>
          <t>7660174017333398292</t>
        </is>
      </c>
      <c r="B60" s="85" t="inlineStr">
        <is>
          <t>rey_selecto</t>
        </is>
      </c>
      <c r="C60" s="85" t="inlineStr">
        <is>
          <t>MX</t>
        </is>
      </c>
      <c r="D60" s="86" t="n">
        <v>59990.87</v>
      </c>
      <c r="E60" s="40">
        <f>D60/1.16</f>
        <v/>
      </c>
      <c r="F60" s="86">
        <f>D60/J60</f>
        <v/>
      </c>
      <c r="G60" s="40">
        <f>F60/1.16</f>
        <v/>
      </c>
      <c r="H60" s="87" t="n">
        <v>0</v>
      </c>
      <c r="I60" s="99" t="n">
        <v>5.01</v>
      </c>
      <c r="J60" s="89">
        <f>LET(dec, I60-INT(I60), IF(dec&lt;0.1, INT(I60), IF(dec&lt;=0.7, INT(I60)+0.5, INT(I60)+1)))</f>
        <v/>
      </c>
      <c r="K60" s="90" t="n">
        <v>46211</v>
      </c>
      <c r="L60" s="85" t="inlineStr">
        <is>
          <t>DAVID</t>
        </is>
      </c>
      <c r="M60" s="111" t="n"/>
      <c r="N60" s="111" t="n"/>
      <c r="O60" s="110" t="inlineStr">
        <is>
          <t>JUAN PABLO</t>
        </is>
      </c>
    </row>
    <row r="61">
      <c r="A61" s="85" t="inlineStr">
        <is>
          <t>7660546442271001364</t>
        </is>
      </c>
      <c r="B61" s="85" t="inlineStr">
        <is>
          <t>rey_selecto</t>
        </is>
      </c>
      <c r="C61" s="85" t="inlineStr">
        <is>
          <t>MX</t>
        </is>
      </c>
      <c r="D61" s="86" t="n">
        <v>45362.19</v>
      </c>
      <c r="E61" s="40">
        <f>D61/1.16</f>
        <v/>
      </c>
      <c r="F61" s="86">
        <f>D61/J61</f>
        <v/>
      </c>
      <c r="G61" s="40">
        <f>F61/1.16</f>
        <v/>
      </c>
      <c r="H61" s="87" t="n">
        <v>0</v>
      </c>
      <c r="I61" s="99" t="n">
        <v>3.87</v>
      </c>
      <c r="J61" s="89">
        <f>LET(dec, I61-INT(I61), IF(dec&lt;0.1, INT(I61), IF(dec&lt;=0.7, INT(I61)+0.5, INT(I61)+1)))</f>
        <v/>
      </c>
      <c r="K61" s="90" t="n">
        <v>46212</v>
      </c>
      <c r="L61" s="85" t="inlineStr">
        <is>
          <t>DAVID</t>
        </is>
      </c>
      <c r="M61" s="111" t="n"/>
      <c r="N61" s="111" t="n"/>
      <c r="O61" s="110" t="inlineStr">
        <is>
          <t>JUAN PABLO</t>
        </is>
      </c>
    </row>
    <row r="62">
      <c r="A62" s="85" t="inlineStr">
        <is>
          <t>7660606438473632532</t>
        </is>
      </c>
      <c r="B62" s="85" t="inlineStr">
        <is>
          <t>rey_selecto</t>
        </is>
      </c>
      <c r="C62" s="85" t="inlineStr">
        <is>
          <t>MX</t>
        </is>
      </c>
      <c r="D62" s="86" t="n">
        <v>64276.99</v>
      </c>
      <c r="E62" s="40">
        <f>D62/1.16</f>
        <v/>
      </c>
      <c r="F62" s="86">
        <f>D62/J62</f>
        <v/>
      </c>
      <c r="G62" s="40">
        <f>F62/1.16</f>
        <v/>
      </c>
      <c r="H62" s="87" t="n">
        <v>0</v>
      </c>
      <c r="I62" s="99" t="n">
        <v>3.51</v>
      </c>
      <c r="J62" s="89">
        <f>LET(dec, I62-INT(I62), IF(dec&lt;0.1, INT(I62), IF(dec&lt;=0.7, INT(I62)+0.5, INT(I62)+1)))</f>
        <v/>
      </c>
      <c r="K62" s="90" t="n">
        <v>46212</v>
      </c>
      <c r="L62" s="85" t="inlineStr">
        <is>
          <t>DAVID</t>
        </is>
      </c>
      <c r="M62" s="111" t="n"/>
      <c r="N62" s="111" t="n"/>
      <c r="O62" s="110" t="inlineStr">
        <is>
          <t>JUAN PABLO</t>
        </is>
      </c>
    </row>
    <row r="63">
      <c r="A63" s="85" t="inlineStr">
        <is>
          <t>7660917195450436372</t>
        </is>
      </c>
      <c r="B63" s="85" t="inlineStr">
        <is>
          <t>rey_selecto</t>
        </is>
      </c>
      <c r="C63" s="85" t="inlineStr">
        <is>
          <t>MX</t>
        </is>
      </c>
      <c r="D63" s="86" t="n">
        <v>134911.19</v>
      </c>
      <c r="E63" s="40">
        <f>D63/1.16</f>
        <v/>
      </c>
      <c r="F63" s="86">
        <f>D63/J63</f>
        <v/>
      </c>
      <c r="G63" s="40">
        <f>F63/1.16</f>
        <v/>
      </c>
      <c r="H63" s="87" t="n">
        <v>0</v>
      </c>
      <c r="I63" s="99" t="n">
        <v>6</v>
      </c>
      <c r="J63" s="89">
        <f>LET(dec, I63-INT(I63), IF(dec&lt;0.1, INT(I63), IF(dec&lt;=0.7, INT(I63)+0.5, INT(I63)+1)))</f>
        <v/>
      </c>
      <c r="K63" s="90" t="n">
        <v>46213</v>
      </c>
      <c r="L63" s="85" t="inlineStr">
        <is>
          <t>DAVID</t>
        </is>
      </c>
      <c r="M63" s="111" t="n"/>
      <c r="N63" s="111" t="n"/>
      <c r="O63" s="110" t="inlineStr">
        <is>
          <t>JUAN PABLO</t>
        </is>
      </c>
    </row>
    <row r="64">
      <c r="A64" s="85" t="inlineStr">
        <is>
          <t>7661699784852638482</t>
        </is>
      </c>
      <c r="B64" s="85" t="inlineStr">
        <is>
          <t>rey_selecto</t>
        </is>
      </c>
      <c r="C64" s="85" t="inlineStr">
        <is>
          <t>MX</t>
        </is>
      </c>
      <c r="D64" s="86" t="n">
        <v>187689.18</v>
      </c>
      <c r="E64" s="40">
        <f>D64/1.16</f>
        <v/>
      </c>
      <c r="F64" s="86">
        <f>D64/J64</f>
        <v/>
      </c>
      <c r="G64" s="40">
        <f>F64/1.16</f>
        <v/>
      </c>
      <c r="H64" s="87" t="n">
        <v>0</v>
      </c>
      <c r="I64" s="99" t="n">
        <v>6.18</v>
      </c>
      <c r="J64" s="89">
        <f>LET(dec, I64-INT(I64), IF(dec&lt;0.1, INT(I64), IF(dec&lt;=0.7, INT(I64)+0.5, INT(I64)+1)))</f>
        <v/>
      </c>
      <c r="K64" s="90" t="n">
        <v>46215</v>
      </c>
      <c r="L64" s="85" t="inlineStr">
        <is>
          <t>DAVID</t>
        </is>
      </c>
      <c r="M64" s="111" t="n"/>
      <c r="N64" s="111" t="n"/>
      <c r="O64" s="110" t="inlineStr">
        <is>
          <t>JUAN PABLO</t>
        </is>
      </c>
    </row>
    <row r="65">
      <c r="A65" s="85" t="inlineStr">
        <is>
          <t>7662029074813946631</t>
        </is>
      </c>
      <c r="B65" s="85" t="inlineStr">
        <is>
          <t>rey_selecto</t>
        </is>
      </c>
      <c r="C65" s="85" t="inlineStr">
        <is>
          <t>MX</t>
        </is>
      </c>
      <c r="D65" s="86" t="n">
        <v>45020.26</v>
      </c>
      <c r="E65" s="40">
        <f>D65/1.16</f>
        <v/>
      </c>
      <c r="F65" s="86">
        <f>D65/J65</f>
        <v/>
      </c>
      <c r="G65" s="40">
        <f>F65/1.16</f>
        <v/>
      </c>
      <c r="H65" s="87" t="n">
        <v>0</v>
      </c>
      <c r="I65" s="99" t="n">
        <v>3.06</v>
      </c>
      <c r="J65" s="89">
        <f>LET(dec, I65-INT(I65), IF(dec&lt;0.1, INT(I65), IF(dec&lt;=0.7, INT(I65)+0.5, INT(I65)+1)))</f>
        <v/>
      </c>
      <c r="K65" s="90" t="n">
        <v>46216</v>
      </c>
      <c r="L65" s="85" t="inlineStr">
        <is>
          <t>DAVID</t>
        </is>
      </c>
      <c r="M65" s="111" t="n"/>
      <c r="N65" s="111" t="n"/>
      <c r="O65" s="110" t="inlineStr">
        <is>
          <t>JUAN PABLO</t>
        </is>
      </c>
    </row>
    <row r="66">
      <c r="A66" s="85" t="inlineStr">
        <is>
          <t>7662401690348653320</t>
        </is>
      </c>
      <c r="B66" s="85" t="inlineStr">
        <is>
          <t>rey_selecto</t>
        </is>
      </c>
      <c r="C66" s="85" t="inlineStr">
        <is>
          <t>MX</t>
        </is>
      </c>
      <c r="D66" s="86" t="n">
        <v>70598.10000000001</v>
      </c>
      <c r="E66" s="40">
        <f>D66/1.16</f>
        <v/>
      </c>
      <c r="F66" s="86">
        <f>D66/J66</f>
        <v/>
      </c>
      <c r="G66" s="40">
        <f>F66/1.16</f>
        <v/>
      </c>
      <c r="H66" s="87" t="n">
        <v>0</v>
      </c>
      <c r="I66" s="99" t="n">
        <v>5.02</v>
      </c>
      <c r="J66" s="89">
        <f>LET(dec, I66-INT(I66), IF(dec&lt;0.1, INT(I66), IF(dec&lt;=0.7, INT(I66)+0.5, INT(I66)+1)))</f>
        <v/>
      </c>
      <c r="K66" s="90" t="n">
        <v>46217</v>
      </c>
      <c r="L66" s="85" t="inlineStr">
        <is>
          <t>DAVID</t>
        </is>
      </c>
      <c r="M66" s="111" t="n"/>
      <c r="N66" s="111" t="n"/>
      <c r="O66" s="110" t="inlineStr">
        <is>
          <t>JUAN PABLO</t>
        </is>
      </c>
    </row>
    <row r="67">
      <c r="A67" s="85" t="inlineStr">
        <is>
          <t>7662773047962733330</t>
        </is>
      </c>
      <c r="B67" s="85" t="inlineStr">
        <is>
          <t>rey_selecto</t>
        </is>
      </c>
      <c r="C67" s="85" t="inlineStr">
        <is>
          <t>MX</t>
        </is>
      </c>
      <c r="D67" s="86" t="n">
        <v>175176.47</v>
      </c>
      <c r="E67" s="40">
        <f>D67/1.16</f>
        <v/>
      </c>
      <c r="F67" s="86">
        <f>D67/J67</f>
        <v/>
      </c>
      <c r="G67" s="40">
        <f>F67/1.16</f>
        <v/>
      </c>
      <c r="H67" s="87" t="n">
        <v>0</v>
      </c>
      <c r="I67" s="99" t="n">
        <v>9.15</v>
      </c>
      <c r="J67" s="89">
        <f>LET(dec, I67-INT(I67), IF(dec&lt;0.1, INT(I67), IF(dec&lt;=0.7, INT(I67)+0.5, INT(I67)+1)))</f>
        <v/>
      </c>
      <c r="K67" s="90" t="n">
        <v>46218</v>
      </c>
      <c r="L67" s="85" t="inlineStr">
        <is>
          <t>DAVID</t>
        </is>
      </c>
      <c r="M67" s="111" t="n"/>
      <c r="N67" s="111" t="n"/>
      <c r="O67" s="110" t="inlineStr">
        <is>
          <t>JUAN PABLO</t>
        </is>
      </c>
    </row>
    <row r="68">
      <c r="A68" s="85" t="inlineStr">
        <is>
          <t>7663143171848702738</t>
        </is>
      </c>
      <c r="B68" s="85" t="inlineStr">
        <is>
          <t>rey_selecto</t>
        </is>
      </c>
      <c r="C68" s="85" t="inlineStr">
        <is>
          <t>MX</t>
        </is>
      </c>
      <c r="D68" s="86" t="n">
        <v>182000.78</v>
      </c>
      <c r="E68" s="40">
        <f>D68/1.16</f>
        <v/>
      </c>
      <c r="F68" s="86">
        <f>D68/J68</f>
        <v/>
      </c>
      <c r="G68" s="40">
        <f>F68/1.16</f>
        <v/>
      </c>
      <c r="H68" s="87" t="n">
        <v>0</v>
      </c>
      <c r="I68" s="99" t="n">
        <v>10.22</v>
      </c>
      <c r="J68" s="89">
        <f>LET(dec, I68-INT(I68), IF(dec&lt;0.1, INT(I68), IF(dec&lt;=0.7, INT(I68)+0.5, INT(I68)+1)))</f>
        <v/>
      </c>
      <c r="K68" s="90" t="n">
        <v>46219</v>
      </c>
      <c r="L68" s="85" t="inlineStr">
        <is>
          <t>DAVID</t>
        </is>
      </c>
      <c r="M68" s="111" t="n"/>
      <c r="N68" s="111" t="n"/>
      <c r="O68" s="110" t="inlineStr">
        <is>
          <t>JUAN PABLO</t>
        </is>
      </c>
    </row>
    <row r="69">
      <c r="A69" s="85" t="inlineStr">
        <is>
          <t>7663514933770488594</t>
        </is>
      </c>
      <c r="B69" s="85" t="inlineStr">
        <is>
          <t>rey_selecto</t>
        </is>
      </c>
      <c r="C69" s="85" t="inlineStr">
        <is>
          <t>MX</t>
        </is>
      </c>
      <c r="D69" s="86" t="n">
        <v>177497.37</v>
      </c>
      <c r="E69" s="40">
        <f>D69/1.16</f>
        <v/>
      </c>
      <c r="F69" s="86">
        <f>D69/J69</f>
        <v/>
      </c>
      <c r="G69" s="40">
        <f>F69/1.16</f>
        <v/>
      </c>
      <c r="H69" s="87" t="n">
        <v>0</v>
      </c>
      <c r="I69" s="99" t="n">
        <v>7.3</v>
      </c>
      <c r="J69" s="89">
        <f>LET(dec, I69-INT(I69), IF(dec&lt;0.1, INT(I69), IF(dec&lt;=0.7, INT(I69)+0.5, INT(I69)+1)))</f>
        <v/>
      </c>
      <c r="K69" s="90" t="n">
        <v>46220</v>
      </c>
      <c r="L69" s="85" t="inlineStr">
        <is>
          <t>DAVID</t>
        </is>
      </c>
      <c r="M69" s="111" t="n"/>
      <c r="N69" s="111" t="n"/>
      <c r="O69" s="110" t="inlineStr">
        <is>
          <t>JUAN PABLO</t>
        </is>
      </c>
    </row>
    <row r="70">
      <c r="A70" s="85" t="inlineStr">
        <is>
          <t>7663919529740651285</t>
        </is>
      </c>
      <c r="B70" s="85" t="inlineStr">
        <is>
          <t>rey_selecto</t>
        </is>
      </c>
      <c r="C70" s="85" t="inlineStr">
        <is>
          <t>MX</t>
        </is>
      </c>
      <c r="D70" s="86" t="n">
        <v>92554.09</v>
      </c>
      <c r="E70" s="40">
        <f>D70/1.16</f>
        <v/>
      </c>
      <c r="F70" s="86">
        <f>D70/J70</f>
        <v/>
      </c>
      <c r="G70" s="40">
        <f>F70/1.16</f>
        <v/>
      </c>
      <c r="H70" s="87" t="n">
        <v>0</v>
      </c>
      <c r="I70" s="99" t="n">
        <v>4.02</v>
      </c>
      <c r="J70" s="89">
        <f>LET(dec, I70-INT(I70), IF(dec&lt;0.1, INT(I70), IF(dec&lt;=0.7, INT(I70)+0.5, INT(I70)+1)))</f>
        <v/>
      </c>
      <c r="K70" s="90" t="n">
        <v>46221</v>
      </c>
      <c r="L70" s="85" t="inlineStr">
        <is>
          <t>DAVID</t>
        </is>
      </c>
      <c r="M70" s="111" t="n"/>
      <c r="N70" s="111" t="n"/>
      <c r="O70" s="110" t="inlineStr">
        <is>
          <t>JUAN PABLO</t>
        </is>
      </c>
    </row>
    <row r="71">
      <c r="A71" s="85" t="inlineStr">
        <is>
          <t>7664626918323456776</t>
        </is>
      </c>
      <c r="B71" s="85" t="inlineStr">
        <is>
          <t>rey_selecto</t>
        </is>
      </c>
      <c r="C71" s="85" t="inlineStr">
        <is>
          <t>MX</t>
        </is>
      </c>
      <c r="D71" s="86" t="n">
        <v>130597.17</v>
      </c>
      <c r="E71" s="40">
        <f>D71/1.16</f>
        <v/>
      </c>
      <c r="F71" s="86">
        <f>D71/J71</f>
        <v/>
      </c>
      <c r="G71" s="40">
        <f>F71/1.16</f>
        <v/>
      </c>
      <c r="H71" s="87" t="n">
        <v>0</v>
      </c>
      <c r="I71" s="99" t="n">
        <v>6.01</v>
      </c>
      <c r="J71" s="89">
        <f>LET(dec, I71-INT(I71), IF(dec&lt;0.1, INT(I71), IF(dec&lt;=0.7, INT(I71)+0.5, INT(I71)+1)))</f>
        <v/>
      </c>
      <c r="K71" s="90" t="n">
        <v>46223</v>
      </c>
      <c r="L71" s="85" t="inlineStr">
        <is>
          <t>DAVID</t>
        </is>
      </c>
      <c r="M71" s="111" t="n"/>
      <c r="N71" s="111" t="n"/>
      <c r="O71" s="110" t="inlineStr">
        <is>
          <t>JUAN PABLO</t>
        </is>
      </c>
    </row>
    <row r="72">
      <c r="A72" s="85" t="inlineStr">
        <is>
          <t>7664998114043087636</t>
        </is>
      </c>
      <c r="B72" s="85" t="inlineStr">
        <is>
          <t>rey_selecto</t>
        </is>
      </c>
      <c r="C72" s="85" t="inlineStr">
        <is>
          <t>MX</t>
        </is>
      </c>
      <c r="D72" s="86" t="n">
        <v>83018.27</v>
      </c>
      <c r="E72" s="40">
        <f>D72/1.16</f>
        <v/>
      </c>
      <c r="F72" s="86">
        <f>D72/J72</f>
        <v/>
      </c>
      <c r="G72" s="40">
        <f>F72/1.16</f>
        <v/>
      </c>
      <c r="H72" s="87" t="n">
        <v>0</v>
      </c>
      <c r="I72" s="99" t="n">
        <v>5.18</v>
      </c>
      <c r="J72" s="89">
        <f>LET(dec, I72-INT(I72), IF(dec&lt;0.1, INT(I72), IF(dec&lt;=0.7, INT(I72)+0.5, INT(I72)+1)))</f>
        <v/>
      </c>
      <c r="K72" s="90" t="n">
        <v>46224</v>
      </c>
      <c r="L72" s="85" t="inlineStr">
        <is>
          <t>DAVID</t>
        </is>
      </c>
      <c r="M72" s="111" t="n"/>
      <c r="N72" s="111" t="n"/>
      <c r="O72" s="110" t="inlineStr">
        <is>
          <t>JUAN PABLO</t>
        </is>
      </c>
    </row>
    <row r="73">
      <c r="A73" s="85" t="inlineStr">
        <is>
          <t>7665370420534725396</t>
        </is>
      </c>
      <c r="B73" s="85" t="inlineStr">
        <is>
          <t>rey_selecto</t>
        </is>
      </c>
      <c r="C73" s="85" t="inlineStr">
        <is>
          <t>MX</t>
        </is>
      </c>
      <c r="D73" s="86" t="n">
        <v>173787.69</v>
      </c>
      <c r="E73" s="40">
        <f>D73/1.16</f>
        <v/>
      </c>
      <c r="F73" s="86">
        <f>D73/J73</f>
        <v/>
      </c>
      <c r="G73" s="40">
        <f>F73/1.16</f>
        <v/>
      </c>
      <c r="H73" s="87" t="n">
        <v>0</v>
      </c>
      <c r="I73" s="99" t="n">
        <v>7.03</v>
      </c>
      <c r="J73" s="89">
        <f>LET(dec, I73-INT(I73), IF(dec&lt;0.1, INT(I73), IF(dec&lt;=0.7, INT(I73)+0.5, INT(I73)+1)))</f>
        <v/>
      </c>
      <c r="K73" s="90" t="n">
        <v>46225</v>
      </c>
      <c r="L73" s="85" t="inlineStr">
        <is>
          <t>DAVID</t>
        </is>
      </c>
      <c r="M73" s="111" t="n"/>
      <c r="N73" s="111" t="n"/>
      <c r="O73" s="110" t="inlineStr">
        <is>
          <t>JUAN PABLO</t>
        </is>
      </c>
    </row>
    <row r="74">
      <c r="A74" s="85" t="inlineStr">
        <is>
          <t>7665742427883473672</t>
        </is>
      </c>
      <c r="B74" s="85" t="inlineStr">
        <is>
          <t>rey_selecto</t>
        </is>
      </c>
      <c r="C74" s="85" t="inlineStr">
        <is>
          <t>MX</t>
        </is>
      </c>
      <c r="D74" s="86" t="n">
        <v>150734.28</v>
      </c>
      <c r="E74" s="40">
        <f>D74/1.16</f>
        <v/>
      </c>
      <c r="F74" s="86">
        <f>D74/J74</f>
        <v/>
      </c>
      <c r="G74" s="40">
        <f>F74/1.16</f>
        <v/>
      </c>
      <c r="H74" s="87" t="n">
        <v>0</v>
      </c>
      <c r="I74" s="99" t="n">
        <v>9.59</v>
      </c>
      <c r="J74" s="89">
        <f>LET(dec, I74-INT(I74), IF(dec&lt;0.1, INT(I74), IF(dec&lt;=0.7, INT(I74)+0.5, INT(I74)+1)))</f>
        <v/>
      </c>
      <c r="K74" s="90" t="n">
        <v>46226</v>
      </c>
      <c r="L74" s="85" t="inlineStr">
        <is>
          <t>DAVID</t>
        </is>
      </c>
      <c r="M74" s="111" t="n"/>
      <c r="N74" s="111" t="n"/>
      <c r="O74" s="110" t="inlineStr">
        <is>
          <t>JUAN PABLO</t>
        </is>
      </c>
    </row>
    <row r="75">
      <c r="A75" s="85" t="inlineStr">
        <is>
          <t>7666112956807678740</t>
        </is>
      </c>
      <c r="B75" s="85" t="inlineStr">
        <is>
          <t>rey_selecto</t>
        </is>
      </c>
      <c r="C75" s="85" t="inlineStr">
        <is>
          <t>MX</t>
        </is>
      </c>
      <c r="D75" s="86" t="n">
        <v>143399.37</v>
      </c>
      <c r="E75" s="40">
        <f>D75/1.16</f>
        <v/>
      </c>
      <c r="F75" s="86">
        <f>D75/J75</f>
        <v/>
      </c>
      <c r="G75" s="40">
        <f>F75/1.16</f>
        <v/>
      </c>
      <c r="H75" s="87" t="n">
        <v>0</v>
      </c>
      <c r="I75" s="99" t="n">
        <v>7.94</v>
      </c>
      <c r="J75" s="89">
        <f>LET(dec, I75-INT(I75), IF(dec&lt;0.1, INT(I75), IF(dec&lt;=0.7, INT(I75)+0.5, INT(I75)+1)))</f>
        <v/>
      </c>
      <c r="K75" s="90" t="n">
        <v>46227</v>
      </c>
      <c r="L75" s="85" t="inlineStr">
        <is>
          <t>DAVID</t>
        </is>
      </c>
      <c r="M75" s="111" t="n"/>
      <c r="N75" s="111" t="n"/>
      <c r="O75" s="110" t="inlineStr">
        <is>
          <t>JUAN PABLO</t>
        </is>
      </c>
    </row>
    <row r="76">
      <c r="A76" s="85" t="inlineStr">
        <is>
          <t>7667224509373598485</t>
        </is>
      </c>
      <c r="B76" s="85" t="inlineStr">
        <is>
          <t>rey_selecto</t>
        </is>
      </c>
      <c r="C76" s="85" t="inlineStr">
        <is>
          <t>MX</t>
        </is>
      </c>
      <c r="D76" s="86" t="n">
        <v>91621.86</v>
      </c>
      <c r="E76" s="40">
        <f>D76/1.16</f>
        <v/>
      </c>
      <c r="F76" s="86">
        <f>D76/J76</f>
        <v/>
      </c>
      <c r="G76" s="40">
        <f>F76/1.16</f>
        <v/>
      </c>
      <c r="H76" s="87" t="n">
        <v>0</v>
      </c>
      <c r="I76" s="99" t="n">
        <v>6</v>
      </c>
      <c r="J76" s="89">
        <f>LET(dec, I76-INT(I76), IF(dec&lt;0.1, INT(I76), IF(dec&lt;=0.7, INT(I76)+0.5, INT(I76)+1)))</f>
        <v/>
      </c>
      <c r="K76" s="90" t="n">
        <v>46230</v>
      </c>
      <c r="L76" s="85" t="inlineStr">
        <is>
          <t>DAVID</t>
        </is>
      </c>
      <c r="M76" s="111" t="n"/>
      <c r="N76" s="111" t="n"/>
      <c r="O76" s="110" t="inlineStr">
        <is>
          <t>JUAN PABLO</t>
        </is>
      </c>
    </row>
    <row r="77">
      <c r="D77" s="113" t="n"/>
      <c r="F77" s="113" t="n"/>
      <c r="K77" s="84" t="n"/>
    </row>
    <row r="78">
      <c r="A78" s="7" t="inlineStr">
        <is>
          <t>Room ID</t>
        </is>
      </c>
      <c r="B78" s="7" t="inlineStr">
        <is>
          <t>TT Handle</t>
        </is>
      </c>
      <c r="C78" s="7" t="inlineStr">
        <is>
          <t>Country</t>
        </is>
      </c>
      <c r="D78" s="7" t="inlineStr">
        <is>
          <t>GMV</t>
        </is>
      </c>
      <c r="E78" s="7" t="inlineStr">
        <is>
          <t>GMV/sin IVA</t>
        </is>
      </c>
      <c r="F78" s="7" t="inlineStr">
        <is>
          <t>GMV PER HOUR</t>
        </is>
      </c>
      <c r="G78" s="7" t="inlineStr">
        <is>
          <t>GMV PER HOUR/sin EVA</t>
        </is>
      </c>
      <c r="H78" s="7" t="inlineStr">
        <is>
          <t>Ads Cost</t>
        </is>
      </c>
      <c r="I78" s="7" t="inlineStr">
        <is>
          <t>Duration (H)</t>
        </is>
      </c>
      <c r="J78" s="28" t="inlineStr">
        <is>
          <t>Duration （Formula）</t>
        </is>
      </c>
      <c r="K78" s="105" t="inlineStr">
        <is>
          <t>Start date</t>
        </is>
      </c>
      <c r="L78" s="71" t="inlineStr">
        <is>
          <t>HOST 1</t>
        </is>
      </c>
      <c r="M78" s="71" t="inlineStr">
        <is>
          <t xml:space="preserve">HOST 2 </t>
        </is>
      </c>
      <c r="N78" s="71" t="inlineStr">
        <is>
          <t>HOST 3</t>
        </is>
      </c>
      <c r="O78" s="71" t="inlineStr">
        <is>
          <t>Operator</t>
        </is>
      </c>
    </row>
    <row r="79">
      <c r="A79" s="85" t="inlineStr">
        <is>
          <t>7667596167988153095</t>
        </is>
      </c>
      <c r="B79" s="85" t="inlineStr">
        <is>
          <t>rey_selecto</t>
        </is>
      </c>
      <c r="C79" s="85" t="inlineStr">
        <is>
          <t>MX</t>
        </is>
      </c>
      <c r="D79" s="86" t="n">
        <v>88735.07000000001</v>
      </c>
      <c r="E79" s="40">
        <f>D79/1.16</f>
        <v/>
      </c>
      <c r="F79" s="86">
        <f>E79/J79</f>
        <v/>
      </c>
      <c r="G79" s="40">
        <f>F79/1.16</f>
        <v/>
      </c>
      <c r="H79" s="87" t="n">
        <v>0</v>
      </c>
      <c r="I79" s="99" t="n">
        <v>5.53</v>
      </c>
      <c r="J79" s="89">
        <f>LET(dec, I79-INT(I79), IF(dec&lt;0.1, INT(I79), IF(dec&lt;=0.7, INT(I79)+0.5, INT(I79)+1)))</f>
        <v/>
      </c>
      <c r="K79" s="90" t="n">
        <v>46231</v>
      </c>
      <c r="L79" s="85" t="inlineStr">
        <is>
          <t>DAVID</t>
        </is>
      </c>
      <c r="M79" s="111" t="n"/>
      <c r="N79" s="111" t="n"/>
      <c r="O79" s="110" t="inlineStr">
        <is>
          <t>JUAN PABLO</t>
        </is>
      </c>
    </row>
    <row r="80">
      <c r="A80" s="85" t="inlineStr">
        <is>
          <t>7667968354976254741</t>
        </is>
      </c>
      <c r="B80" s="85" t="inlineStr">
        <is>
          <t>rey_selecto</t>
        </is>
      </c>
      <c r="C80" s="85" t="inlineStr">
        <is>
          <t>MX</t>
        </is>
      </c>
      <c r="D80" s="86" t="n">
        <v>72408.36</v>
      </c>
      <c r="E80" s="40">
        <f>D80/1.16</f>
        <v/>
      </c>
      <c r="F80" s="86">
        <f>E80/J80</f>
        <v/>
      </c>
      <c r="G80" s="40">
        <f>F80/1.16</f>
        <v/>
      </c>
      <c r="H80" s="87" t="n">
        <v>0</v>
      </c>
      <c r="I80" s="99" t="n">
        <v>5.02</v>
      </c>
      <c r="J80" s="89">
        <f>LET(dec, I80-INT(I80), IF(dec&lt;0.1, INT(I80), IF(dec&lt;=0.7, INT(I80)+0.5, INT(I80)+1)))</f>
        <v/>
      </c>
      <c r="K80" s="90" t="n">
        <v>46232</v>
      </c>
      <c r="L80" s="85" t="inlineStr">
        <is>
          <t>DAVID</t>
        </is>
      </c>
      <c r="M80" s="111" t="n"/>
      <c r="N80" s="111" t="n"/>
      <c r="O80" s="110" t="inlineStr">
        <is>
          <t>JUAN PABLO</t>
        </is>
      </c>
    </row>
    <row r="81">
      <c r="A81" s="85" t="inlineStr">
        <is>
          <t>7668336921856985876</t>
        </is>
      </c>
      <c r="B81" s="85" t="inlineStr">
        <is>
          <t>rey_selecto</t>
        </is>
      </c>
      <c r="C81" s="85" t="inlineStr">
        <is>
          <t>MX</t>
        </is>
      </c>
      <c r="D81" s="86" t="n">
        <v>76633.91</v>
      </c>
      <c r="E81" s="40">
        <f>D81/1.16</f>
        <v/>
      </c>
      <c r="F81" s="86">
        <f>E81/J81</f>
        <v/>
      </c>
      <c r="G81" s="40">
        <f>F81/1.16</f>
        <v/>
      </c>
      <c r="H81" s="87" t="n">
        <v>0</v>
      </c>
      <c r="I81" s="99" t="n">
        <v>5.19</v>
      </c>
      <c r="J81" s="89">
        <f>LET(dec, I81-INT(I81), IF(dec&lt;0.1, INT(I81), IF(dec&lt;=0.7, INT(I81)+0.5, INT(I81)+1)))</f>
        <v/>
      </c>
      <c r="K81" s="90" t="n">
        <v>46233</v>
      </c>
      <c r="L81" s="85" t="inlineStr">
        <is>
          <t>DAVID</t>
        </is>
      </c>
      <c r="M81" s="111" t="n"/>
      <c r="N81" s="111" t="n"/>
      <c r="O81" s="110" t="inlineStr">
        <is>
          <t>JUAN PABLO</t>
        </is>
      </c>
    </row>
    <row r="82">
      <c r="A82" s="85" t="inlineStr">
        <is>
          <t>7668711406427294471</t>
        </is>
      </c>
      <c r="B82" s="85" t="inlineStr">
        <is>
          <t>rey_selecto</t>
        </is>
      </c>
      <c r="C82" s="85" t="inlineStr">
        <is>
          <t>MX</t>
        </is>
      </c>
      <c r="D82" s="86" t="n">
        <v>88407.89</v>
      </c>
      <c r="E82" s="40">
        <f>D82/1.16</f>
        <v/>
      </c>
      <c r="F82" s="86">
        <f>E82/J82</f>
        <v/>
      </c>
      <c r="G82" s="40">
        <f>F82/1.16</f>
        <v/>
      </c>
      <c r="H82" s="87" t="n">
        <v>0</v>
      </c>
      <c r="I82" s="99" t="n">
        <v>6.01</v>
      </c>
      <c r="J82" s="89">
        <f>LET(dec, I82-INT(I82), IF(dec&lt;0.1, INT(I82), IF(dec&lt;=0.7, INT(I82)+0.5, INT(I82)+1)))</f>
        <v/>
      </c>
      <c r="K82" s="90" t="n">
        <v>46234</v>
      </c>
      <c r="L82" s="85" t="inlineStr">
        <is>
          <t>DAVID</t>
        </is>
      </c>
      <c r="M82" s="111" t="n"/>
      <c r="N82" s="111" t="n"/>
      <c r="O82" s="110" t="inlineStr">
        <is>
          <t>JUAN PABLO</t>
        </is>
      </c>
    </row>
    <row r="83">
      <c r="A83" s="85" t="inlineStr">
        <is>
          <t>7669468950366833428</t>
        </is>
      </c>
      <c r="B83" s="85" t="inlineStr">
        <is>
          <t>rey_selecto</t>
        </is>
      </c>
      <c r="C83" s="85" t="inlineStr">
        <is>
          <t>MX</t>
        </is>
      </c>
      <c r="D83" s="86" t="n">
        <v>221499.07</v>
      </c>
      <c r="E83" s="40">
        <f>D83/1.16</f>
        <v/>
      </c>
      <c r="F83" s="86">
        <f>E83/J83</f>
        <v/>
      </c>
      <c r="G83" s="40">
        <f>F83/1.16</f>
        <v/>
      </c>
      <c r="H83" s="87" t="n">
        <v>0</v>
      </c>
      <c r="I83" s="99" t="n">
        <v>6.34</v>
      </c>
      <c r="J83" s="89">
        <f>LET(dec, I83-INT(I83), IF(dec&lt;0.1, INT(I83), IF(dec&lt;=0.7, INT(I83)+0.5, INT(I83)+1)))</f>
        <v/>
      </c>
      <c r="K83" s="90" t="n">
        <v>46236</v>
      </c>
      <c r="L83" s="85" t="inlineStr">
        <is>
          <t>DAVID</t>
        </is>
      </c>
      <c r="M83" s="111" t="n"/>
      <c r="N83" s="111" t="n"/>
      <c r="O83" s="110" t="inlineStr">
        <is>
          <t>JUAN PABLO</t>
        </is>
      </c>
    </row>
    <row r="84">
      <c r="A84" s="85" t="inlineStr">
        <is>
          <t>7669822586081168136</t>
        </is>
      </c>
      <c r="B84" s="85" t="inlineStr">
        <is>
          <t>rey_selecto</t>
        </is>
      </c>
      <c r="C84" s="85" t="inlineStr">
        <is>
          <t>MX</t>
        </is>
      </c>
      <c r="D84" s="86" t="n">
        <v>183834.01</v>
      </c>
      <c r="E84" s="40">
        <f>D84/1.16</f>
        <v/>
      </c>
      <c r="F84" s="86">
        <f>E84/J84</f>
        <v/>
      </c>
      <c r="G84" s="40">
        <f>F84/1.16</f>
        <v/>
      </c>
      <c r="H84" s="87" t="n">
        <v>0</v>
      </c>
      <c r="I84" s="99" t="n">
        <v>9.640000000000001</v>
      </c>
      <c r="J84" s="89">
        <f>LET(dec, I84-INT(I84), IF(dec&lt;0.1, INT(I84), IF(dec&lt;=0.7, INT(I84)+0.5, INT(I84)+1)))</f>
        <v/>
      </c>
      <c r="K84" s="90" t="n">
        <v>46237</v>
      </c>
      <c r="L84" s="85" t="inlineStr">
        <is>
          <t>DAVID</t>
        </is>
      </c>
      <c r="M84" s="111" t="n"/>
      <c r="N84" s="111" t="n"/>
      <c r="O84" s="110" t="inlineStr">
        <is>
          <t>JUAN PABLO</t>
        </is>
      </c>
    </row>
    <row r="85">
      <c r="A85" s="85" t="inlineStr">
        <is>
          <t>7670196867398159112</t>
        </is>
      </c>
      <c r="B85" s="85" t="inlineStr">
        <is>
          <t>rey_selecto</t>
        </is>
      </c>
      <c r="C85" s="85" t="inlineStr">
        <is>
          <t>MX</t>
        </is>
      </c>
      <c r="D85" s="86" t="n">
        <v>150026.97</v>
      </c>
      <c r="E85" s="40">
        <f>D85/1.16</f>
        <v/>
      </c>
      <c r="F85" s="86">
        <f>E85/J85</f>
        <v/>
      </c>
      <c r="G85" s="40">
        <f>F85/1.16</f>
        <v/>
      </c>
      <c r="H85" s="87" t="n">
        <v>0</v>
      </c>
      <c r="I85" s="99" t="n">
        <v>9.23</v>
      </c>
      <c r="J85" s="89">
        <f>LET(dec, I85-INT(I85), IF(dec&lt;0.1, INT(I85), IF(dec&lt;=0.7, INT(I85)+0.5, INT(I85)+1)))</f>
        <v/>
      </c>
      <c r="K85" s="90" t="n">
        <v>46238</v>
      </c>
      <c r="L85" s="85" t="inlineStr">
        <is>
          <t>DAVID</t>
        </is>
      </c>
      <c r="M85" s="111" t="n"/>
      <c r="N85" s="111" t="n"/>
      <c r="O85" s="110" t="inlineStr">
        <is>
          <t>JUAN PABLO</t>
        </is>
      </c>
    </row>
    <row r="86">
      <c r="A86" s="85" t="inlineStr">
        <is>
          <t>7670566821909449480</t>
        </is>
      </c>
      <c r="B86" s="85" t="inlineStr">
        <is>
          <t>rey_selecto</t>
        </is>
      </c>
      <c r="C86" s="85" t="inlineStr">
        <is>
          <t>MX</t>
        </is>
      </c>
      <c r="D86" s="86" t="n">
        <v>44935.2</v>
      </c>
      <c r="E86" s="40">
        <f>D86/1.16</f>
        <v/>
      </c>
      <c r="F86" s="86">
        <f>E86/J86</f>
        <v/>
      </c>
      <c r="G86" s="40">
        <f>F86/1.16</f>
        <v/>
      </c>
      <c r="H86" s="87" t="n">
        <v>0</v>
      </c>
      <c r="I86" s="99" t="n">
        <v>4.1</v>
      </c>
      <c r="J86" s="89">
        <f>LET(dec, I86-INT(I86), IF(dec&lt;0.1, INT(I86), IF(dec&lt;=0.7, INT(I86)+0.5, INT(I86)+1)))</f>
        <v/>
      </c>
      <c r="K86" s="90" t="n">
        <v>46239</v>
      </c>
      <c r="L86" s="85" t="inlineStr">
        <is>
          <t>DAVID</t>
        </is>
      </c>
      <c r="M86" s="111" t="n"/>
      <c r="N86" s="111" t="n"/>
      <c r="O86" s="110" t="inlineStr">
        <is>
          <t>JUAN PABLO</t>
        </is>
      </c>
    </row>
    <row r="87">
      <c r="A87" s="85" t="inlineStr">
        <is>
          <t>7670924300723030804</t>
        </is>
      </c>
      <c r="B87" s="85" t="inlineStr">
        <is>
          <t>rey_selecto</t>
        </is>
      </c>
      <c r="C87" s="85" t="inlineStr">
        <is>
          <t>MX</t>
        </is>
      </c>
      <c r="D87" s="86" t="n">
        <v>45707.24</v>
      </c>
      <c r="E87" s="40">
        <f>D87/1.16</f>
        <v/>
      </c>
      <c r="F87" s="86">
        <f>E87/J87</f>
        <v/>
      </c>
      <c r="G87" s="40">
        <f>F87/1.16</f>
        <v/>
      </c>
      <c r="H87" s="87" t="n">
        <v>0</v>
      </c>
      <c r="I87" s="99" t="n">
        <v>3.93</v>
      </c>
      <c r="J87" s="89">
        <f>LET(dec, I87-INT(I87), IF(dec&lt;0.1, INT(I87), IF(dec&lt;=0.7, INT(I87)+0.5, INT(I87)+1)))</f>
        <v/>
      </c>
      <c r="K87" s="90" t="n">
        <v>46240</v>
      </c>
      <c r="L87" s="85" t="inlineStr">
        <is>
          <t>DAVID</t>
        </is>
      </c>
      <c r="M87" s="111" t="n"/>
      <c r="N87" s="111" t="n"/>
      <c r="O87" s="110" t="inlineStr">
        <is>
          <t>JUAN PABLO</t>
        </is>
      </c>
    </row>
    <row r="88">
      <c r="A88" s="85" t="inlineStr">
        <is>
          <t>7671295699463555847</t>
        </is>
      </c>
      <c r="B88" s="85" t="inlineStr">
        <is>
          <t>rey_selecto</t>
        </is>
      </c>
      <c r="C88" s="85" t="inlineStr">
        <is>
          <t>MX</t>
        </is>
      </c>
      <c r="D88" s="86" t="n">
        <v>71646.49000000001</v>
      </c>
      <c r="E88" s="40">
        <f>D88/1.16</f>
        <v/>
      </c>
      <c r="F88" s="86">
        <f>E88/J88</f>
        <v/>
      </c>
      <c r="G88" s="40">
        <f>F88/1.16</f>
        <v/>
      </c>
      <c r="H88" s="87" t="n">
        <v>0</v>
      </c>
      <c r="I88" s="99" t="n">
        <v>5.26</v>
      </c>
      <c r="J88" s="89">
        <f>LET(dec, I88-INT(I88), IF(dec&lt;0.1, INT(I88), IF(dec&lt;=0.7, INT(I88)+0.5, INT(I88)+1)))</f>
        <v/>
      </c>
      <c r="K88" s="90" t="n">
        <v>46241</v>
      </c>
      <c r="L88" s="85" t="inlineStr">
        <is>
          <t>DAVID</t>
        </is>
      </c>
      <c r="M88" s="111" t="n"/>
      <c r="N88" s="111" t="n"/>
      <c r="O88" s="110" t="inlineStr">
        <is>
          <t>JUAN PABLO</t>
        </is>
      </c>
    </row>
    <row r="89">
      <c r="A89" s="85" t="inlineStr">
        <is>
          <t>7672419594566273812</t>
        </is>
      </c>
      <c r="B89" s="85" t="inlineStr">
        <is>
          <t>rey_selecto</t>
        </is>
      </c>
      <c r="C89" s="85" t="inlineStr">
        <is>
          <t>MX</t>
        </is>
      </c>
      <c r="D89" s="86" t="n">
        <v>80850.31</v>
      </c>
      <c r="E89" s="40">
        <f>D89/1.16</f>
        <v/>
      </c>
      <c r="F89" s="86">
        <f>E89/J89</f>
        <v/>
      </c>
      <c r="G89" s="40">
        <f>F89/1.16</f>
        <v/>
      </c>
      <c r="H89" s="87" t="n">
        <v>0</v>
      </c>
      <c r="I89" s="99" t="n">
        <v>5.1</v>
      </c>
      <c r="J89" s="89">
        <f>LET(dec, I89-INT(I89), IF(dec&lt;0.1, INT(I89), IF(dec&lt;=0.7, INT(I89)+0.5, INT(I89)+1)))</f>
        <v/>
      </c>
      <c r="K89" s="90" t="n">
        <v>46244</v>
      </c>
      <c r="L89" s="85" t="inlineStr">
        <is>
          <t>DAVID</t>
        </is>
      </c>
      <c r="M89" s="111" t="n"/>
      <c r="N89" s="111" t="n"/>
      <c r="O89" s="110" t="inlineStr">
        <is>
          <t>JUAN PABLO</t>
        </is>
      </c>
    </row>
    <row r="90">
      <c r="A90" s="85" t="inlineStr">
        <is>
          <t>7672793078748433159</t>
        </is>
      </c>
      <c r="B90" s="85" t="inlineStr">
        <is>
          <t>rey_selecto</t>
        </is>
      </c>
      <c r="C90" s="85" t="inlineStr">
        <is>
          <t>MX</t>
        </is>
      </c>
      <c r="D90" s="86" t="n">
        <v>85539.78</v>
      </c>
      <c r="E90" s="40">
        <f>D90/1.16</f>
        <v/>
      </c>
      <c r="F90" s="86">
        <f>E90/J90</f>
        <v/>
      </c>
      <c r="G90" s="40">
        <f>F90/1.16</f>
        <v/>
      </c>
      <c r="H90" s="87" t="n">
        <v>0</v>
      </c>
      <c r="I90" s="99" t="n">
        <v>6.01</v>
      </c>
      <c r="J90" s="89">
        <f>LET(dec, I90-INT(I90), IF(dec&lt;0.1, INT(I90), IF(dec&lt;=0.7, INT(I90)+0.5, INT(I90)+1)))</f>
        <v/>
      </c>
      <c r="K90" s="90" t="n">
        <v>46245</v>
      </c>
      <c r="L90" s="85" t="inlineStr">
        <is>
          <t>DAVID</t>
        </is>
      </c>
      <c r="M90" s="111" t="n"/>
      <c r="N90" s="111" t="n"/>
      <c r="O90" s="110" t="inlineStr">
        <is>
          <t>JUAN PABLO</t>
        </is>
      </c>
    </row>
    <row r="91">
      <c r="A91" s="85" t="inlineStr">
        <is>
          <t>7673164767830477576</t>
        </is>
      </c>
      <c r="B91" s="85" t="inlineStr">
        <is>
          <t>rey_selecto</t>
        </is>
      </c>
      <c r="C91" s="85" t="inlineStr">
        <is>
          <t>MX</t>
        </is>
      </c>
      <c r="D91" s="86" t="n">
        <v>45199.31</v>
      </c>
      <c r="E91" s="40">
        <f>D91/1.16</f>
        <v/>
      </c>
      <c r="F91" s="86">
        <f>E91/J91</f>
        <v/>
      </c>
      <c r="G91" s="40">
        <f>F91/1.16</f>
        <v/>
      </c>
      <c r="H91" s="87" t="n">
        <v>0</v>
      </c>
      <c r="I91" s="99" t="n">
        <v>5.43</v>
      </c>
      <c r="J91" s="89">
        <f>LET(dec, I91-INT(I91), IF(dec&lt;0.1, INT(I91), IF(dec&lt;=0.7, INT(I91)+0.5, INT(I91)+1)))</f>
        <v/>
      </c>
      <c r="K91" s="90" t="n">
        <v>46246</v>
      </c>
      <c r="L91" s="85" t="inlineStr">
        <is>
          <t>DAVID</t>
        </is>
      </c>
      <c r="M91" s="111" t="n"/>
      <c r="N91" s="111" t="n"/>
      <c r="O91" s="110" t="inlineStr">
        <is>
          <t>JUAN PABLO</t>
        </is>
      </c>
    </row>
    <row r="92">
      <c r="A92" s="85" t="inlineStr">
        <is>
          <t>7673534193860528904</t>
        </is>
      </c>
      <c r="B92" s="85" t="inlineStr">
        <is>
          <t>rey_selecto</t>
        </is>
      </c>
      <c r="C92" s="85" t="inlineStr">
        <is>
          <t>MX</t>
        </is>
      </c>
      <c r="D92" s="86" t="n">
        <v>77984.41</v>
      </c>
      <c r="E92" s="40">
        <f>D92/1.16</f>
        <v/>
      </c>
      <c r="F92" s="86">
        <f>E92/J92</f>
        <v/>
      </c>
      <c r="G92" s="40">
        <f>F92/1.16</f>
        <v/>
      </c>
      <c r="H92" s="87" t="n">
        <v>0</v>
      </c>
      <c r="I92" s="99" t="n">
        <v>5.67</v>
      </c>
      <c r="J92" s="89">
        <f>LET(dec, I92-INT(I92), IF(dec&lt;0.1, INT(I92), IF(dec&lt;=0.7, INT(I92)+0.5, INT(I92)+1)))</f>
        <v/>
      </c>
      <c r="K92" s="90" t="n">
        <v>46247</v>
      </c>
      <c r="L92" s="85" t="inlineStr">
        <is>
          <t>DAVID</t>
        </is>
      </c>
      <c r="M92" s="111" t="n"/>
      <c r="N92" s="111" t="n"/>
      <c r="O92" s="110" t="inlineStr">
        <is>
          <t>JUAN PABLO</t>
        </is>
      </c>
    </row>
    <row r="93">
      <c r="A93" s="85" t="inlineStr">
        <is>
          <t>7673891540804750088</t>
        </is>
      </c>
      <c r="B93" s="85" t="inlineStr">
        <is>
          <t>rey_selecto</t>
        </is>
      </c>
      <c r="C93" s="85" t="inlineStr">
        <is>
          <t>MX</t>
        </is>
      </c>
      <c r="D93" s="86" t="n">
        <v>185218.12</v>
      </c>
      <c r="E93" s="40">
        <f>D93/1.16</f>
        <v/>
      </c>
      <c r="F93" s="86">
        <f>E93/J93</f>
        <v/>
      </c>
      <c r="G93" s="40">
        <f>F93/1.16</f>
        <v/>
      </c>
      <c r="H93" s="87" t="n">
        <v>0</v>
      </c>
      <c r="I93" s="99" t="n">
        <v>9</v>
      </c>
      <c r="J93" s="89">
        <f>LET(dec, I93-INT(I93), IF(dec&lt;0.1, INT(I93), IF(dec&lt;=0.7, INT(I93)+0.5, INT(I93)+1)))</f>
        <v/>
      </c>
      <c r="K93" s="90" t="n">
        <v>46248</v>
      </c>
      <c r="L93" s="85" t="inlineStr">
        <is>
          <t>DAVID</t>
        </is>
      </c>
      <c r="M93" s="111" t="n"/>
      <c r="N93" s="111" t="n"/>
      <c r="O93" s="110" t="inlineStr">
        <is>
          <t>JUAN PABLO</t>
        </is>
      </c>
    </row>
    <row r="94">
      <c r="A94" s="85" t="inlineStr">
        <is>
          <t>7674667480903633684</t>
        </is>
      </c>
      <c r="B94" s="85" t="inlineStr">
        <is>
          <t>rey_selecto</t>
        </is>
      </c>
      <c r="C94" s="85" t="inlineStr">
        <is>
          <t>MX</t>
        </is>
      </c>
      <c r="D94" s="86" t="n">
        <v>182401.24</v>
      </c>
      <c r="E94" s="40">
        <f>D94/1.16</f>
        <v/>
      </c>
      <c r="F94" s="86">
        <f>E94/J94</f>
        <v/>
      </c>
      <c r="G94" s="40">
        <f>F94/1.16</f>
        <v/>
      </c>
      <c r="H94" s="87" t="n">
        <v>0</v>
      </c>
      <c r="I94" s="99" t="n">
        <v>7.68</v>
      </c>
      <c r="J94" s="89">
        <f>LET(dec, I94-INT(I94), IF(dec&lt;0.1, INT(I94), IF(dec&lt;=0.7, INT(I94)+0.5, INT(I94)+1)))</f>
        <v/>
      </c>
      <c r="K94" s="90" t="n">
        <v>46250</v>
      </c>
      <c r="L94" s="85" t="inlineStr">
        <is>
          <t>DAVID</t>
        </is>
      </c>
      <c r="M94" s="111" t="n"/>
      <c r="N94" s="111" t="n"/>
      <c r="O94" s="110" t="inlineStr">
        <is>
          <t>JUAN PABLO</t>
        </is>
      </c>
    </row>
    <row r="95">
      <c r="A95" s="85" t="inlineStr">
        <is>
          <t>7675018036469877522</t>
        </is>
      </c>
      <c r="B95" s="85" t="inlineStr">
        <is>
          <t>rey_selecto</t>
        </is>
      </c>
      <c r="C95" s="85" t="inlineStr">
        <is>
          <t>MX</t>
        </is>
      </c>
      <c r="D95" s="86" t="n">
        <v>78169.41</v>
      </c>
      <c r="E95" s="40">
        <f>D95/1.16</f>
        <v/>
      </c>
      <c r="F95" s="86">
        <f>E95/J95</f>
        <v/>
      </c>
      <c r="G95" s="40">
        <f>F95/1.16</f>
        <v/>
      </c>
      <c r="H95" s="87" t="n">
        <v>0</v>
      </c>
      <c r="I95" s="99" t="n">
        <v>5.01</v>
      </c>
      <c r="J95" s="89">
        <f>LET(dec, I95-INT(I95), IF(dec&lt;0.1, INT(I95), IF(dec&lt;=0.7, INT(I95)+0.5, INT(I95)+1)))</f>
        <v/>
      </c>
      <c r="K95" s="90" t="n">
        <v>46251</v>
      </c>
      <c r="L95" s="85" t="inlineStr">
        <is>
          <t>DAVID</t>
        </is>
      </c>
      <c r="M95" s="111" t="n"/>
      <c r="N95" s="111" t="n"/>
      <c r="O95" s="110" t="inlineStr">
        <is>
          <t>JUAN PABLO</t>
        </is>
      </c>
    </row>
    <row r="96">
      <c r="A96" s="85" t="inlineStr">
        <is>
          <t>7675390599172426503</t>
        </is>
      </c>
      <c r="B96" s="85" t="inlineStr">
        <is>
          <t>rey_selecto</t>
        </is>
      </c>
      <c r="C96" s="85" t="inlineStr">
        <is>
          <t>MX</t>
        </is>
      </c>
      <c r="D96" s="86" t="n">
        <v>60512.57</v>
      </c>
      <c r="E96" s="40">
        <f>D96/1.16</f>
        <v/>
      </c>
      <c r="F96" s="86">
        <f>E96/J96</f>
        <v/>
      </c>
      <c r="G96" s="40">
        <f>F96/1.16</f>
        <v/>
      </c>
      <c r="H96" s="87" t="n">
        <v>0</v>
      </c>
      <c r="I96" s="99" t="n">
        <v>5.5</v>
      </c>
      <c r="J96" s="89">
        <f>LET(dec, I96-INT(I96), IF(dec&lt;0.1, INT(I96), IF(dec&lt;=0.7, INT(I96)+0.5, INT(I96)+1)))</f>
        <v/>
      </c>
      <c r="K96" s="90" t="n">
        <v>46252</v>
      </c>
      <c r="L96" s="85" t="inlineStr">
        <is>
          <t>DAVID</t>
        </is>
      </c>
      <c r="M96" s="111" t="n"/>
      <c r="N96" s="111" t="n"/>
      <c r="O96" s="110" t="inlineStr">
        <is>
          <t>JUAN PABLO</t>
        </is>
      </c>
    </row>
    <row r="97">
      <c r="A97" s="85" t="inlineStr">
        <is>
          <t>7675747929414830869</t>
        </is>
      </c>
      <c r="B97" s="85" t="inlineStr">
        <is>
          <t>rey_selecto</t>
        </is>
      </c>
      <c r="C97" s="85" t="inlineStr">
        <is>
          <t>MX</t>
        </is>
      </c>
      <c r="D97" s="86" t="n">
        <v>113291.15</v>
      </c>
      <c r="E97" s="40">
        <f>D97/1.16</f>
        <v/>
      </c>
      <c r="F97" s="86">
        <f>E97/J97</f>
        <v/>
      </c>
      <c r="G97" s="40">
        <f>F97/1.16</f>
        <v/>
      </c>
      <c r="H97" s="87" t="n">
        <v>0</v>
      </c>
      <c r="I97" s="99" t="n">
        <v>7.03</v>
      </c>
      <c r="J97" s="89">
        <f>LET(dec, I97-INT(I97), IF(dec&lt;0.1, INT(I97), IF(dec&lt;=0.7, INT(I97)+0.5, INT(I97)+1)))</f>
        <v/>
      </c>
      <c r="K97" s="90" t="n">
        <v>46253</v>
      </c>
      <c r="L97" s="85" t="inlineStr">
        <is>
          <t>DAVID</t>
        </is>
      </c>
      <c r="M97" s="111" t="n"/>
      <c r="N97" s="111" t="n"/>
      <c r="O97" s="110" t="inlineStr">
        <is>
          <t>JUAN PABLO</t>
        </is>
      </c>
    </row>
    <row r="98">
      <c r="A98" s="85" t="inlineStr">
        <is>
          <t>7676131980962679559</t>
        </is>
      </c>
      <c r="B98" s="85" t="inlineStr">
        <is>
          <t>rey_selecto</t>
        </is>
      </c>
      <c r="C98" s="85" t="inlineStr">
        <is>
          <t>MX</t>
        </is>
      </c>
      <c r="D98" s="86" t="n">
        <v>125565.68</v>
      </c>
      <c r="E98" s="40">
        <f>D98/1.16</f>
        <v/>
      </c>
      <c r="F98" s="86">
        <f>E98/J98</f>
        <v/>
      </c>
      <c r="G98" s="40">
        <f>F98/1.16</f>
        <v/>
      </c>
      <c r="H98" s="87" t="n">
        <v>0</v>
      </c>
      <c r="I98" s="99" t="n">
        <v>6.02</v>
      </c>
      <c r="J98" s="89">
        <f>LET(dec, I98-INT(I98), IF(dec&lt;0.1, INT(I98), IF(dec&lt;=0.7, INT(I98)+0.5, INT(I98)+1)))</f>
        <v/>
      </c>
      <c r="K98" s="90" t="n">
        <v>46254</v>
      </c>
      <c r="L98" s="85" t="inlineStr">
        <is>
          <t>DAVID</t>
        </is>
      </c>
      <c r="M98" s="111" t="n"/>
      <c r="N98" s="111" t="n"/>
      <c r="O98" s="110" t="inlineStr">
        <is>
          <t>JUAN PABLO</t>
        </is>
      </c>
    </row>
    <row r="99">
      <c r="A99" s="85" t="inlineStr">
        <is>
          <t>7676496770474904338</t>
        </is>
      </c>
      <c r="B99" s="85" t="inlineStr">
        <is>
          <t>rey_selecto</t>
        </is>
      </c>
      <c r="C99" s="85" t="inlineStr">
        <is>
          <t>MX</t>
        </is>
      </c>
      <c r="D99" s="86" t="n">
        <v>104628.37</v>
      </c>
      <c r="E99" s="40">
        <f>D99/1.16</f>
        <v/>
      </c>
      <c r="F99" s="86">
        <f>E99/J99</f>
        <v/>
      </c>
      <c r="G99" s="40">
        <f>F99/1.16</f>
        <v/>
      </c>
      <c r="H99" s="87" t="n">
        <v>0</v>
      </c>
      <c r="I99" s="99" t="n">
        <v>6.22</v>
      </c>
      <c r="J99" s="89">
        <f>LET(dec, I99-INT(I99), IF(dec&lt;0.1, INT(I99), IF(dec&lt;=0.7, INT(I99)+0.5, INT(I99)+1)))</f>
        <v/>
      </c>
      <c r="K99" s="90" t="n">
        <v>46255</v>
      </c>
      <c r="L99" s="85" t="inlineStr">
        <is>
          <t>DAVID</t>
        </is>
      </c>
      <c r="M99" s="111" t="n"/>
      <c r="N99" s="111" t="n"/>
      <c r="O99" s="110" t="inlineStr">
        <is>
          <t>JUAN PABLO</t>
        </is>
      </c>
    </row>
    <row r="100">
      <c r="A100" s="85" t="inlineStr">
        <is>
          <t>7677624342443756295</t>
        </is>
      </c>
      <c r="B100" s="85" t="inlineStr">
        <is>
          <t>rey_selecto</t>
        </is>
      </c>
      <c r="C100" s="85" t="inlineStr">
        <is>
          <t>MX</t>
        </is>
      </c>
      <c r="D100" s="86" t="n">
        <v>78645.86</v>
      </c>
      <c r="E100" s="40">
        <f>D100/1.16</f>
        <v/>
      </c>
      <c r="F100" s="86">
        <f>E100/J100</f>
        <v/>
      </c>
      <c r="G100" s="40">
        <f>F100/1.16</f>
        <v/>
      </c>
      <c r="H100" s="87" t="n">
        <v>0</v>
      </c>
      <c r="I100" s="99" t="n">
        <v>6.27</v>
      </c>
      <c r="J100" s="89">
        <f>LET(dec, I100-INT(I100), IF(dec&lt;0.1, INT(I100), IF(dec&lt;=0.7, INT(I100)+0.5, INT(I100)+1)))</f>
        <v/>
      </c>
      <c r="K100" s="90" t="n">
        <v>46258</v>
      </c>
      <c r="L100" s="85" t="inlineStr">
        <is>
          <t>DAVID</t>
        </is>
      </c>
      <c r="M100" s="111" t="n"/>
      <c r="N100" s="111" t="n"/>
      <c r="O100" s="110" t="inlineStr">
        <is>
          <t>JUAN PABLO</t>
        </is>
      </c>
    </row>
    <row r="101">
      <c r="A101" s="85" t="inlineStr">
        <is>
          <t>7677941208443882260</t>
        </is>
      </c>
      <c r="B101" s="85" t="inlineStr">
        <is>
          <t>rey_selecto</t>
        </is>
      </c>
      <c r="C101" s="85" t="inlineStr">
        <is>
          <t>MX</t>
        </is>
      </c>
      <c r="D101" s="86" t="n">
        <v>38564.3</v>
      </c>
      <c r="E101" s="40">
        <f>D101/1.16</f>
        <v/>
      </c>
      <c r="F101" s="86">
        <f>E101/J101</f>
        <v/>
      </c>
      <c r="G101" s="40">
        <f>F101/1.16</f>
        <v/>
      </c>
      <c r="H101" s="87" t="n">
        <v>0</v>
      </c>
      <c r="I101" s="99" t="n">
        <v>4.02</v>
      </c>
      <c r="J101" s="89">
        <f>LET(dec, I101-INT(I101), IF(dec&lt;0.1, INT(I101), IF(dec&lt;=0.7, INT(I101)+0.5, INT(I101)+1)))</f>
        <v/>
      </c>
      <c r="K101" s="90" t="n">
        <v>46259</v>
      </c>
      <c r="L101" s="85" t="inlineStr">
        <is>
          <t>DAVID</t>
        </is>
      </c>
      <c r="M101" s="111" t="n"/>
      <c r="N101" s="111" t="n"/>
      <c r="O101" s="110" t="inlineStr">
        <is>
          <t>JUAN PABLO</t>
        </is>
      </c>
    </row>
    <row r="102">
      <c r="A102" s="85" t="inlineStr">
        <is>
          <t>7678350954812705557</t>
        </is>
      </c>
      <c r="B102" s="85" t="inlineStr">
        <is>
          <t>rey_selecto</t>
        </is>
      </c>
      <c r="C102" s="85" t="inlineStr">
        <is>
          <t>MX</t>
        </is>
      </c>
      <c r="D102" s="86" t="n">
        <v>89283.00999999999</v>
      </c>
      <c r="E102" s="40">
        <f>D102/1.16</f>
        <v/>
      </c>
      <c r="F102" s="86">
        <f>E102/J102</f>
        <v/>
      </c>
      <c r="G102" s="40">
        <f>F102/1.16</f>
        <v/>
      </c>
      <c r="H102" s="87" t="n">
        <v>0</v>
      </c>
      <c r="I102" s="99" t="n">
        <v>6</v>
      </c>
      <c r="J102" s="89">
        <f>LET(dec, I102-INT(I102), IF(dec&lt;0.1, INT(I102), IF(dec&lt;=0.7, INT(I102)+0.5, INT(I102)+1)))</f>
        <v/>
      </c>
      <c r="K102" s="90" t="n">
        <v>46260</v>
      </c>
      <c r="L102" s="85" t="inlineStr">
        <is>
          <t>DAVID</t>
        </is>
      </c>
      <c r="M102" s="111" t="n"/>
      <c r="N102" s="111" t="n"/>
      <c r="O102" s="110" t="inlineStr">
        <is>
          <t>JUAN PABLO</t>
        </is>
      </c>
    </row>
    <row r="103">
      <c r="A103" s="85" t="inlineStr">
        <is>
          <t>7678722744195320596</t>
        </is>
      </c>
      <c r="B103" s="85" t="inlineStr">
        <is>
          <t>rey_selecto</t>
        </is>
      </c>
      <c r="C103" s="85" t="inlineStr">
        <is>
          <t>MX</t>
        </is>
      </c>
      <c r="D103" s="86" t="n">
        <v>57280.7</v>
      </c>
      <c r="E103" s="40">
        <f>D103/1.16</f>
        <v/>
      </c>
      <c r="F103" s="86">
        <f>E103/J103</f>
        <v/>
      </c>
      <c r="G103" s="40">
        <f>F103/1.16</f>
        <v/>
      </c>
      <c r="H103" s="87" t="n">
        <v>0</v>
      </c>
      <c r="I103" s="99" t="n">
        <v>6.01</v>
      </c>
      <c r="J103" s="89">
        <f>LET(dec, I103-INT(I103), IF(dec&lt;0.1, INT(I103), IF(dec&lt;=0.7, INT(I103)+0.5, INT(I103)+1)))</f>
        <v/>
      </c>
      <c r="K103" s="90" t="n">
        <v>46261</v>
      </c>
      <c r="L103" s="85" t="inlineStr">
        <is>
          <t>DAVID</t>
        </is>
      </c>
      <c r="M103" s="111" t="n"/>
      <c r="N103" s="111" t="n"/>
      <c r="O103" s="110" t="inlineStr">
        <is>
          <t>JUAN PABLO</t>
        </is>
      </c>
    </row>
    <row r="104">
      <c r="D104" s="113" t="n"/>
      <c r="F104" s="113" t="n"/>
      <c r="K104" s="84" t="n"/>
    </row>
    <row r="105">
      <c r="A105" s="7" t="inlineStr">
        <is>
          <t>Room ID</t>
        </is>
      </c>
      <c r="B105" s="7" t="inlineStr">
        <is>
          <t>TT Handle</t>
        </is>
      </c>
      <c r="C105" s="7" t="inlineStr">
        <is>
          <t>Country</t>
        </is>
      </c>
      <c r="D105" s="7" t="inlineStr">
        <is>
          <t>GMV</t>
        </is>
      </c>
      <c r="E105" s="7" t="inlineStr">
        <is>
          <t>GMV/sin IVA</t>
        </is>
      </c>
      <c r="F105" s="7" t="inlineStr">
        <is>
          <t>GMV PER HOUR</t>
        </is>
      </c>
      <c r="G105" s="7" t="inlineStr">
        <is>
          <t>GMV PER HOUR/sin EVA</t>
        </is>
      </c>
      <c r="H105" s="7" t="inlineStr">
        <is>
          <t>Ads Cost</t>
        </is>
      </c>
      <c r="I105" s="7" t="inlineStr">
        <is>
          <t>Duration (H)</t>
        </is>
      </c>
      <c r="J105" s="28" t="inlineStr">
        <is>
          <t>Duration （Formula）</t>
        </is>
      </c>
      <c r="K105" s="105" t="inlineStr">
        <is>
          <t>Start date</t>
        </is>
      </c>
      <c r="L105" s="71" t="inlineStr">
        <is>
          <t>HOST 1</t>
        </is>
      </c>
      <c r="M105" s="71" t="inlineStr">
        <is>
          <t xml:space="preserve">HOST 2 </t>
        </is>
      </c>
      <c r="N105" s="71" t="inlineStr">
        <is>
          <t>HOST 3</t>
        </is>
      </c>
      <c r="O105" s="71" t="inlineStr">
        <is>
          <t>Operator</t>
        </is>
      </c>
    </row>
    <row r="106">
      <c r="A106" s="85" t="inlineStr">
        <is>
          <t>7679091886014991124</t>
        </is>
      </c>
      <c r="B106" s="85" t="inlineStr">
        <is>
          <t>rey_selecto</t>
        </is>
      </c>
      <c r="C106" s="85" t="inlineStr">
        <is>
          <t>MX</t>
        </is>
      </c>
      <c r="D106" s="86" t="n">
        <v>120099.43</v>
      </c>
      <c r="E106" s="40">
        <f>D106/1.16</f>
        <v/>
      </c>
      <c r="F106" s="86">
        <f>D106/J106</f>
        <v/>
      </c>
      <c r="G106" s="40">
        <f>F106/1.16</f>
        <v/>
      </c>
      <c r="H106" s="87" t="n">
        <v>0</v>
      </c>
      <c r="I106" s="99" t="n">
        <v>6.56</v>
      </c>
      <c r="J106" s="89">
        <f>LET(dec, I106-INT(I106), IF(dec&lt;0.1, INT(I106), IF(dec&lt;=0.7, INT(I106)+0.5, INT(I106)+1)))</f>
        <v/>
      </c>
      <c r="K106" s="90" t="n">
        <v>46262</v>
      </c>
      <c r="L106" s="85" t="inlineStr">
        <is>
          <t>DAVID</t>
        </is>
      </c>
      <c r="M106" s="111" t="n"/>
      <c r="N106" s="111" t="n"/>
      <c r="O106" s="110" t="inlineStr">
        <is>
          <t>JUAN PABLO</t>
        </is>
      </c>
    </row>
    <row r="107">
      <c r="A107" s="85" t="inlineStr">
        <is>
          <t>7680207008952290056</t>
        </is>
      </c>
      <c r="B107" s="85" t="inlineStr">
        <is>
          <t>rey_selecto</t>
        </is>
      </c>
      <c r="C107" s="85" t="inlineStr">
        <is>
          <t>MX</t>
        </is>
      </c>
      <c r="D107" s="86" t="n">
        <v>209640.53</v>
      </c>
      <c r="E107" s="40">
        <f>D107/1.16</f>
        <v/>
      </c>
      <c r="F107" s="86">
        <f>D107/J107</f>
        <v/>
      </c>
      <c r="G107" s="40">
        <f>F107/1.16</f>
        <v/>
      </c>
      <c r="H107" s="87" t="n">
        <v>0</v>
      </c>
      <c r="I107" s="99" t="n">
        <v>8.67</v>
      </c>
      <c r="J107" s="89">
        <f>LET(dec, I107-INT(I107), IF(dec&lt;0.1, INT(I107), IF(dec&lt;=0.7, INT(I107)+0.5, INT(I107)+1)))</f>
        <v/>
      </c>
      <c r="K107" s="90" t="n">
        <v>46265</v>
      </c>
      <c r="L107" s="85" t="inlineStr">
        <is>
          <t>DAVID</t>
        </is>
      </c>
      <c r="M107" s="111" t="n"/>
      <c r="N107" s="111" t="n"/>
      <c r="O107" s="110" t="inlineStr">
        <is>
          <t>JUAN PABLO</t>
        </is>
      </c>
    </row>
    <row r="108">
      <c r="A108" s="85" t="inlineStr">
        <is>
          <t>7680583829153336072</t>
        </is>
      </c>
      <c r="B108" s="85" t="inlineStr">
        <is>
          <t>rey_selecto</t>
        </is>
      </c>
      <c r="C108" s="85" t="inlineStr">
        <is>
          <t>MX</t>
        </is>
      </c>
      <c r="D108" s="86" t="n">
        <v>96783.06</v>
      </c>
      <c r="E108" s="40">
        <f>D108/1.16</f>
        <v/>
      </c>
      <c r="F108" s="86">
        <f>D108/J108</f>
        <v/>
      </c>
      <c r="G108" s="40">
        <f>F108/1.16</f>
        <v/>
      </c>
      <c r="H108" s="87" t="n">
        <v>0</v>
      </c>
      <c r="I108" s="99" t="n">
        <v>5.06</v>
      </c>
      <c r="J108" s="89">
        <f>LET(dec, I108-INT(I108), IF(dec&lt;0.1, INT(I108), IF(dec&lt;=0.7, INT(I108)+0.5, INT(I108)+1)))</f>
        <v/>
      </c>
      <c r="K108" s="90" t="n">
        <v>46266</v>
      </c>
      <c r="L108" s="85" t="inlineStr">
        <is>
          <t>DAVID</t>
        </is>
      </c>
      <c r="M108" s="111" t="n"/>
      <c r="N108" s="111" t="n"/>
      <c r="O108" s="110" t="inlineStr">
        <is>
          <t>JUAN PABLO</t>
        </is>
      </c>
    </row>
    <row r="109">
      <c r="A109" s="85" t="inlineStr">
        <is>
          <t>7680953885392947975</t>
        </is>
      </c>
      <c r="B109" s="85" t="inlineStr">
        <is>
          <t>rey_selecto</t>
        </is>
      </c>
      <c r="C109" s="85" t="inlineStr">
        <is>
          <t>MX</t>
        </is>
      </c>
      <c r="D109" s="86" t="n">
        <v>208468.7</v>
      </c>
      <c r="E109" s="40">
        <f>D109/1.16</f>
        <v/>
      </c>
      <c r="F109" s="86">
        <f>D109/J109</f>
        <v/>
      </c>
      <c r="G109" s="40">
        <f>F109/1.16</f>
        <v/>
      </c>
      <c r="H109" s="87" t="n">
        <v>0</v>
      </c>
      <c r="I109" s="99" t="n">
        <v>8.56</v>
      </c>
      <c r="J109" s="89">
        <f>LET(dec, I109-INT(I109), IF(dec&lt;0.1, INT(I109), IF(dec&lt;=0.7, INT(I109)+0.5, INT(I109)+1)))</f>
        <v/>
      </c>
      <c r="K109" s="90" t="n">
        <v>46267</v>
      </c>
      <c r="L109" s="85" t="inlineStr">
        <is>
          <t>DAVID</t>
        </is>
      </c>
      <c r="M109" s="111" t="n"/>
      <c r="N109" s="111" t="n"/>
      <c r="O109" s="110" t="inlineStr">
        <is>
          <t>JUAN PABLO</t>
        </is>
      </c>
    </row>
    <row r="110">
      <c r="A110" s="85" t="inlineStr">
        <is>
          <t>7681312197590387464</t>
        </is>
      </c>
      <c r="B110" s="85" t="inlineStr">
        <is>
          <t>rey_selecto</t>
        </is>
      </c>
      <c r="C110" s="85" t="inlineStr">
        <is>
          <t>MX</t>
        </is>
      </c>
      <c r="D110" s="86" t="n">
        <v>105062.37</v>
      </c>
      <c r="E110" s="40">
        <f>D110/1.16</f>
        <v/>
      </c>
      <c r="F110" s="86">
        <f>D110/J110</f>
        <v/>
      </c>
      <c r="G110" s="40">
        <f>F110/1.16</f>
        <v/>
      </c>
      <c r="H110" s="87" t="n">
        <v>0</v>
      </c>
      <c r="I110" s="99" t="n">
        <v>5.6</v>
      </c>
      <c r="J110" s="89">
        <f>LET(dec, I110-INT(I110), IF(dec&lt;0.1, INT(I110), IF(dec&lt;=0.7, INT(I110)+0.5, INT(I110)+1)))</f>
        <v/>
      </c>
      <c r="K110" s="90" t="n">
        <v>46268</v>
      </c>
      <c r="L110" s="85" t="inlineStr">
        <is>
          <t>DAVID</t>
        </is>
      </c>
      <c r="M110" s="111" t="n"/>
      <c r="N110" s="111" t="n"/>
      <c r="O110" s="110" t="inlineStr">
        <is>
          <t>JUAN PABLO</t>
        </is>
      </c>
    </row>
    <row r="111">
      <c r="A111" s="85" t="inlineStr">
        <is>
          <t>7681692857020877588</t>
        </is>
      </c>
      <c r="B111" s="85" t="inlineStr">
        <is>
          <t>rey_selecto</t>
        </is>
      </c>
      <c r="C111" s="85" t="inlineStr">
        <is>
          <t>MX</t>
        </is>
      </c>
      <c r="D111" s="86" t="n">
        <v>156220.65</v>
      </c>
      <c r="E111" s="40">
        <f>D111/1.16</f>
        <v/>
      </c>
      <c r="F111" s="86">
        <f>D111/J111</f>
        <v/>
      </c>
      <c r="G111" s="40">
        <f>F111/1.16</f>
        <v/>
      </c>
      <c r="H111" s="87" t="n">
        <v>0</v>
      </c>
      <c r="I111" s="99" t="n">
        <v>10.01</v>
      </c>
      <c r="J111" s="89">
        <f>LET(dec, I111-INT(I111), IF(dec&lt;0.1, INT(I111), IF(dec&lt;=0.7, INT(I111)+0.5, INT(I111)+1)))</f>
        <v/>
      </c>
      <c r="K111" s="90" t="n">
        <v>46269</v>
      </c>
      <c r="L111" s="85" t="inlineStr">
        <is>
          <t>DAVID</t>
        </is>
      </c>
      <c r="M111" s="111" t="n"/>
      <c r="N111" s="111" t="n"/>
      <c r="O111" s="110" t="inlineStr">
        <is>
          <t>JUAN PABLO</t>
        </is>
      </c>
    </row>
    <row r="112">
      <c r="A112" s="85" t="inlineStr">
        <is>
          <t>7682811602522131220</t>
        </is>
      </c>
      <c r="B112" s="85" t="inlineStr">
        <is>
          <t>rey_selecto</t>
        </is>
      </c>
      <c r="C112" s="85" t="inlineStr">
        <is>
          <t>MX</t>
        </is>
      </c>
      <c r="D112" s="86" t="n">
        <v>104749.76</v>
      </c>
      <c r="E112" s="40">
        <f>D112/1.16</f>
        <v/>
      </c>
      <c r="F112" s="86">
        <f>D112/J112</f>
        <v/>
      </c>
      <c r="G112" s="40">
        <f>F112/1.16</f>
        <v/>
      </c>
      <c r="H112" s="87" t="n">
        <v>0</v>
      </c>
      <c r="I112" s="99" t="n">
        <v>5</v>
      </c>
      <c r="J112" s="89">
        <f>LET(dec, I112-INT(I112), IF(dec&lt;0.1, INT(I112), IF(dec&lt;=0.7, INT(I112)+0.5, INT(I112)+1)))</f>
        <v/>
      </c>
      <c r="K112" s="90" t="n">
        <v>46272</v>
      </c>
      <c r="L112" s="85" t="inlineStr">
        <is>
          <t>DAVID</t>
        </is>
      </c>
      <c r="M112" s="111" t="n"/>
      <c r="N112" s="111" t="n"/>
      <c r="O112" s="110" t="inlineStr">
        <is>
          <t>JUAN PABLO</t>
        </is>
      </c>
    </row>
    <row r="113">
      <c r="A113" s="85" t="inlineStr">
        <is>
          <t>7683180551343491858</t>
        </is>
      </c>
      <c r="B113" s="85" t="inlineStr">
        <is>
          <t>rey_selecto</t>
        </is>
      </c>
      <c r="C113" s="85" t="inlineStr">
        <is>
          <t>MX</t>
        </is>
      </c>
      <c r="D113" s="86" t="n">
        <v>11636.91</v>
      </c>
      <c r="E113" s="40">
        <f>D113/1.16</f>
        <v/>
      </c>
      <c r="F113" s="86">
        <f>D113/J113</f>
        <v/>
      </c>
      <c r="G113" s="40">
        <f>F113/1.16</f>
        <v/>
      </c>
      <c r="H113" s="87" t="n">
        <v>0</v>
      </c>
      <c r="I113" s="99" t="n">
        <v>1.24</v>
      </c>
      <c r="J113" s="89">
        <f>LET(dec, I113-INT(I113), IF(dec&lt;0.1, INT(I113), IF(dec&lt;=0.7, INT(I113)+0.5, INT(I113)+1)))</f>
        <v/>
      </c>
      <c r="K113" s="90" t="n">
        <v>46273</v>
      </c>
      <c r="L113" s="85" t="inlineStr">
        <is>
          <t>DAVID</t>
        </is>
      </c>
      <c r="M113" s="111" t="n"/>
      <c r="N113" s="111" t="n"/>
      <c r="O113" s="110" t="inlineStr">
        <is>
          <t>JUAN PABLO</t>
        </is>
      </c>
    </row>
    <row r="114">
      <c r="A114" s="85" t="inlineStr">
        <is>
          <t>7683199779216853768</t>
        </is>
      </c>
      <c r="B114" s="85" t="inlineStr">
        <is>
          <t>rey_selecto</t>
        </is>
      </c>
      <c r="C114" s="85" t="inlineStr">
        <is>
          <t>MX</t>
        </is>
      </c>
      <c r="D114" s="86" t="n">
        <v>73649.67999999999</v>
      </c>
      <c r="E114" s="40">
        <f>D114/1.16</f>
        <v/>
      </c>
      <c r="F114" s="86">
        <f>D114/J114</f>
        <v/>
      </c>
      <c r="G114" s="40">
        <f>F114/1.16</f>
        <v/>
      </c>
      <c r="H114" s="87" t="n">
        <v>0</v>
      </c>
      <c r="I114" s="99" t="n">
        <v>4.12</v>
      </c>
      <c r="J114" s="89">
        <f>LET(dec, I114-INT(I114), IF(dec&lt;0.1, INT(I114), IF(dec&lt;=0.7, INT(I114)+0.5, INT(I114)+1)))</f>
        <v/>
      </c>
      <c r="K114" s="90" t="n">
        <v>46273</v>
      </c>
      <c r="L114" s="85" t="inlineStr">
        <is>
          <t>DAVID</t>
        </is>
      </c>
      <c r="M114" s="111" t="n"/>
      <c r="N114" s="111" t="n"/>
      <c r="O114" s="110" t="inlineStr">
        <is>
          <t>JUAN PABLO</t>
        </is>
      </c>
    </row>
    <row r="115">
      <c r="A115" s="85" t="inlineStr">
        <is>
          <t>7683552047472233224</t>
        </is>
      </c>
      <c r="B115" s="85" t="inlineStr">
        <is>
          <t>rey_selecto</t>
        </is>
      </c>
      <c r="C115" s="85" t="inlineStr">
        <is>
          <t>MX</t>
        </is>
      </c>
      <c r="D115" s="86" t="n">
        <v>78766.23</v>
      </c>
      <c r="E115" s="40">
        <f>D115/1.16</f>
        <v/>
      </c>
      <c r="F115" s="86">
        <f>D115/J115</f>
        <v/>
      </c>
      <c r="G115" s="40">
        <f>F115/1.16</f>
        <v/>
      </c>
      <c r="H115" s="87" t="n">
        <v>0</v>
      </c>
      <c r="I115" s="99" t="n">
        <v>5.37</v>
      </c>
      <c r="J115" s="89">
        <f>LET(dec, I115-INT(I115), IF(dec&lt;0.1, INT(I115), IF(dec&lt;=0.7, INT(I115)+0.5, INT(I115)+1)))</f>
        <v/>
      </c>
      <c r="K115" s="90" t="n">
        <v>46274</v>
      </c>
      <c r="L115" s="85" t="inlineStr">
        <is>
          <t>DAVID</t>
        </is>
      </c>
      <c r="M115" s="111" t="n"/>
      <c r="N115" s="111" t="n"/>
      <c r="O115" s="110" t="inlineStr">
        <is>
          <t>JUAN PABLO</t>
        </is>
      </c>
    </row>
    <row r="116">
      <c r="A116" s="85" t="inlineStr">
        <is>
          <t>7683922900573326098</t>
        </is>
      </c>
      <c r="B116" s="85" t="inlineStr">
        <is>
          <t>rey_selecto</t>
        </is>
      </c>
      <c r="C116" s="85" t="inlineStr">
        <is>
          <t>MX</t>
        </is>
      </c>
      <c r="D116" s="86" t="n">
        <v>91949.36</v>
      </c>
      <c r="E116" s="40">
        <f>D116/1.16</f>
        <v/>
      </c>
      <c r="F116" s="86">
        <f>D116/J116</f>
        <v/>
      </c>
      <c r="G116" s="40">
        <f>F116/1.16</f>
        <v/>
      </c>
      <c r="H116" s="87" t="n">
        <v>0</v>
      </c>
      <c r="I116" s="99" t="n">
        <v>5.68</v>
      </c>
      <c r="J116" s="89">
        <f>LET(dec, I116-INT(I116), IF(dec&lt;0.1, INT(I116), IF(dec&lt;=0.7, INT(I116)+0.5, INT(I116)+1)))</f>
        <v/>
      </c>
      <c r="K116" s="90" t="n">
        <v>46275</v>
      </c>
      <c r="L116" s="85" t="inlineStr">
        <is>
          <t>DAVID</t>
        </is>
      </c>
      <c r="M116" s="111" t="n"/>
      <c r="N116" s="111" t="n"/>
      <c r="O116" s="110" t="inlineStr">
        <is>
          <t>JUAN PABLO</t>
        </is>
      </c>
    </row>
    <row r="117">
      <c r="A117" s="85" t="inlineStr">
        <is>
          <t>7684293050151750407</t>
        </is>
      </c>
      <c r="B117" s="85" t="inlineStr">
        <is>
          <t>rey_selecto</t>
        </is>
      </c>
      <c r="C117" s="85" t="inlineStr">
        <is>
          <t>MX</t>
        </is>
      </c>
      <c r="D117" s="86" t="n">
        <v>140778.94</v>
      </c>
      <c r="E117" s="40">
        <f>D117/1.16</f>
        <v/>
      </c>
      <c r="F117" s="86">
        <f>D117/J117</f>
        <v/>
      </c>
      <c r="G117" s="40">
        <f>F117/1.16</f>
        <v/>
      </c>
      <c r="H117" s="87" t="n">
        <v>0</v>
      </c>
      <c r="I117" s="99" t="n">
        <v>7.03</v>
      </c>
      <c r="J117" s="89">
        <f>LET(dec, I117-INT(I117), IF(dec&lt;0.1, INT(I117), IF(dec&lt;=0.7, INT(I117)+0.5, INT(I117)+1)))</f>
        <v/>
      </c>
      <c r="K117" s="90" t="n">
        <v>46276</v>
      </c>
      <c r="L117" s="85" t="inlineStr">
        <is>
          <t>DAVID</t>
        </is>
      </c>
      <c r="M117" s="111" t="n"/>
      <c r="N117" s="111" t="n"/>
      <c r="O117" s="110" t="inlineStr">
        <is>
          <t>JUAN PABLO</t>
        </is>
      </c>
    </row>
    <row r="118">
      <c r="A118" s="85" t="inlineStr">
        <is>
          <t>7685408510574971666</t>
        </is>
      </c>
      <c r="B118" s="85" t="inlineStr">
        <is>
          <t>rey_selecto</t>
        </is>
      </c>
      <c r="C118" s="85" t="inlineStr">
        <is>
          <t>MX</t>
        </is>
      </c>
      <c r="D118" s="86" t="n">
        <v>75518.31</v>
      </c>
      <c r="E118" s="40">
        <f>D118/1.16</f>
        <v/>
      </c>
      <c r="F118" s="86">
        <f>D118/J118</f>
        <v/>
      </c>
      <c r="G118" s="40">
        <f>F118/1.16</f>
        <v/>
      </c>
      <c r="H118" s="87" t="n">
        <v>0</v>
      </c>
      <c r="I118" s="99" t="n">
        <v>6.01</v>
      </c>
      <c r="J118" s="89">
        <f>LET(dec, I118-INT(I118), IF(dec&lt;0.1, INT(I118), IF(dec&lt;=0.7, INT(I118)+0.5, INT(I118)+1)))</f>
        <v/>
      </c>
      <c r="K118" s="90" t="n">
        <v>46279</v>
      </c>
      <c r="L118" s="85" t="inlineStr">
        <is>
          <t>DAVID</t>
        </is>
      </c>
      <c r="M118" s="111" t="n"/>
      <c r="N118" s="111" t="n"/>
      <c r="O118" s="110" t="inlineStr">
        <is>
          <t>JUAN PABLO</t>
        </is>
      </c>
    </row>
    <row r="119">
      <c r="A119" s="85" t="inlineStr">
        <is>
          <t>7685754987582835476</t>
        </is>
      </c>
      <c r="B119" s="85" t="inlineStr">
        <is>
          <t>rey_selecto</t>
        </is>
      </c>
      <c r="C119" s="85" t="inlineStr">
        <is>
          <t>MX</t>
        </is>
      </c>
      <c r="D119" s="86" t="n">
        <v>158996.13</v>
      </c>
      <c r="E119" s="40">
        <f>D119/1.16</f>
        <v/>
      </c>
      <c r="F119" s="86">
        <f>D119/J119</f>
        <v/>
      </c>
      <c r="G119" s="40">
        <f>F119/1.16</f>
        <v/>
      </c>
      <c r="H119" s="87" t="n">
        <v>0</v>
      </c>
      <c r="I119" s="99" t="n">
        <v>8</v>
      </c>
      <c r="J119" s="89">
        <f>LET(dec, I119-INT(I119), IF(dec&lt;0.1, INT(I119), IF(dec&lt;=0.7, INT(I119)+0.5, INT(I119)+1)))</f>
        <v/>
      </c>
      <c r="K119" s="90" t="n">
        <v>46280</v>
      </c>
      <c r="L119" s="85" t="inlineStr">
        <is>
          <t>DAVID</t>
        </is>
      </c>
      <c r="M119" s="111" t="n"/>
      <c r="N119" s="111" t="n"/>
      <c r="O119" s="110" t="inlineStr">
        <is>
          <t>JUAN PABLO</t>
        </is>
      </c>
    </row>
    <row r="120">
      <c r="A120" s="85" t="inlineStr">
        <is>
          <t>7686521104979905300</t>
        </is>
      </c>
      <c r="B120" s="85" t="inlineStr">
        <is>
          <t>rey_selecto</t>
        </is>
      </c>
      <c r="C120" s="85" t="inlineStr">
        <is>
          <t>MX</t>
        </is>
      </c>
      <c r="D120" s="86" t="n">
        <v>188146.42</v>
      </c>
      <c r="E120" s="40">
        <f>D120/1.16</f>
        <v/>
      </c>
      <c r="F120" s="86">
        <f>D120/J120</f>
        <v/>
      </c>
      <c r="G120" s="40">
        <f>F120/1.16</f>
        <v/>
      </c>
      <c r="H120" s="87" t="n">
        <v>0</v>
      </c>
      <c r="I120" s="99" t="n">
        <v>11</v>
      </c>
      <c r="J120" s="89">
        <f>LET(dec, I120-INT(I120), IF(dec&lt;0.1, INT(I120), IF(dec&lt;=0.7, INT(I120)+0.5, INT(I120)+1)))</f>
        <v/>
      </c>
      <c r="K120" s="90" t="n">
        <v>46282</v>
      </c>
      <c r="L120" s="85" t="inlineStr">
        <is>
          <t>DAVID</t>
        </is>
      </c>
      <c r="M120" s="111" t="n"/>
      <c r="N120" s="111" t="n"/>
      <c r="O120" s="110" t="inlineStr">
        <is>
          <t>JUAN PABLO</t>
        </is>
      </c>
    </row>
    <row r="121">
      <c r="A121" s="85" t="inlineStr">
        <is>
          <t>7686876203267001109</t>
        </is>
      </c>
      <c r="B121" s="85" t="inlineStr">
        <is>
          <t>rey_selecto</t>
        </is>
      </c>
      <c r="C121" s="85" t="inlineStr">
        <is>
          <t>MX</t>
        </is>
      </c>
      <c r="D121" s="86" t="n">
        <v>94804.08</v>
      </c>
      <c r="E121" s="40">
        <f>D121/1.16</f>
        <v/>
      </c>
      <c r="F121" s="86">
        <f>D121/J121</f>
        <v/>
      </c>
      <c r="G121" s="40">
        <f>F121/1.16</f>
        <v/>
      </c>
      <c r="H121" s="87" t="n">
        <v>0</v>
      </c>
      <c r="I121" s="99" t="n">
        <v>6</v>
      </c>
      <c r="J121" s="89">
        <f>LET(dec, I121-INT(I121), IF(dec&lt;0.1, INT(I121), IF(dec&lt;=0.7, INT(I121)+0.5, INT(I121)+1)))</f>
        <v/>
      </c>
      <c r="K121" s="90" t="n">
        <v>46283</v>
      </c>
      <c r="L121" s="85" t="inlineStr">
        <is>
          <t>DAVID</t>
        </is>
      </c>
      <c r="M121" s="111" t="n"/>
      <c r="N121" s="111" t="n"/>
      <c r="O121" s="110" t="inlineStr">
        <is>
          <t>JUAN PABLO</t>
        </is>
      </c>
    </row>
    <row r="122">
      <c r="A122" s="85" t="inlineStr">
        <is>
          <t>7688005974846884629</t>
        </is>
      </c>
      <c r="B122" s="85" t="inlineStr">
        <is>
          <t>rey_selecto</t>
        </is>
      </c>
      <c r="C122" s="85" t="inlineStr">
        <is>
          <t>MX</t>
        </is>
      </c>
      <c r="D122" s="86" t="n">
        <v>45209.87</v>
      </c>
      <c r="E122" s="40">
        <f>D122/1.16</f>
        <v/>
      </c>
      <c r="F122" s="86">
        <f>D122/J122</f>
        <v/>
      </c>
      <c r="G122" s="40">
        <f>F122/1.16</f>
        <v/>
      </c>
      <c r="H122" s="87" t="n">
        <v>0</v>
      </c>
      <c r="I122" s="99" t="n">
        <v>5.02</v>
      </c>
      <c r="J122" s="89">
        <f>LET(dec, I122-INT(I122), IF(dec&lt;0.1, INT(I122), IF(dec&lt;=0.7, INT(I122)+0.5, INT(I122)+1)))</f>
        <v/>
      </c>
      <c r="K122" s="90" t="n">
        <v>46286</v>
      </c>
      <c r="L122" s="85" t="inlineStr">
        <is>
          <t>DAVID</t>
        </is>
      </c>
      <c r="M122" s="111" t="n"/>
      <c r="N122" s="111" t="n"/>
      <c r="O122" s="110" t="inlineStr">
        <is>
          <t>JUAN PABLO</t>
        </is>
      </c>
    </row>
    <row r="123">
      <c r="A123" s="85" t="inlineStr">
        <is>
          <t>7688376468904151816</t>
        </is>
      </c>
      <c r="B123" s="85" t="inlineStr">
        <is>
          <t>rey_selecto</t>
        </is>
      </c>
      <c r="C123" s="85" t="inlineStr">
        <is>
          <t>MX</t>
        </is>
      </c>
      <c r="D123" s="86" t="n">
        <v>35508.78</v>
      </c>
      <c r="E123" s="40">
        <f>D123/1.16</f>
        <v/>
      </c>
      <c r="F123" s="86">
        <f>D123/J123</f>
        <v/>
      </c>
      <c r="G123" s="40">
        <f>F123/1.16</f>
        <v/>
      </c>
      <c r="H123" s="87" t="n">
        <v>0</v>
      </c>
      <c r="I123" s="99" t="n">
        <v>5.02</v>
      </c>
      <c r="J123" s="89">
        <f>LET(dec, I123-INT(I123), IF(dec&lt;0.1, INT(I123), IF(dec&lt;=0.7, INT(I123)+0.5, INT(I123)+1)))</f>
        <v/>
      </c>
      <c r="K123" s="90" t="n">
        <v>46287</v>
      </c>
      <c r="L123" s="85" t="inlineStr">
        <is>
          <t>DAVID</t>
        </is>
      </c>
      <c r="M123" s="111" t="n"/>
      <c r="N123" s="111" t="n"/>
      <c r="O123" s="110" t="inlineStr">
        <is>
          <t>JUAN PABLO</t>
        </is>
      </c>
    </row>
    <row r="124">
      <c r="A124" s="85" t="inlineStr">
        <is>
          <t>7688748243768904456</t>
        </is>
      </c>
      <c r="B124" s="85" t="inlineStr">
        <is>
          <t>rey_selecto</t>
        </is>
      </c>
      <c r="C124" s="85" t="inlineStr">
        <is>
          <t>MX</t>
        </is>
      </c>
      <c r="D124" s="86" t="n">
        <v>48823.82</v>
      </c>
      <c r="E124" s="40">
        <f>D124/1.16</f>
        <v/>
      </c>
      <c r="F124" s="86">
        <f>D124/J124</f>
        <v/>
      </c>
      <c r="G124" s="40">
        <f>F124/1.16</f>
        <v/>
      </c>
      <c r="H124" s="87" t="n">
        <v>0</v>
      </c>
      <c r="I124" s="99" t="n">
        <v>5.02</v>
      </c>
      <c r="J124" s="89">
        <f>LET(dec, I124-INT(I124), IF(dec&lt;0.1, INT(I124), IF(dec&lt;=0.7, INT(I124)+0.5, INT(I124)+1)))</f>
        <v/>
      </c>
      <c r="K124" s="90" t="n">
        <v>46288</v>
      </c>
      <c r="L124" s="85" t="inlineStr">
        <is>
          <t>DAVID</t>
        </is>
      </c>
      <c r="M124" s="111" t="n"/>
      <c r="N124" s="111" t="n"/>
      <c r="O124" s="110" t="inlineStr">
        <is>
          <t>JUAN PABLO</t>
        </is>
      </c>
    </row>
    <row r="125">
      <c r="A125" s="85" t="inlineStr">
        <is>
          <t>7689120288787614485</t>
        </is>
      </c>
      <c r="B125" s="85" t="inlineStr">
        <is>
          <t>rey_selecto</t>
        </is>
      </c>
      <c r="C125" s="85" t="inlineStr">
        <is>
          <t>MX</t>
        </is>
      </c>
      <c r="D125" s="86" t="n">
        <v>50495.92</v>
      </c>
      <c r="E125" s="40">
        <f>D125/1.16</f>
        <v/>
      </c>
      <c r="F125" s="86">
        <f>D125/J125</f>
        <v/>
      </c>
      <c r="G125" s="40">
        <f>F125/1.16</f>
        <v/>
      </c>
      <c r="H125" s="87" t="n">
        <v>0</v>
      </c>
      <c r="I125" s="99" t="n">
        <v>6</v>
      </c>
      <c r="J125" s="89">
        <f>LET(dec, I125-INT(I125), IF(dec&lt;0.1, INT(I125), IF(dec&lt;=0.7, INT(I125)+0.5, INT(I125)+1)))</f>
        <v/>
      </c>
      <c r="K125" s="90" t="n">
        <v>46289</v>
      </c>
      <c r="L125" s="85" t="inlineStr">
        <is>
          <t>DAVID</t>
        </is>
      </c>
      <c r="M125" s="111" t="n"/>
      <c r="N125" s="111" t="n"/>
      <c r="O125" s="110" t="inlineStr">
        <is>
          <t>JUAN PABLO</t>
        </is>
      </c>
    </row>
    <row r="126">
      <c r="A126" s="85" t="inlineStr">
        <is>
          <t>7689489457641540370</t>
        </is>
      </c>
      <c r="B126" s="85" t="inlineStr">
        <is>
          <t>rey_selecto</t>
        </is>
      </c>
      <c r="C126" s="85" t="inlineStr">
        <is>
          <t>MX</t>
        </is>
      </c>
      <c r="D126" s="86" t="n">
        <v>72152.99000000001</v>
      </c>
      <c r="E126" s="40">
        <f>D126/1.16</f>
        <v/>
      </c>
      <c r="F126" s="86">
        <f>D126/J126</f>
        <v/>
      </c>
      <c r="G126" s="40">
        <f>F126/1.16</f>
        <v/>
      </c>
      <c r="H126" s="87" t="n">
        <v>0</v>
      </c>
      <c r="I126" s="99" t="n">
        <v>8</v>
      </c>
      <c r="J126" s="89">
        <f>LET(dec, I126-INT(I126), IF(dec&lt;0.1, INT(I126), IF(dec&lt;=0.7, INT(I126)+0.5, INT(I126)+1)))</f>
        <v/>
      </c>
      <c r="K126" s="90" t="n">
        <v>46290</v>
      </c>
      <c r="L126" s="85" t="inlineStr">
        <is>
          <t>DAVID</t>
        </is>
      </c>
      <c r="M126" s="111" t="n"/>
      <c r="N126" s="111" t="n"/>
      <c r="O126" s="110" t="inlineStr">
        <is>
          <t>JUAN PABLO</t>
        </is>
      </c>
    </row>
    <row r="127">
      <c r="D127" s="113" t="n"/>
      <c r="F127" s="113" t="n"/>
      <c r="K127" s="84" t="n"/>
    </row>
    <row r="128">
      <c r="A128" s="7" t="inlineStr">
        <is>
          <t>Room ID</t>
        </is>
      </c>
      <c r="B128" s="7" t="inlineStr">
        <is>
          <t>TT Handle</t>
        </is>
      </c>
      <c r="C128" s="7" t="inlineStr">
        <is>
          <t>Country</t>
        </is>
      </c>
      <c r="D128" s="7" t="inlineStr">
        <is>
          <t>GMV</t>
        </is>
      </c>
      <c r="E128" s="7" t="inlineStr">
        <is>
          <t>GMV/sin IVA</t>
        </is>
      </c>
      <c r="F128" s="7" t="inlineStr">
        <is>
          <t>GMV PER HOUR</t>
        </is>
      </c>
      <c r="G128" s="7" t="inlineStr">
        <is>
          <t>GMV PER HOUR/sin EVA</t>
        </is>
      </c>
      <c r="H128" s="7" t="inlineStr">
        <is>
          <t>Ads Cost</t>
        </is>
      </c>
      <c r="I128" s="7" t="inlineStr">
        <is>
          <t>Duration (H)</t>
        </is>
      </c>
      <c r="J128" s="28" t="inlineStr">
        <is>
          <t>Duration （Formula）</t>
        </is>
      </c>
      <c r="K128" s="105" t="inlineStr">
        <is>
          <t>Start date</t>
        </is>
      </c>
      <c r="L128" s="71" t="inlineStr">
        <is>
          <t>HOST 1</t>
        </is>
      </c>
      <c r="M128" s="71" t="inlineStr">
        <is>
          <t xml:space="preserve">HOST 2 </t>
        </is>
      </c>
      <c r="N128" s="71" t="inlineStr">
        <is>
          <t>HOST 3</t>
        </is>
      </c>
      <c r="O128" s="71" t="inlineStr">
        <is>
          <t>Operator</t>
        </is>
      </c>
    </row>
    <row r="129">
      <c r="A129" s="85" t="inlineStr">
        <is>
          <t>7690604093526313746</t>
        </is>
      </c>
      <c r="B129" s="85" t="inlineStr">
        <is>
          <t>rey_selecto</t>
        </is>
      </c>
      <c r="C129" s="85" t="inlineStr">
        <is>
          <t>MX</t>
        </is>
      </c>
      <c r="D129" s="86" t="n">
        <v>65054.44</v>
      </c>
      <c r="E129" s="40">
        <f>D129/1.16</f>
        <v/>
      </c>
      <c r="F129" s="86">
        <f>IFERROR(D129/J129,0)</f>
        <v/>
      </c>
      <c r="G129" s="40">
        <f>F129/1.16</f>
        <v/>
      </c>
      <c r="H129" s="87" t="n"/>
      <c r="I129" s="99" t="n">
        <v>6.01</v>
      </c>
      <c r="J129" s="89">
        <f>IF(I129-INT(I129)&lt;0.1,INT(I129),IF(I129-INT(I129)&lt;=0.7,INT(I129)+0.5,INT(I129)+1))</f>
        <v/>
      </c>
      <c r="K129" s="90" t="n">
        <v>46293</v>
      </c>
      <c r="L129" s="85" t="inlineStr">
        <is>
          <t>JORGE DURAN</t>
        </is>
      </c>
      <c r="M129" s="111" t="n"/>
      <c r="N129" s="111" t="n"/>
      <c r="O129" s="110" t="inlineStr">
        <is>
          <t>RODRIGO LOPEZ</t>
        </is>
      </c>
    </row>
    <row r="130">
      <c r="A130" s="85" t="inlineStr">
        <is>
          <t>7690975180306582279</t>
        </is>
      </c>
      <c r="B130" s="85" t="inlineStr">
        <is>
          <t>rey_selecto</t>
        </is>
      </c>
      <c r="C130" s="85" t="inlineStr">
        <is>
          <t>MX</t>
        </is>
      </c>
      <c r="D130" s="86" t="n">
        <v>97478.06</v>
      </c>
      <c r="E130" s="40">
        <f>D130/1.16</f>
        <v/>
      </c>
      <c r="F130" s="86">
        <f>IFERROR(D130/J130,0)</f>
        <v/>
      </c>
      <c r="G130" s="40">
        <f>F130/1.16</f>
        <v/>
      </c>
      <c r="H130" s="87" t="n"/>
      <c r="I130" s="99" t="n">
        <v>6</v>
      </c>
      <c r="J130" s="89">
        <f>IF(I130-INT(I130)&lt;0.1,INT(I130),IF(I130-INT(I130)&lt;=0.7,INT(I130)+0.5,INT(I130)+1))</f>
        <v/>
      </c>
      <c r="K130" s="90" t="n">
        <v>46294</v>
      </c>
      <c r="L130" s="85" t="inlineStr">
        <is>
          <t>JORGE DURAN</t>
        </is>
      </c>
      <c r="M130" s="111" t="n"/>
      <c r="N130" s="111" t="n"/>
      <c r="O130" s="110" t="inlineStr">
        <is>
          <t>RODRIGO LOPEZ</t>
        </is>
      </c>
    </row>
    <row r="131">
      <c r="A131" s="85" t="inlineStr">
        <is>
          <t>7691328457060535041</t>
        </is>
      </c>
      <c r="B131" s="85" t="inlineStr">
        <is>
          <t>rey_selecto</t>
        </is>
      </c>
      <c r="C131" s="85" t="inlineStr">
        <is>
          <t>MX</t>
        </is>
      </c>
      <c r="D131" s="86" t="n">
        <v>221003.02</v>
      </c>
      <c r="E131" s="40">
        <f>D131/1.16</f>
        <v/>
      </c>
      <c r="F131" s="86">
        <f>IFERROR(D131/J131,0)</f>
        <v/>
      </c>
      <c r="G131" s="40">
        <f>F131/1.16</f>
        <v/>
      </c>
      <c r="H131" s="87" t="n"/>
      <c r="I131" s="99" t="n">
        <v>13.95</v>
      </c>
      <c r="J131" s="89">
        <f>IF(I131-INT(I131)&lt;0.1,INT(I131),IF(I131-INT(I131)&lt;=0.7,INT(I131)+0.5,INT(I131)+1))</f>
        <v/>
      </c>
      <c r="K131" s="90" t="n">
        <v>46295</v>
      </c>
      <c r="L131" s="85" t="inlineStr">
        <is>
          <t>JORGE DURAN</t>
        </is>
      </c>
      <c r="M131" s="111" t="inlineStr">
        <is>
          <t>DANIEL NAHMAD</t>
        </is>
      </c>
      <c r="N131" s="111" t="inlineStr">
        <is>
          <t>EMILIANO</t>
        </is>
      </c>
      <c r="O131" s="110" t="inlineStr">
        <is>
          <t>RODRIGO LOPEZ</t>
        </is>
      </c>
    </row>
    <row r="132">
      <c r="A132" s="85" t="inlineStr">
        <is>
          <t>7691715578365758216</t>
        </is>
      </c>
      <c r="B132" s="85" t="inlineStr">
        <is>
          <t>rey_selecto</t>
        </is>
      </c>
      <c r="C132" s="85" t="inlineStr">
        <is>
          <t>MX</t>
        </is>
      </c>
      <c r="D132" s="86" t="n">
        <v>19159.85</v>
      </c>
      <c r="E132" s="40">
        <f>D132/1.16</f>
        <v/>
      </c>
      <c r="F132" s="86">
        <f>IFERROR(D132/J132,0)</f>
        <v/>
      </c>
      <c r="G132" s="40">
        <f>F132/1.16</f>
        <v/>
      </c>
      <c r="H132" s="87" t="n"/>
      <c r="I132" s="99" t="n">
        <v>5.01</v>
      </c>
      <c r="J132" s="89">
        <f>IF(I132-INT(I132)&lt;0.1,INT(I132),IF(I132-INT(I132)&lt;=0.7,INT(I132)+0.5,INT(I132)+1))</f>
        <v/>
      </c>
      <c r="K132" s="90" t="n">
        <v>46296</v>
      </c>
      <c r="L132" s="85" t="inlineStr">
        <is>
          <t>EMILIANO</t>
        </is>
      </c>
      <c r="M132" s="111" t="n"/>
      <c r="N132" s="111" t="n"/>
      <c r="O132" s="110" t="inlineStr">
        <is>
          <t>RODRIGO LOPEZ</t>
        </is>
      </c>
    </row>
    <row r="133">
      <c r="A133" s="85" t="inlineStr">
        <is>
          <t>7692087703350102791</t>
        </is>
      </c>
      <c r="B133" s="85" t="inlineStr">
        <is>
          <t>rey_selecto</t>
        </is>
      </c>
      <c r="C133" s="85" t="inlineStr">
        <is>
          <t>MX</t>
        </is>
      </c>
      <c r="D133" s="86" t="n">
        <v>151178.28</v>
      </c>
      <c r="E133" s="40">
        <f>D133/1.16</f>
        <v/>
      </c>
      <c r="F133" s="86">
        <f>IFERROR(D133/J133,0)</f>
        <v/>
      </c>
      <c r="G133" s="40">
        <f>F133/1.16</f>
        <v/>
      </c>
      <c r="H133" s="87" t="n"/>
      <c r="I133" s="99" t="n">
        <v>12.01</v>
      </c>
      <c r="J133" s="89">
        <f>IF(I133-INT(I133)&lt;0.1,INT(I133),IF(I133-INT(I133)&lt;=0.7,INT(I133)+0.5,INT(I133)+1))</f>
        <v/>
      </c>
      <c r="K133" s="90" t="n">
        <v>46297</v>
      </c>
      <c r="L133" s="85" t="inlineStr">
        <is>
          <t>JORGE DURAN</t>
        </is>
      </c>
      <c r="M133" s="111" t="inlineStr">
        <is>
          <t>MILI CONCHA</t>
        </is>
      </c>
      <c r="N133" s="111" t="n"/>
      <c r="O133" s="110" t="inlineStr">
        <is>
          <t>RODRIGO LOPEZ</t>
        </is>
      </c>
    </row>
    <row r="134">
      <c r="A134" s="85" t="inlineStr">
        <is>
          <t>7692534070131837704</t>
        </is>
      </c>
      <c r="B134" s="85" t="inlineStr">
        <is>
          <t>rey_selecto</t>
        </is>
      </c>
      <c r="C134" s="85" t="inlineStr">
        <is>
          <t>MX</t>
        </is>
      </c>
      <c r="D134" s="86" t="n">
        <v>308003.79</v>
      </c>
      <c r="E134" s="40">
        <f>D134/1.16</f>
        <v/>
      </c>
      <c r="F134" s="86">
        <f>IFERROR(D134/J134,0)</f>
        <v/>
      </c>
      <c r="G134" s="40">
        <f>F134/1.16</f>
        <v/>
      </c>
      <c r="H134" s="87" t="n"/>
      <c r="I134" s="99" t="n">
        <v>8</v>
      </c>
      <c r="J134" s="89">
        <f>IF(I134-INT(I134)&lt;0.1,INT(I134),IF(I134-INT(I134)&lt;=0.7,INT(I134)+0.5,INT(I134)+1))</f>
        <v/>
      </c>
      <c r="K134" s="90" t="n">
        <v>46298</v>
      </c>
      <c r="L134" s="85" t="inlineStr">
        <is>
          <t>JORGE DURAN</t>
        </is>
      </c>
      <c r="M134" s="111" t="n"/>
      <c r="N134" s="111" t="n"/>
      <c r="O134" s="110" t="inlineStr">
        <is>
          <t>RODRIGO LOPEZ</t>
        </is>
      </c>
    </row>
    <row r="135">
      <c r="A135" s="85" t="inlineStr">
        <is>
          <t>7693574991343684360</t>
        </is>
      </c>
      <c r="B135" s="85" t="inlineStr">
        <is>
          <t>rey_selecto</t>
        </is>
      </c>
      <c r="C135" s="85" t="inlineStr">
        <is>
          <t>MX</t>
        </is>
      </c>
      <c r="D135" s="86" t="n">
        <v>85800.64999999999</v>
      </c>
      <c r="E135" s="40">
        <f>D135/1.16</f>
        <v/>
      </c>
      <c r="F135" s="86">
        <f>IFERROR(D135/J135,0)</f>
        <v/>
      </c>
      <c r="G135" s="40">
        <f>F135/1.16</f>
        <v/>
      </c>
      <c r="H135" s="87" t="n"/>
      <c r="I135" s="99" t="n">
        <v>10.03</v>
      </c>
      <c r="J135" s="89">
        <f>IF(I135-INT(I135)&lt;0.1,INT(I135),IF(I135-INT(I135)&lt;=0.7,INT(I135)+0.5,INT(I135)+1))</f>
        <v/>
      </c>
      <c r="K135" s="90" t="n">
        <v>46301</v>
      </c>
      <c r="L135" s="85" t="inlineStr">
        <is>
          <t>JORGE DURAN</t>
        </is>
      </c>
      <c r="M135" s="111" t="inlineStr">
        <is>
          <t>DANIEL NAHMAD</t>
        </is>
      </c>
      <c r="N135" s="111" t="n"/>
      <c r="O135" s="110" t="inlineStr">
        <is>
          <t>RODRIGO LOPEZ</t>
        </is>
      </c>
    </row>
    <row r="136">
      <c r="A136" s="85" t="inlineStr">
        <is>
          <t>7693942360044620565</t>
        </is>
      </c>
      <c r="B136" s="85" t="inlineStr">
        <is>
          <t>rey_selecto</t>
        </is>
      </c>
      <c r="C136" s="85" t="inlineStr">
        <is>
          <t>MX</t>
        </is>
      </c>
      <c r="D136" s="86" t="n">
        <v>81929.36</v>
      </c>
      <c r="E136" s="40">
        <f>D136/1.16</f>
        <v/>
      </c>
      <c r="F136" s="86">
        <f>IFERROR(D136/J136,0)</f>
        <v/>
      </c>
      <c r="G136" s="40">
        <f>F136/1.16</f>
        <v/>
      </c>
      <c r="H136" s="87" t="n"/>
      <c r="I136" s="99" t="n">
        <v>6</v>
      </c>
      <c r="J136" s="89">
        <f>IF(I136-INT(I136)&lt;0.1,INT(I136),IF(I136-INT(I136)&lt;=0.7,INT(I136)+0.5,INT(I136)+1))</f>
        <v/>
      </c>
      <c r="K136" s="90" t="n">
        <v>46302</v>
      </c>
      <c r="L136" s="85" t="inlineStr">
        <is>
          <t>JORGE DURAN</t>
        </is>
      </c>
      <c r="M136" s="111" t="inlineStr">
        <is>
          <t>DANIEL NAHMAD</t>
        </is>
      </c>
      <c r="N136" s="111" t="n"/>
      <c r="O136" s="110" t="inlineStr">
        <is>
          <t>RODRIGO LOPEZ</t>
        </is>
      </c>
    </row>
    <row r="137">
      <c r="A137" s="85" t="inlineStr">
        <is>
          <t>7694311969386285832</t>
        </is>
      </c>
      <c r="B137" s="85" t="inlineStr">
        <is>
          <t>rey_selecto</t>
        </is>
      </c>
      <c r="C137" s="85" t="inlineStr">
        <is>
          <t>MX</t>
        </is>
      </c>
      <c r="D137" s="86" t="n">
        <v>157637.58</v>
      </c>
      <c r="E137" s="40">
        <f>D137/1.16</f>
        <v/>
      </c>
      <c r="F137" s="86">
        <f>IFERROR(D137/J137,0)</f>
        <v/>
      </c>
      <c r="G137" s="40">
        <f>F137/1.16</f>
        <v/>
      </c>
      <c r="H137" s="87" t="n"/>
      <c r="I137" s="99" t="n">
        <v>5.34</v>
      </c>
      <c r="J137" s="89">
        <f>IF(I137-INT(I137)&lt;0.1,INT(I137),IF(I137-INT(I137)&lt;=0.7,INT(I137)+0.5,INT(I137)+1))</f>
        <v/>
      </c>
      <c r="K137" s="90" t="n">
        <v>46303</v>
      </c>
      <c r="L137" s="85" t="inlineStr">
        <is>
          <t>JORGE DURAN</t>
        </is>
      </c>
      <c r="M137" s="111" t="n"/>
      <c r="N137" s="111" t="n"/>
      <c r="O137" s="110" t="inlineStr">
        <is>
          <t>RODRIGO LOPEZ</t>
        </is>
      </c>
    </row>
    <row r="138">
      <c r="A138" s="85" t="inlineStr">
        <is>
          <t>7694683125064370951</t>
        </is>
      </c>
      <c r="B138" s="85" t="inlineStr">
        <is>
          <t>rey_selecto</t>
        </is>
      </c>
      <c r="C138" s="85" t="inlineStr">
        <is>
          <t>MX</t>
        </is>
      </c>
      <c r="D138" s="86" t="n">
        <v>157618.81</v>
      </c>
      <c r="E138" s="40">
        <f>D138/1.16</f>
        <v/>
      </c>
      <c r="F138" s="86">
        <f>IFERROR(D138/J138,0)</f>
        <v/>
      </c>
      <c r="G138" s="40">
        <f>F138/1.16</f>
        <v/>
      </c>
      <c r="H138" s="87" t="n"/>
      <c r="I138" s="99" t="n">
        <v>11.51</v>
      </c>
      <c r="J138" s="89">
        <f>IF(I138-INT(I138)&lt;0.1,INT(I138),IF(I138-INT(I138)&lt;=0.7,INT(I138)+0.5,INT(I138)+1))</f>
        <v/>
      </c>
      <c r="K138" s="90" t="n">
        <v>46304</v>
      </c>
      <c r="L138" s="85" t="inlineStr">
        <is>
          <t>JORGE DURAN</t>
        </is>
      </c>
      <c r="M138" s="111" t="n"/>
      <c r="N138" s="111" t="n"/>
      <c r="O138" s="110" t="inlineStr">
        <is>
          <t>RODRIGO LOPEZ</t>
        </is>
      </c>
    </row>
    <row r="139">
      <c r="A139" s="85" t="inlineStr">
        <is>
          <t>7695797310662183687</t>
        </is>
      </c>
      <c r="B139" s="85" t="inlineStr">
        <is>
          <t>rey_selecto</t>
        </is>
      </c>
      <c r="C139" s="85" t="inlineStr">
        <is>
          <t>MX</t>
        </is>
      </c>
      <c r="D139" s="86" t="n">
        <v>32823.28</v>
      </c>
      <c r="E139" s="40">
        <f>D139/1.16</f>
        <v/>
      </c>
      <c r="F139" s="86">
        <f>IFERROR(D139/J139,0)</f>
        <v/>
      </c>
      <c r="G139" s="40">
        <f>F139/1.16</f>
        <v/>
      </c>
      <c r="H139" s="87" t="n"/>
      <c r="I139" s="99" t="n">
        <v>5</v>
      </c>
      <c r="J139" s="89">
        <f>IF(I139-INT(I139)&lt;0.1,INT(I139),IF(I139-INT(I139)&lt;=0.7,INT(I139)+0.5,INT(I139)+1))</f>
        <v/>
      </c>
      <c r="K139" s="90" t="n">
        <v>46307</v>
      </c>
      <c r="L139" s="85" t="inlineStr">
        <is>
          <t>JORGE DURAN</t>
        </is>
      </c>
      <c r="M139" s="111" t="n"/>
      <c r="N139" s="111" t="n"/>
      <c r="O139" s="110" t="inlineStr">
        <is>
          <t>RODRIGO LOPEZ</t>
        </is>
      </c>
    </row>
    <row r="140">
      <c r="A140" s="85" t="inlineStr">
        <is>
          <t>7696167237501127425</t>
        </is>
      </c>
      <c r="B140" s="85" t="inlineStr">
        <is>
          <t>rey_selecto</t>
        </is>
      </c>
      <c r="C140" s="85" t="inlineStr">
        <is>
          <t>MX</t>
        </is>
      </c>
      <c r="D140" s="86" t="n">
        <v>31702.47</v>
      </c>
      <c r="E140" s="40">
        <f>D140/1.16</f>
        <v/>
      </c>
      <c r="F140" s="86">
        <f>IFERROR(D140/J140,0)</f>
        <v/>
      </c>
      <c r="G140" s="40">
        <f>F140/1.16</f>
        <v/>
      </c>
      <c r="H140" s="87" t="n"/>
      <c r="I140" s="99" t="n">
        <v>5.01</v>
      </c>
      <c r="J140" s="89">
        <f>IF(I140-INT(I140)&lt;0.1,INT(I140),IF(I140-INT(I140)&lt;=0.7,INT(I140)+0.5,INT(I140)+1))</f>
        <v/>
      </c>
      <c r="K140" s="90" t="n">
        <v>46308</v>
      </c>
      <c r="L140" s="85" t="inlineStr">
        <is>
          <t>JORGE DURAN</t>
        </is>
      </c>
      <c r="M140" s="111" t="n"/>
      <c r="N140" s="111" t="n"/>
      <c r="O140" s="110" t="inlineStr">
        <is>
          <t>RODRIGO LOPEZ</t>
        </is>
      </c>
    </row>
    <row r="141">
      <c r="A141" s="85" t="inlineStr">
        <is>
          <t>7696541535294278407</t>
        </is>
      </c>
      <c r="B141" s="85" t="inlineStr">
        <is>
          <t>rey_selecto</t>
        </is>
      </c>
      <c r="C141" s="85" t="inlineStr">
        <is>
          <t>MX</t>
        </is>
      </c>
      <c r="D141" s="86" t="n">
        <v>41940.47</v>
      </c>
      <c r="E141" s="40">
        <f>D141/1.16</f>
        <v/>
      </c>
      <c r="F141" s="86">
        <f>IFERROR(D141/J141,0)</f>
        <v/>
      </c>
      <c r="G141" s="40">
        <f>F141/1.16</f>
        <v/>
      </c>
      <c r="H141" s="87" t="n"/>
      <c r="I141" s="99" t="n">
        <v>5.05</v>
      </c>
      <c r="J141" s="89">
        <f>IF(I141-INT(I141)&lt;0.1,INT(I141),IF(I141-INT(I141)&lt;=0.7,INT(I141)+0.5,INT(I141)+1))</f>
        <v/>
      </c>
      <c r="K141" s="90" t="n">
        <v>46309</v>
      </c>
      <c r="L141" s="85" t="inlineStr">
        <is>
          <t>JORGE DURAN</t>
        </is>
      </c>
      <c r="M141" s="111" t="n"/>
      <c r="N141" s="111" t="n"/>
      <c r="O141" s="110" t="inlineStr">
        <is>
          <t>RODRIGO LOPEZ</t>
        </is>
      </c>
    </row>
    <row r="142">
      <c r="A142" s="85" t="inlineStr">
        <is>
          <t>7696916531293686546</t>
        </is>
      </c>
      <c r="B142" s="85" t="inlineStr">
        <is>
          <t>rey_selecto</t>
        </is>
      </c>
      <c r="C142" s="85" t="inlineStr">
        <is>
          <t>MX</t>
        </is>
      </c>
      <c r="D142" s="86" t="n">
        <v>210723.13</v>
      </c>
      <c r="E142" s="40">
        <f>D142/1.16</f>
        <v/>
      </c>
      <c r="F142" s="86">
        <f>IFERROR(D142/J142,0)</f>
        <v/>
      </c>
      <c r="G142" s="40">
        <f>F142/1.16</f>
        <v/>
      </c>
      <c r="H142" s="87" t="n"/>
      <c r="I142" s="99" t="n">
        <v>11.01</v>
      </c>
      <c r="J142" s="89">
        <f>IF(I142-INT(I142)&lt;0.1,INT(I142),IF(I142-INT(I142)&lt;=0.7,INT(I142)+0.5,INT(I142)+1))</f>
        <v/>
      </c>
      <c r="K142" s="90" t="n">
        <v>46310</v>
      </c>
      <c r="L142" s="85" t="inlineStr">
        <is>
          <t>JORGE DURAN</t>
        </is>
      </c>
      <c r="M142" s="111" t="inlineStr">
        <is>
          <t>DANIEL NAHMAD</t>
        </is>
      </c>
      <c r="N142" s="111" t="n"/>
      <c r="O142" s="110" t="inlineStr">
        <is>
          <t>RODRIGO LOPEZ</t>
        </is>
      </c>
    </row>
    <row r="143">
      <c r="A143" s="85" t="inlineStr">
        <is>
          <t>7697653522905336594</t>
        </is>
      </c>
      <c r="B143" s="85" t="inlineStr">
        <is>
          <t>rey_selecto</t>
        </is>
      </c>
      <c r="C143" s="85" t="inlineStr">
        <is>
          <t>MX</t>
        </is>
      </c>
      <c r="D143" s="86" t="n">
        <v>227245.86</v>
      </c>
      <c r="E143" s="40">
        <f>D143/1.16</f>
        <v/>
      </c>
      <c r="F143" s="86">
        <f>IFERROR(D143/J143,0)</f>
        <v/>
      </c>
      <c r="G143" s="40">
        <f>F143/1.16</f>
        <v/>
      </c>
      <c r="H143" s="87" t="n"/>
      <c r="I143" s="99" t="n">
        <v>11.08</v>
      </c>
      <c r="J143" s="89">
        <f>IF(I143-INT(I143)&lt;0.1,INT(I143),IF(I143-INT(I143)&lt;=0.7,INT(I143)+0.5,INT(I143)+1))</f>
        <v/>
      </c>
      <c r="K143" s="90" t="n">
        <v>46312</v>
      </c>
      <c r="L143" s="85" t="inlineStr">
        <is>
          <t>JORGE DURAN</t>
        </is>
      </c>
      <c r="M143" s="111" t="inlineStr">
        <is>
          <t>MILI CONCHA</t>
        </is>
      </c>
      <c r="N143" s="111" t="n"/>
      <c r="O143" s="110" t="inlineStr">
        <is>
          <t>RODRIGO LOPEZ</t>
        </is>
      </c>
    </row>
    <row r="144">
      <c r="A144" s="85" t="inlineStr">
        <is>
          <t>7698395357860711186</t>
        </is>
      </c>
      <c r="B144" s="85" t="inlineStr">
        <is>
          <t>rey_selecto</t>
        </is>
      </c>
      <c r="C144" s="85" t="inlineStr">
        <is>
          <t>MX</t>
        </is>
      </c>
      <c r="D144" s="86" t="n">
        <v>208873.22</v>
      </c>
      <c r="E144" s="40">
        <f>D144/1.16</f>
        <v/>
      </c>
      <c r="F144" s="86">
        <f>IFERROR(D144/J144,0)</f>
        <v/>
      </c>
      <c r="G144" s="40">
        <f>F144/1.16</f>
        <v/>
      </c>
      <c r="H144" s="87" t="n"/>
      <c r="I144" s="99" t="n">
        <v>9.49</v>
      </c>
      <c r="J144" s="89">
        <f>IF(I144-INT(I144)&lt;0.1,INT(I144),IF(I144-INT(I144)&lt;=0.7,INT(I144)+0.5,INT(I144)+1))</f>
        <v/>
      </c>
      <c r="K144" s="90" t="n">
        <v>46314</v>
      </c>
      <c r="L144" s="85" t="inlineStr">
        <is>
          <t>JORGE DURAN</t>
        </is>
      </c>
      <c r="M144" s="111" t="inlineStr">
        <is>
          <t>MILI CONCHA</t>
        </is>
      </c>
      <c r="N144" s="111" t="n"/>
      <c r="O144" s="110" t="inlineStr">
        <is>
          <t>RODRIGO LOPEZ</t>
        </is>
      </c>
    </row>
    <row r="145">
      <c r="A145" s="85" t="inlineStr">
        <is>
          <t>7698766667383999240</t>
        </is>
      </c>
      <c r="B145" s="85" t="inlineStr">
        <is>
          <t>rey_selecto</t>
        </is>
      </c>
      <c r="C145" s="85" t="inlineStr">
        <is>
          <t>MX</t>
        </is>
      </c>
      <c r="D145" s="86" t="n">
        <v>32471.84</v>
      </c>
      <c r="E145" s="40">
        <f>D145/1.16</f>
        <v/>
      </c>
      <c r="F145" s="86">
        <f>IFERROR(D145/J145,0)</f>
        <v/>
      </c>
      <c r="G145" s="40">
        <f>F145/1.16</f>
        <v/>
      </c>
      <c r="H145" s="87" t="n"/>
      <c r="I145" s="99" t="n">
        <v>5</v>
      </c>
      <c r="J145" s="89">
        <f>IF(I145-INT(I145)&lt;0.1,INT(I145),IF(I145-INT(I145)&lt;=0.7,INT(I145)+0.5,INT(I145)+1))</f>
        <v/>
      </c>
      <c r="K145" s="90" t="n">
        <v>46315</v>
      </c>
      <c r="L145" s="85" t="inlineStr">
        <is>
          <t>JORGE DURAN</t>
        </is>
      </c>
      <c r="M145" s="111" t="n"/>
      <c r="N145" s="111" t="n"/>
      <c r="O145" s="110" t="inlineStr">
        <is>
          <t>RODRIGO LOPEZ</t>
        </is>
      </c>
    </row>
    <row r="146">
      <c r="A146" s="85" t="inlineStr">
        <is>
          <t>7699139354451233554</t>
        </is>
      </c>
      <c r="B146" s="85" t="inlineStr">
        <is>
          <t>rey_selecto</t>
        </is>
      </c>
      <c r="C146" s="85" t="inlineStr">
        <is>
          <t>MX</t>
        </is>
      </c>
      <c r="D146" s="86" t="n">
        <v>37571.64</v>
      </c>
      <c r="E146" s="40">
        <f>D146/1.16</f>
        <v/>
      </c>
      <c r="F146" s="86">
        <f>IFERROR(D146/J146,0)</f>
        <v/>
      </c>
      <c r="G146" s="40">
        <f>F146/1.16</f>
        <v/>
      </c>
      <c r="H146" s="87" t="n"/>
      <c r="I146" s="99" t="n">
        <v>5.04</v>
      </c>
      <c r="J146" s="89">
        <f>IF(I146-INT(I146)&lt;0.1,INT(I146),IF(I146-INT(I146)&lt;=0.7,INT(I146)+0.5,INT(I146)+1))</f>
        <v/>
      </c>
      <c r="K146" s="90" t="n">
        <v>46316</v>
      </c>
      <c r="L146" s="85" t="inlineStr">
        <is>
          <t>JORGE DURAN</t>
        </is>
      </c>
      <c r="M146" s="111" t="n"/>
      <c r="N146" s="111" t="n"/>
      <c r="O146" s="110" t="inlineStr">
        <is>
          <t>RODRIGO LOPEZ</t>
        </is>
      </c>
    </row>
    <row r="147">
      <c r="A147" s="85" t="inlineStr">
        <is>
          <t>7699508430347766546</t>
        </is>
      </c>
      <c r="B147" s="85" t="inlineStr">
        <is>
          <t>rey_selecto</t>
        </is>
      </c>
      <c r="C147" s="85" t="inlineStr">
        <is>
          <t>MX</t>
        </is>
      </c>
      <c r="D147" s="86" t="n">
        <v>34291.68</v>
      </c>
      <c r="E147" s="40">
        <f>D147/1.16</f>
        <v/>
      </c>
      <c r="F147" s="86">
        <f>IFERROR(D147/J147,0)</f>
        <v/>
      </c>
      <c r="G147" s="40">
        <f>F147/1.16</f>
        <v/>
      </c>
      <c r="H147" s="87" t="n"/>
      <c r="I147" s="99" t="n">
        <v>5.04</v>
      </c>
      <c r="J147" s="89">
        <f>IF(I147-INT(I147)&lt;0.1,INT(I147),IF(I147-INT(I147)&lt;=0.7,INT(I147)+0.5,INT(I147)+1))</f>
        <v/>
      </c>
      <c r="K147" s="90" t="n">
        <v>46317</v>
      </c>
      <c r="L147" s="85" t="inlineStr">
        <is>
          <t>JORGE DURAN</t>
        </is>
      </c>
      <c r="M147" s="111" t="n"/>
      <c r="N147" s="111" t="n"/>
      <c r="O147" s="110" t="inlineStr">
        <is>
          <t>RODRIGO LOPEZ</t>
        </is>
      </c>
    </row>
    <row r="148">
      <c r="A148" s="85" t="inlineStr">
        <is>
          <t>7699879312799681288</t>
        </is>
      </c>
      <c r="B148" s="85" t="inlineStr">
        <is>
          <t>rey_selecto</t>
        </is>
      </c>
      <c r="C148" s="85" t="inlineStr">
        <is>
          <t>MX</t>
        </is>
      </c>
      <c r="D148" s="86" t="n">
        <v>42190.4</v>
      </c>
      <c r="E148" s="40">
        <f>D148/1.16</f>
        <v/>
      </c>
      <c r="F148" s="86">
        <f>IFERROR(D148/J148,0)</f>
        <v/>
      </c>
      <c r="G148" s="40">
        <f>F148/1.16</f>
        <v/>
      </c>
      <c r="H148" s="87" t="n"/>
      <c r="I148" s="99" t="n">
        <v>5.41</v>
      </c>
      <c r="J148" s="89">
        <f>IF(I148-INT(I148)&lt;0.1,INT(I148),IF(I148-INT(I148)&lt;=0.7,INT(I148)+0.5,INT(I148)+1))</f>
        <v/>
      </c>
      <c r="K148" s="90" t="n">
        <v>46318</v>
      </c>
      <c r="L148" s="85" t="inlineStr">
        <is>
          <t>JORGE DURAN</t>
        </is>
      </c>
      <c r="M148" s="111" t="n"/>
      <c r="N148" s="111" t="n"/>
      <c r="O148" s="110" t="inlineStr">
        <is>
          <t>RODRIGO LOPEZ</t>
        </is>
      </c>
    </row>
    <row r="149">
      <c r="A149" s="85" t="inlineStr">
        <is>
          <t>7700999350526724885</t>
        </is>
      </c>
      <c r="B149" s="85" t="inlineStr">
        <is>
          <t>rey_selecto</t>
        </is>
      </c>
      <c r="C149" s="85" t="inlineStr">
        <is>
          <t>MX</t>
        </is>
      </c>
      <c r="D149" s="86" t="n">
        <v>57245.03</v>
      </c>
      <c r="E149" s="40">
        <f>D149/1.16</f>
        <v/>
      </c>
      <c r="F149" s="86">
        <f>IFERROR(D149/J149,0)</f>
        <v/>
      </c>
      <c r="G149" s="40">
        <f>F149/1.16</f>
        <v/>
      </c>
      <c r="H149" s="87" t="n"/>
      <c r="I149" s="99" t="n">
        <v>5.31</v>
      </c>
      <c r="J149" s="89">
        <f>IF(I149-INT(I149)&lt;0.1,INT(I149),IF(I149-INT(I149)&lt;=0.7,INT(I149)+0.5,INT(I149)+1))</f>
        <v/>
      </c>
      <c r="K149" s="90" t="n">
        <v>46321</v>
      </c>
      <c r="L149" s="85" t="inlineStr">
        <is>
          <t>JORGE DURAN</t>
        </is>
      </c>
      <c r="M149" s="111" t="n"/>
      <c r="N149" s="111" t="n"/>
      <c r="O149" s="110" t="inlineStr">
        <is>
          <t>RODRIGO LOPEZ</t>
        </is>
      </c>
    </row>
    <row r="150">
      <c r="D150" s="113" t="n"/>
      <c r="F150" s="113" t="n"/>
      <c r="K150" s="84" t="n"/>
    </row>
    <row r="151">
      <c r="D151" s="113" t="n"/>
      <c r="F151" s="113" t="n"/>
      <c r="K151" s="84" t="n"/>
    </row>
    <row r="152">
      <c r="D152" s="113" t="n"/>
      <c r="F152" s="113" t="n"/>
      <c r="K152" s="84" t="n"/>
    </row>
    <row r="153">
      <c r="D153" s="113" t="n"/>
      <c r="F153" s="113" t="n"/>
      <c r="K153" s="84" t="n"/>
    </row>
    <row r="154">
      <c r="D154" s="113" t="n"/>
      <c r="F154" s="113" t="n"/>
      <c r="K154" s="84" t="n"/>
    </row>
    <row r="155">
      <c r="D155" s="113" t="n"/>
      <c r="F155" s="113" t="n"/>
      <c r="K155" s="84" t="n"/>
    </row>
    <row r="156">
      <c r="D156" s="113" t="n"/>
      <c r="F156" s="113" t="n"/>
      <c r="K156" s="84" t="n"/>
    </row>
    <row r="157">
      <c r="D157" s="113" t="n"/>
      <c r="F157" s="113" t="n"/>
      <c r="K157" s="84" t="n"/>
    </row>
    <row r="158">
      <c r="D158" s="113" t="n"/>
      <c r="F158" s="113" t="n"/>
      <c r="K158" s="84" t="n"/>
    </row>
    <row r="159">
      <c r="D159" s="113" t="n"/>
      <c r="F159" s="113" t="n"/>
      <c r="K159" s="84" t="n"/>
    </row>
    <row r="160">
      <c r="D160" s="113" t="n"/>
      <c r="F160" s="113" t="n"/>
      <c r="K160" s="84" t="n"/>
    </row>
    <row r="161">
      <c r="D161" s="113" t="n"/>
      <c r="F161" s="113" t="n"/>
      <c r="K161" s="84" t="n"/>
    </row>
    <row r="162">
      <c r="D162" s="113" t="n"/>
      <c r="F162" s="113" t="n"/>
      <c r="K162" s="84" t="n"/>
    </row>
    <row r="163">
      <c r="D163" s="113" t="n"/>
      <c r="F163" s="113" t="n"/>
      <c r="K163" s="84" t="n"/>
    </row>
    <row r="164">
      <c r="D164" s="113" t="n"/>
      <c r="F164" s="113" t="n"/>
      <c r="K164" s="84" t="n"/>
    </row>
    <row r="165">
      <c r="D165" s="113" t="n"/>
      <c r="F165" s="113" t="n"/>
      <c r="K165" s="84" t="n"/>
    </row>
    <row r="166">
      <c r="D166" s="113" t="n"/>
      <c r="F166" s="113" t="n"/>
      <c r="K166" s="84" t="n"/>
    </row>
    <row r="167">
      <c r="D167" s="113" t="n"/>
      <c r="F167" s="113" t="n"/>
      <c r="K167" s="84" t="n"/>
    </row>
    <row r="168">
      <c r="D168" s="113" t="n"/>
      <c r="F168" s="113" t="n"/>
      <c r="K168" s="84" t="n"/>
    </row>
    <row r="169">
      <c r="D169" s="113" t="n"/>
      <c r="F169" s="113" t="n"/>
      <c r="K169" s="84" t="n"/>
    </row>
    <row r="170">
      <c r="D170" s="113" t="n"/>
      <c r="F170" s="113" t="n"/>
      <c r="K170" s="84" t="n"/>
    </row>
    <row r="171">
      <c r="D171" s="113" t="n"/>
      <c r="F171" s="113" t="n"/>
      <c r="K171" s="84" t="n"/>
    </row>
    <row r="172">
      <c r="D172" s="113" t="n"/>
      <c r="F172" s="113" t="n"/>
      <c r="K172" s="84" t="n"/>
    </row>
    <row r="173">
      <c r="D173" s="113" t="n"/>
      <c r="F173" s="113" t="n"/>
      <c r="K173" s="84" t="n"/>
    </row>
    <row r="174">
      <c r="D174" s="113" t="n"/>
      <c r="F174" s="113" t="n"/>
      <c r="K174" s="84" t="n"/>
    </row>
    <row r="175">
      <c r="D175" s="113" t="n"/>
      <c r="F175" s="113" t="n"/>
      <c r="K175" s="84" t="n"/>
    </row>
    <row r="176">
      <c r="D176" s="113" t="n"/>
      <c r="F176" s="113" t="n"/>
      <c r="K176" s="84" t="n"/>
    </row>
    <row r="177">
      <c r="D177" s="113" t="n"/>
      <c r="F177" s="113" t="n"/>
      <c r="K177" s="84" t="n"/>
    </row>
    <row r="178">
      <c r="D178" s="113" t="n"/>
      <c r="F178" s="113" t="n"/>
      <c r="K178" s="84" t="n"/>
    </row>
    <row r="179">
      <c r="D179" s="113" t="n"/>
      <c r="F179" s="113" t="n"/>
      <c r="K179" s="84" t="n"/>
    </row>
    <row r="180">
      <c r="D180" s="113" t="n"/>
      <c r="F180" s="113" t="n"/>
      <c r="K180" s="84" t="n"/>
    </row>
    <row r="181">
      <c r="D181" s="113" t="n"/>
      <c r="F181" s="113" t="n"/>
      <c r="K181" s="84" t="n"/>
    </row>
    <row r="182">
      <c r="D182" s="113" t="n"/>
      <c r="F182" s="113" t="n"/>
      <c r="K182" s="84" t="n"/>
    </row>
    <row r="183">
      <c r="D183" s="113" t="n"/>
      <c r="F183" s="113" t="n"/>
      <c r="K183" s="84" t="n"/>
    </row>
    <row r="184">
      <c r="D184" s="113" t="n"/>
      <c r="F184" s="113" t="n"/>
      <c r="K184" s="84" t="n"/>
    </row>
    <row r="185">
      <c r="D185" s="113" t="n"/>
      <c r="F185" s="113" t="n"/>
      <c r="K185" s="84" t="n"/>
    </row>
    <row r="186">
      <c r="D186" s="113" t="n"/>
      <c r="F186" s="113" t="n"/>
      <c r="K186" s="84" t="n"/>
    </row>
    <row r="187">
      <c r="D187" s="113" t="n"/>
      <c r="F187" s="113" t="n"/>
      <c r="K187" s="84" t="n"/>
    </row>
    <row r="188">
      <c r="D188" s="113" t="n"/>
      <c r="F188" s="113" t="n"/>
      <c r="K188" s="84" t="n"/>
    </row>
    <row r="189">
      <c r="D189" s="113" t="n"/>
      <c r="F189" s="113" t="n"/>
      <c r="K189" s="84" t="n"/>
    </row>
    <row r="190">
      <c r="D190" s="113" t="n"/>
      <c r="F190" s="113" t="n"/>
      <c r="K190" s="84" t="n"/>
    </row>
    <row r="191">
      <c r="D191" s="113" t="n"/>
      <c r="F191" s="113" t="n"/>
      <c r="K191" s="84" t="n"/>
    </row>
    <row r="192">
      <c r="D192" s="113" t="n"/>
      <c r="F192" s="113" t="n"/>
      <c r="K192" s="84" t="n"/>
    </row>
    <row r="193">
      <c r="D193" s="113" t="n"/>
      <c r="F193" s="113" t="n"/>
      <c r="K193" s="84" t="n"/>
    </row>
    <row r="194">
      <c r="D194" s="113" t="n"/>
      <c r="F194" s="113" t="n"/>
      <c r="K194" s="84" t="n"/>
    </row>
    <row r="195">
      <c r="D195" s="113" t="n"/>
      <c r="F195" s="113" t="n"/>
      <c r="K195" s="84" t="n"/>
    </row>
    <row r="196">
      <c r="D196" s="113" t="n"/>
      <c r="F196" s="113" t="n"/>
      <c r="K196" s="84" t="n"/>
    </row>
    <row r="197">
      <c r="D197" s="113" t="n"/>
      <c r="F197" s="113" t="n"/>
      <c r="K197" s="84" t="n"/>
    </row>
    <row r="198">
      <c r="D198" s="113" t="n"/>
      <c r="F198" s="113" t="n"/>
      <c r="K198" s="84" t="n"/>
    </row>
    <row r="199">
      <c r="D199" s="113" t="n"/>
      <c r="F199" s="113" t="n"/>
      <c r="K199" s="84" t="n"/>
    </row>
    <row r="200">
      <c r="D200" s="113" t="n"/>
      <c r="F200" s="113" t="n"/>
      <c r="K200" s="84" t="n"/>
    </row>
    <row r="201">
      <c r="D201" s="113" t="n"/>
      <c r="F201" s="113" t="n"/>
      <c r="K201" s="84" t="n"/>
    </row>
    <row r="202">
      <c r="D202" s="113" t="n"/>
      <c r="F202" s="113" t="n"/>
      <c r="K202" s="84" t="n"/>
    </row>
    <row r="203">
      <c r="D203" s="113" t="n"/>
      <c r="F203" s="113" t="n"/>
      <c r="K203" s="84" t="n"/>
    </row>
    <row r="204">
      <c r="D204" s="113" t="n"/>
      <c r="F204" s="113" t="n"/>
      <c r="K204" s="84" t="n"/>
    </row>
    <row r="205">
      <c r="D205" s="113" t="n"/>
      <c r="F205" s="113" t="n"/>
      <c r="K205" s="84" t="n"/>
    </row>
    <row r="206">
      <c r="D206" s="113" t="n"/>
      <c r="F206" s="113" t="n"/>
      <c r="K206" s="84" t="n"/>
    </row>
    <row r="207">
      <c r="D207" s="113" t="n"/>
      <c r="F207" s="113" t="n"/>
      <c r="K207" s="84" t="n"/>
    </row>
    <row r="208">
      <c r="D208" s="113" t="n"/>
      <c r="F208" s="113" t="n"/>
      <c r="K208" s="84" t="n"/>
    </row>
    <row r="209">
      <c r="D209" s="113" t="n"/>
      <c r="F209" s="113" t="n"/>
      <c r="K209" s="84" t="n"/>
    </row>
    <row r="210">
      <c r="D210" s="113" t="n"/>
      <c r="F210" s="113" t="n"/>
      <c r="K210" s="84" t="n"/>
    </row>
    <row r="211">
      <c r="D211" s="113" t="n"/>
      <c r="F211" s="113" t="n"/>
      <c r="K211" s="84" t="n"/>
    </row>
    <row r="212">
      <c r="D212" s="113" t="n"/>
      <c r="F212" s="113" t="n"/>
      <c r="K212" s="84" t="n"/>
    </row>
    <row r="213">
      <c r="D213" s="113" t="n"/>
      <c r="F213" s="113" t="n"/>
      <c r="K213" s="84" t="n"/>
    </row>
    <row r="214">
      <c r="D214" s="113" t="n"/>
      <c r="F214" s="113" t="n"/>
      <c r="K214" s="84" t="n"/>
    </row>
    <row r="215">
      <c r="D215" s="113" t="n"/>
      <c r="F215" s="113" t="n"/>
      <c r="K215" s="84" t="n"/>
    </row>
    <row r="216">
      <c r="D216" s="113" t="n"/>
      <c r="F216" s="113" t="n"/>
      <c r="K216" s="84" t="n"/>
    </row>
    <row r="217">
      <c r="D217" s="113" t="n"/>
      <c r="F217" s="113" t="n"/>
      <c r="K217" s="84" t="n"/>
    </row>
    <row r="218">
      <c r="D218" s="113" t="n"/>
      <c r="F218" s="113" t="n"/>
      <c r="K218" s="84" t="n"/>
    </row>
    <row r="219">
      <c r="D219" s="113" t="n"/>
      <c r="F219" s="113" t="n"/>
      <c r="K219" s="84" t="n"/>
    </row>
    <row r="220">
      <c r="D220" s="113" t="n"/>
      <c r="F220" s="113" t="n"/>
      <c r="K220" s="84" t="n"/>
    </row>
    <row r="221">
      <c r="D221" s="113" t="n"/>
      <c r="F221" s="113" t="n"/>
      <c r="K221" s="84" t="n"/>
    </row>
    <row r="222">
      <c r="D222" s="113" t="n"/>
      <c r="F222" s="113" t="n"/>
      <c r="K222" s="84" t="n"/>
    </row>
    <row r="223">
      <c r="D223" s="113" t="n"/>
      <c r="F223" s="113" t="n"/>
      <c r="K223" s="84" t="n"/>
    </row>
    <row r="224">
      <c r="D224" s="113" t="n"/>
      <c r="F224" s="113" t="n"/>
      <c r="K224" s="84" t="n"/>
    </row>
    <row r="225">
      <c r="D225" s="113" t="n"/>
      <c r="F225" s="113" t="n"/>
      <c r="K225" s="84" t="n"/>
    </row>
    <row r="226">
      <c r="D226" s="113" t="n"/>
      <c r="F226" s="113" t="n"/>
      <c r="K226" s="84" t="n"/>
    </row>
    <row r="227">
      <c r="D227" s="113" t="n"/>
      <c r="F227" s="113" t="n"/>
      <c r="K227" s="84" t="n"/>
    </row>
    <row r="228">
      <c r="D228" s="113" t="n"/>
      <c r="F228" s="113" t="n"/>
      <c r="K228" s="84" t="n"/>
    </row>
    <row r="229">
      <c r="D229" s="113" t="n"/>
      <c r="F229" s="113" t="n"/>
      <c r="K229" s="84" t="n"/>
    </row>
    <row r="230">
      <c r="D230" s="113" t="n"/>
      <c r="F230" s="113" t="n"/>
      <c r="K230" s="84" t="n"/>
    </row>
    <row r="231">
      <c r="D231" s="113" t="n"/>
      <c r="F231" s="113" t="n"/>
      <c r="K231" s="84" t="n"/>
    </row>
    <row r="232">
      <c r="D232" s="113" t="n"/>
      <c r="F232" s="113" t="n"/>
      <c r="K232" s="84" t="n"/>
    </row>
    <row r="233">
      <c r="D233" s="113" t="n"/>
      <c r="F233" s="113" t="n"/>
      <c r="K233" s="84" t="n"/>
    </row>
    <row r="234">
      <c r="D234" s="113" t="n"/>
      <c r="F234" s="113" t="n"/>
      <c r="K234" s="84" t="n"/>
    </row>
    <row r="235">
      <c r="D235" s="113" t="n"/>
      <c r="F235" s="113" t="n"/>
      <c r="K235" s="84" t="n"/>
    </row>
    <row r="236">
      <c r="D236" s="113" t="n"/>
      <c r="F236" s="113" t="n"/>
      <c r="K236" s="84" t="n"/>
    </row>
    <row r="237">
      <c r="D237" s="113" t="n"/>
      <c r="F237" s="113" t="n"/>
      <c r="K237" s="84" t="n"/>
    </row>
    <row r="238">
      <c r="D238" s="113" t="n"/>
      <c r="F238" s="113" t="n"/>
      <c r="K238" s="84" t="n"/>
    </row>
    <row r="239">
      <c r="D239" s="113" t="n"/>
      <c r="F239" s="113" t="n"/>
      <c r="K239" s="84" t="n"/>
    </row>
    <row r="240">
      <c r="D240" s="113" t="n"/>
      <c r="F240" s="113" t="n"/>
      <c r="K240" s="84" t="n"/>
    </row>
    <row r="241">
      <c r="D241" s="113" t="n"/>
      <c r="F241" s="113" t="n"/>
      <c r="K241" s="84" t="n"/>
    </row>
    <row r="242">
      <c r="D242" s="113" t="n"/>
      <c r="F242" s="113" t="n"/>
      <c r="K242" s="84" t="n"/>
    </row>
    <row r="243">
      <c r="D243" s="113" t="n"/>
      <c r="F243" s="113" t="n"/>
      <c r="K243" s="84" t="n"/>
    </row>
    <row r="244">
      <c r="D244" s="113" t="n"/>
      <c r="F244" s="113" t="n"/>
      <c r="K244" s="84" t="n"/>
    </row>
    <row r="245">
      <c r="D245" s="113" t="n"/>
      <c r="F245" s="113" t="n"/>
      <c r="K245" s="84" t="n"/>
    </row>
    <row r="246">
      <c r="D246" s="113" t="n"/>
      <c r="F246" s="113" t="n"/>
      <c r="K246" s="84" t="n"/>
    </row>
    <row r="247">
      <c r="D247" s="113" t="n"/>
      <c r="F247" s="113" t="n"/>
      <c r="K247" s="84" t="n"/>
    </row>
    <row r="248">
      <c r="D248" s="113" t="n"/>
      <c r="F248" s="113" t="n"/>
      <c r="K248" s="84" t="n"/>
    </row>
    <row r="249">
      <c r="D249" s="113" t="n"/>
      <c r="F249" s="113" t="n"/>
      <c r="K249" s="84" t="n"/>
    </row>
    <row r="250">
      <c r="D250" s="113" t="n"/>
      <c r="F250" s="113" t="n"/>
      <c r="K250" s="84" t="n"/>
    </row>
    <row r="251">
      <c r="D251" s="113" t="n"/>
      <c r="F251" s="113" t="n"/>
      <c r="K251" s="84" t="n"/>
    </row>
    <row r="252">
      <c r="D252" s="113" t="n"/>
      <c r="F252" s="113" t="n"/>
      <c r="K252" s="84" t="n"/>
    </row>
    <row r="253">
      <c r="D253" s="113" t="n"/>
      <c r="F253" s="113" t="n"/>
      <c r="K253" s="84" t="n"/>
    </row>
    <row r="254">
      <c r="D254" s="113" t="n"/>
      <c r="F254" s="113" t="n"/>
      <c r="K254" s="84" t="n"/>
    </row>
    <row r="255">
      <c r="D255" s="113" t="n"/>
      <c r="F255" s="113" t="n"/>
      <c r="K255" s="84" t="n"/>
    </row>
    <row r="256">
      <c r="D256" s="113" t="n"/>
      <c r="F256" s="113" t="n"/>
      <c r="K256" s="84" t="n"/>
    </row>
    <row r="257">
      <c r="D257" s="113" t="n"/>
      <c r="F257" s="113" t="n"/>
      <c r="K257" s="84" t="n"/>
    </row>
    <row r="258">
      <c r="D258" s="113" t="n"/>
      <c r="F258" s="113" t="n"/>
      <c r="K258" s="84" t="n"/>
    </row>
    <row r="259">
      <c r="D259" s="113" t="n"/>
      <c r="F259" s="113" t="n"/>
      <c r="K259" s="84" t="n"/>
    </row>
    <row r="260">
      <c r="D260" s="113" t="n"/>
      <c r="F260" s="113" t="n"/>
      <c r="K260" s="84" t="n"/>
    </row>
    <row r="261">
      <c r="D261" s="113" t="n"/>
      <c r="F261" s="113" t="n"/>
      <c r="K261" s="84" t="n"/>
    </row>
    <row r="262">
      <c r="D262" s="113" t="n"/>
      <c r="F262" s="113" t="n"/>
      <c r="K262" s="84" t="n"/>
    </row>
    <row r="263">
      <c r="D263" s="113" t="n"/>
      <c r="F263" s="113" t="n"/>
      <c r="K263" s="84" t="n"/>
    </row>
    <row r="264">
      <c r="D264" s="113" t="n"/>
      <c r="F264" s="113" t="n"/>
      <c r="K264" s="84" t="n"/>
    </row>
    <row r="265">
      <c r="D265" s="113" t="n"/>
      <c r="F265" s="113" t="n"/>
      <c r="K265" s="84" t="n"/>
    </row>
    <row r="266">
      <c r="D266" s="113" t="n"/>
      <c r="F266" s="113" t="n"/>
      <c r="K266" s="84" t="n"/>
    </row>
    <row r="267">
      <c r="D267" s="113" t="n"/>
      <c r="F267" s="113" t="n"/>
      <c r="K267" s="84" t="n"/>
    </row>
    <row r="268">
      <c r="D268" s="113" t="n"/>
      <c r="F268" s="113" t="n"/>
      <c r="K268" s="84" t="n"/>
    </row>
    <row r="269">
      <c r="D269" s="113" t="n"/>
      <c r="F269" s="113" t="n"/>
      <c r="K269" s="84" t="n"/>
    </row>
    <row r="270">
      <c r="D270" s="113" t="n"/>
      <c r="F270" s="113" t="n"/>
      <c r="K270" s="84" t="n"/>
    </row>
    <row r="271">
      <c r="D271" s="113" t="n"/>
      <c r="F271" s="113" t="n"/>
      <c r="K271" s="84" t="n"/>
    </row>
    <row r="272">
      <c r="D272" s="113" t="n"/>
      <c r="F272" s="113" t="n"/>
      <c r="K272" s="84" t="n"/>
    </row>
    <row r="273">
      <c r="D273" s="113" t="n"/>
      <c r="F273" s="113" t="n"/>
      <c r="K273" s="84" t="n"/>
    </row>
    <row r="274">
      <c r="D274" s="113" t="n"/>
      <c r="F274" s="113" t="n"/>
      <c r="K274" s="84" t="n"/>
    </row>
    <row r="275">
      <c r="D275" s="113" t="n"/>
      <c r="F275" s="113" t="n"/>
      <c r="K275" s="84" t="n"/>
    </row>
    <row r="276">
      <c r="D276" s="113" t="n"/>
      <c r="F276" s="113" t="n"/>
      <c r="K276" s="84" t="n"/>
    </row>
    <row r="277">
      <c r="D277" s="113" t="n"/>
      <c r="F277" s="113" t="n"/>
      <c r="K277" s="84" t="n"/>
    </row>
    <row r="278">
      <c r="D278" s="113" t="n"/>
      <c r="F278" s="113" t="n"/>
      <c r="K278" s="84" t="n"/>
    </row>
    <row r="279">
      <c r="D279" s="113" t="n"/>
      <c r="F279" s="113" t="n"/>
      <c r="K279" s="84" t="n"/>
    </row>
    <row r="280">
      <c r="D280" s="113" t="n"/>
      <c r="F280" s="113" t="n"/>
      <c r="K280" s="84" t="n"/>
    </row>
    <row r="281">
      <c r="D281" s="113" t="n"/>
      <c r="F281" s="113" t="n"/>
      <c r="K281" s="84" t="n"/>
    </row>
    <row r="282">
      <c r="D282" s="113" t="n"/>
      <c r="F282" s="113" t="n"/>
      <c r="K282" s="84" t="n"/>
    </row>
    <row r="283">
      <c r="D283" s="113" t="n"/>
      <c r="F283" s="113" t="n"/>
      <c r="K283" s="84" t="n"/>
    </row>
    <row r="284">
      <c r="D284" s="113" t="n"/>
      <c r="F284" s="113" t="n"/>
      <c r="K284" s="84" t="n"/>
    </row>
    <row r="285">
      <c r="D285" s="113" t="n"/>
      <c r="F285" s="113" t="n"/>
      <c r="K285" s="84" t="n"/>
    </row>
    <row r="286">
      <c r="D286" s="113" t="n"/>
      <c r="F286" s="113" t="n"/>
      <c r="K286" s="84" t="n"/>
    </row>
    <row r="287">
      <c r="D287" s="113" t="n"/>
      <c r="F287" s="113" t="n"/>
      <c r="K287" s="84" t="n"/>
    </row>
    <row r="288">
      <c r="D288" s="113" t="n"/>
      <c r="F288" s="113" t="n"/>
      <c r="K288" s="84" t="n"/>
    </row>
    <row r="289">
      <c r="D289" s="113" t="n"/>
      <c r="F289" s="113" t="n"/>
      <c r="K289" s="84" t="n"/>
    </row>
    <row r="290">
      <c r="D290" s="113" t="n"/>
      <c r="F290" s="113" t="n"/>
      <c r="K290" s="84" t="n"/>
    </row>
    <row r="291">
      <c r="D291" s="113" t="n"/>
      <c r="F291" s="113" t="n"/>
      <c r="K291" s="84" t="n"/>
    </row>
    <row r="292">
      <c r="D292" s="113" t="n"/>
      <c r="F292" s="113" t="n"/>
      <c r="K292" s="84" t="n"/>
    </row>
    <row r="293">
      <c r="D293" s="113" t="n"/>
      <c r="F293" s="113" t="n"/>
      <c r="K293" s="84" t="n"/>
    </row>
    <row r="294">
      <c r="D294" s="113" t="n"/>
      <c r="F294" s="113" t="n"/>
      <c r="K294" s="84" t="n"/>
    </row>
    <row r="295">
      <c r="D295" s="113" t="n"/>
      <c r="F295" s="113" t="n"/>
      <c r="K295" s="84" t="n"/>
    </row>
    <row r="296">
      <c r="D296" s="113" t="n"/>
      <c r="F296" s="113" t="n"/>
      <c r="K296" s="84" t="n"/>
    </row>
    <row r="297">
      <c r="D297" s="113" t="n"/>
      <c r="F297" s="113" t="n"/>
      <c r="K297" s="84" t="n"/>
    </row>
    <row r="298">
      <c r="D298" s="113" t="n"/>
      <c r="F298" s="113" t="n"/>
      <c r="K298" s="84" t="n"/>
    </row>
    <row r="299">
      <c r="D299" s="113" t="n"/>
      <c r="F299" s="113" t="n"/>
      <c r="K299" s="84" t="n"/>
    </row>
    <row r="300">
      <c r="D300" s="113" t="n"/>
      <c r="F300" s="113" t="n"/>
      <c r="K300" s="84" t="n"/>
    </row>
    <row r="301">
      <c r="D301" s="113" t="n"/>
      <c r="F301" s="113" t="n"/>
      <c r="K301" s="84" t="n"/>
    </row>
    <row r="302">
      <c r="D302" s="113" t="n"/>
      <c r="F302" s="113" t="n"/>
      <c r="K302" s="84" t="n"/>
    </row>
    <row r="303">
      <c r="D303" s="113" t="n"/>
      <c r="F303" s="113" t="n"/>
      <c r="K303" s="84" t="n"/>
    </row>
    <row r="304">
      <c r="D304" s="113" t="n"/>
      <c r="F304" s="113" t="n"/>
      <c r="K304" s="84" t="n"/>
    </row>
    <row r="305">
      <c r="D305" s="113" t="n"/>
      <c r="F305" s="113" t="n"/>
      <c r="K305" s="84" t="n"/>
    </row>
    <row r="306">
      <c r="D306" s="113" t="n"/>
      <c r="F306" s="113" t="n"/>
      <c r="K306" s="84" t="n"/>
    </row>
    <row r="307">
      <c r="D307" s="113" t="n"/>
      <c r="F307" s="113" t="n"/>
      <c r="K307" s="84" t="n"/>
    </row>
    <row r="308">
      <c r="D308" s="113" t="n"/>
      <c r="F308" s="113" t="n"/>
      <c r="K308" s="84" t="n"/>
    </row>
    <row r="309">
      <c r="D309" s="113" t="n"/>
      <c r="F309" s="113" t="n"/>
      <c r="K309" s="84" t="n"/>
    </row>
    <row r="310">
      <c r="D310" s="113" t="n"/>
      <c r="F310" s="113" t="n"/>
      <c r="K310" s="84" t="n"/>
    </row>
    <row r="311">
      <c r="D311" s="113" t="n"/>
      <c r="F311" s="113" t="n"/>
      <c r="K311" s="84" t="n"/>
    </row>
    <row r="312">
      <c r="D312" s="113" t="n"/>
      <c r="F312" s="113" t="n"/>
      <c r="K312" s="84" t="n"/>
    </row>
    <row r="313">
      <c r="D313" s="113" t="n"/>
      <c r="F313" s="113" t="n"/>
      <c r="K313" s="84" t="n"/>
    </row>
    <row r="314">
      <c r="D314" s="113" t="n"/>
      <c r="F314" s="113" t="n"/>
      <c r="K314" s="84" t="n"/>
    </row>
    <row r="315">
      <c r="D315" s="113" t="n"/>
      <c r="F315" s="113" t="n"/>
      <c r="K315" s="84" t="n"/>
    </row>
    <row r="316">
      <c r="D316" s="113" t="n"/>
      <c r="F316" s="113" t="n"/>
      <c r="K316" s="84" t="n"/>
    </row>
    <row r="317">
      <c r="D317" s="113" t="n"/>
      <c r="F317" s="113" t="n"/>
      <c r="K317" s="84" t="n"/>
    </row>
    <row r="318">
      <c r="D318" s="113" t="n"/>
      <c r="F318" s="113" t="n"/>
      <c r="K318" s="84" t="n"/>
    </row>
    <row r="319">
      <c r="D319" s="113" t="n"/>
      <c r="F319" s="113" t="n"/>
      <c r="K319" s="84" t="n"/>
    </row>
    <row r="320">
      <c r="D320" s="113" t="n"/>
      <c r="F320" s="113" t="n"/>
      <c r="K320" s="84" t="n"/>
    </row>
    <row r="321">
      <c r="D321" s="113" t="n"/>
      <c r="F321" s="113" t="n"/>
      <c r="K321" s="84" t="n"/>
    </row>
    <row r="322">
      <c r="D322" s="113" t="n"/>
      <c r="F322" s="113" t="n"/>
      <c r="K322" s="84" t="n"/>
    </row>
    <row r="323">
      <c r="D323" s="113" t="n"/>
      <c r="F323" s="113" t="n"/>
      <c r="K323" s="84" t="n"/>
    </row>
    <row r="324">
      <c r="D324" s="113" t="n"/>
      <c r="F324" s="113" t="n"/>
      <c r="K324" s="84" t="n"/>
    </row>
    <row r="325">
      <c r="D325" s="113" t="n"/>
      <c r="F325" s="113" t="n"/>
      <c r="K325" s="84" t="n"/>
    </row>
    <row r="326">
      <c r="D326" s="113" t="n"/>
      <c r="F326" s="113" t="n"/>
      <c r="K326" s="84" t="n"/>
    </row>
    <row r="327">
      <c r="D327" s="113" t="n"/>
      <c r="F327" s="113" t="n"/>
      <c r="K327" s="84" t="n"/>
    </row>
    <row r="328">
      <c r="D328" s="113" t="n"/>
      <c r="F328" s="113" t="n"/>
      <c r="K328" s="84" t="n"/>
    </row>
    <row r="329">
      <c r="D329" s="113" t="n"/>
      <c r="F329" s="113" t="n"/>
      <c r="K329" s="84" t="n"/>
    </row>
    <row r="330">
      <c r="D330" s="113" t="n"/>
      <c r="F330" s="113" t="n"/>
      <c r="K330" s="84" t="n"/>
    </row>
    <row r="331">
      <c r="D331" s="113" t="n"/>
      <c r="F331" s="113" t="n"/>
      <c r="K331" s="84" t="n"/>
    </row>
    <row r="332">
      <c r="D332" s="113" t="n"/>
      <c r="F332" s="113" t="n"/>
      <c r="K332" s="84" t="n"/>
    </row>
    <row r="333">
      <c r="D333" s="113" t="n"/>
      <c r="F333" s="113" t="n"/>
      <c r="K333" s="84" t="n"/>
    </row>
    <row r="334">
      <c r="D334" s="113" t="n"/>
      <c r="F334" s="113" t="n"/>
      <c r="K334" s="84" t="n"/>
    </row>
    <row r="335">
      <c r="D335" s="113" t="n"/>
      <c r="F335" s="113" t="n"/>
      <c r="K335" s="84" t="n"/>
    </row>
    <row r="336">
      <c r="D336" s="113" t="n"/>
      <c r="F336" s="113" t="n"/>
      <c r="K336" s="84" t="n"/>
    </row>
    <row r="337">
      <c r="D337" s="113" t="n"/>
      <c r="F337" s="113" t="n"/>
      <c r="K337" s="84" t="n"/>
    </row>
    <row r="338">
      <c r="D338" s="113" t="n"/>
      <c r="F338" s="113" t="n"/>
      <c r="K338" s="84" t="n"/>
    </row>
    <row r="339">
      <c r="D339" s="113" t="n"/>
      <c r="F339" s="113" t="n"/>
      <c r="K339" s="84" t="n"/>
    </row>
    <row r="340">
      <c r="D340" s="113" t="n"/>
      <c r="F340" s="113" t="n"/>
      <c r="K340" s="84" t="n"/>
    </row>
    <row r="341">
      <c r="D341" s="113" t="n"/>
      <c r="F341" s="113" t="n"/>
      <c r="K341" s="84" t="n"/>
    </row>
    <row r="342">
      <c r="D342" s="113" t="n"/>
      <c r="F342" s="113" t="n"/>
      <c r="K342" s="84" t="n"/>
    </row>
    <row r="343">
      <c r="D343" s="113" t="n"/>
      <c r="F343" s="113" t="n"/>
      <c r="K343" s="84" t="n"/>
    </row>
    <row r="344">
      <c r="D344" s="113" t="n"/>
      <c r="F344" s="113" t="n"/>
      <c r="K344" s="84" t="n"/>
    </row>
    <row r="345">
      <c r="D345" s="113" t="n"/>
      <c r="F345" s="113" t="n"/>
      <c r="K345" s="84" t="n"/>
    </row>
    <row r="346">
      <c r="D346" s="113" t="n"/>
      <c r="F346" s="113" t="n"/>
      <c r="K346" s="84" t="n"/>
    </row>
    <row r="347">
      <c r="D347" s="113" t="n"/>
      <c r="F347" s="113" t="n"/>
      <c r="K347" s="84" t="n"/>
    </row>
    <row r="348">
      <c r="D348" s="113" t="n"/>
      <c r="F348" s="113" t="n"/>
      <c r="K348" s="84" t="n"/>
    </row>
    <row r="349">
      <c r="D349" s="113" t="n"/>
      <c r="F349" s="113" t="n"/>
      <c r="K349" s="84" t="n"/>
    </row>
    <row r="350">
      <c r="D350" s="113" t="n"/>
      <c r="F350" s="113" t="n"/>
      <c r="K350" s="84" t="n"/>
    </row>
    <row r="351">
      <c r="D351" s="113" t="n"/>
      <c r="F351" s="113" t="n"/>
      <c r="K351" s="84" t="n"/>
    </row>
    <row r="352">
      <c r="D352" s="113" t="n"/>
      <c r="F352" s="113" t="n"/>
      <c r="K352" s="84" t="n"/>
    </row>
    <row r="353">
      <c r="D353" s="113" t="n"/>
      <c r="F353" s="113" t="n"/>
      <c r="K353" s="84" t="n"/>
    </row>
    <row r="354">
      <c r="D354" s="113" t="n"/>
      <c r="F354" s="113" t="n"/>
      <c r="K354" s="84" t="n"/>
    </row>
    <row r="355">
      <c r="D355" s="113" t="n"/>
      <c r="F355" s="113" t="n"/>
      <c r="K355" s="84" t="n"/>
    </row>
    <row r="356">
      <c r="D356" s="113" t="n"/>
      <c r="F356" s="113" t="n"/>
      <c r="K356" s="84" t="n"/>
    </row>
    <row r="357">
      <c r="D357" s="113" t="n"/>
      <c r="F357" s="113" t="n"/>
      <c r="K357" s="84" t="n"/>
    </row>
    <row r="358">
      <c r="D358" s="113" t="n"/>
      <c r="F358" s="113" t="n"/>
      <c r="K358" s="84" t="n"/>
    </row>
    <row r="359">
      <c r="D359" s="113" t="n"/>
      <c r="F359" s="113" t="n"/>
      <c r="K359" s="84" t="n"/>
    </row>
    <row r="360">
      <c r="D360" s="113" t="n"/>
      <c r="F360" s="113" t="n"/>
      <c r="K360" s="84" t="n"/>
    </row>
    <row r="361">
      <c r="D361" s="113" t="n"/>
      <c r="F361" s="113" t="n"/>
      <c r="K361" s="84" t="n"/>
    </row>
    <row r="362">
      <c r="D362" s="113" t="n"/>
      <c r="F362" s="113" t="n"/>
      <c r="K362" s="84" t="n"/>
    </row>
    <row r="363">
      <c r="D363" s="113" t="n"/>
      <c r="F363" s="113" t="n"/>
      <c r="K363" s="84" t="n"/>
    </row>
    <row r="364">
      <c r="D364" s="113" t="n"/>
      <c r="F364" s="113" t="n"/>
      <c r="K364" s="84" t="n"/>
    </row>
    <row r="365">
      <c r="D365" s="113" t="n"/>
      <c r="F365" s="113" t="n"/>
      <c r="K365" s="84" t="n"/>
    </row>
    <row r="366">
      <c r="D366" s="113" t="n"/>
      <c r="F366" s="113" t="n"/>
      <c r="K366" s="84" t="n"/>
    </row>
    <row r="367">
      <c r="D367" s="113" t="n"/>
      <c r="F367" s="113" t="n"/>
      <c r="K367" s="84" t="n"/>
    </row>
    <row r="368">
      <c r="D368" s="113" t="n"/>
      <c r="F368" s="113" t="n"/>
      <c r="K368" s="84" t="n"/>
    </row>
    <row r="369">
      <c r="D369" s="113" t="n"/>
      <c r="F369" s="113" t="n"/>
      <c r="K369" s="84" t="n"/>
    </row>
    <row r="370">
      <c r="D370" s="113" t="n"/>
      <c r="F370" s="113" t="n"/>
      <c r="K370" s="84" t="n"/>
    </row>
    <row r="371">
      <c r="D371" s="113" t="n"/>
      <c r="F371" s="113" t="n"/>
      <c r="K371" s="84" t="n"/>
    </row>
    <row r="372">
      <c r="D372" s="113" t="n"/>
      <c r="F372" s="113" t="n"/>
      <c r="K372" s="84" t="n"/>
    </row>
    <row r="373">
      <c r="D373" s="113" t="n"/>
      <c r="F373" s="113" t="n"/>
      <c r="K373" s="84" t="n"/>
    </row>
    <row r="374">
      <c r="D374" s="113" t="n"/>
      <c r="F374" s="113" t="n"/>
      <c r="K374" s="84" t="n"/>
    </row>
    <row r="375">
      <c r="D375" s="113" t="n"/>
      <c r="F375" s="113" t="n"/>
      <c r="K375" s="84" t="n"/>
    </row>
    <row r="376">
      <c r="D376" s="113" t="n"/>
      <c r="F376" s="113" t="n"/>
      <c r="K376" s="84" t="n"/>
    </row>
    <row r="377">
      <c r="D377" s="113" t="n"/>
      <c r="F377" s="113" t="n"/>
      <c r="K377" s="84" t="n"/>
    </row>
    <row r="378">
      <c r="D378" s="113" t="n"/>
      <c r="F378" s="113" t="n"/>
      <c r="K378" s="84" t="n"/>
    </row>
    <row r="379">
      <c r="D379" s="113" t="n"/>
      <c r="F379" s="113" t="n"/>
      <c r="K379" s="84" t="n"/>
    </row>
    <row r="380">
      <c r="D380" s="113" t="n"/>
      <c r="F380" s="113" t="n"/>
      <c r="K380" s="84" t="n"/>
    </row>
    <row r="381">
      <c r="D381" s="113" t="n"/>
      <c r="F381" s="113" t="n"/>
      <c r="K381" s="84" t="n"/>
    </row>
    <row r="382">
      <c r="D382" s="113" t="n"/>
      <c r="F382" s="113" t="n"/>
      <c r="K382" s="84" t="n"/>
    </row>
    <row r="383">
      <c r="D383" s="113" t="n"/>
      <c r="F383" s="113" t="n"/>
      <c r="K383" s="84" t="n"/>
    </row>
    <row r="384">
      <c r="D384" s="113" t="n"/>
      <c r="F384" s="113" t="n"/>
      <c r="K384" s="84" t="n"/>
    </row>
    <row r="385">
      <c r="D385" s="113" t="n"/>
      <c r="F385" s="113" t="n"/>
      <c r="K385" s="84" t="n"/>
    </row>
    <row r="386">
      <c r="D386" s="113" t="n"/>
      <c r="F386" s="113" t="n"/>
      <c r="K386" s="84" t="n"/>
    </row>
    <row r="387">
      <c r="D387" s="113" t="n"/>
      <c r="F387" s="113" t="n"/>
      <c r="K387" s="84" t="n"/>
    </row>
    <row r="388">
      <c r="D388" s="113" t="n"/>
      <c r="F388" s="113" t="n"/>
      <c r="K388" s="84" t="n"/>
    </row>
    <row r="389">
      <c r="D389" s="113" t="n"/>
      <c r="F389" s="113" t="n"/>
      <c r="K389" s="84" t="n"/>
    </row>
    <row r="390">
      <c r="D390" s="113" t="n"/>
      <c r="F390" s="113" t="n"/>
      <c r="K390" s="84" t="n"/>
    </row>
    <row r="391">
      <c r="D391" s="113" t="n"/>
      <c r="F391" s="113" t="n"/>
      <c r="K391" s="84" t="n"/>
    </row>
    <row r="392">
      <c r="D392" s="113" t="n"/>
      <c r="F392" s="113" t="n"/>
      <c r="K392" s="84" t="n"/>
    </row>
    <row r="393">
      <c r="D393" s="113" t="n"/>
      <c r="F393" s="113" t="n"/>
      <c r="K393" s="84" t="n"/>
    </row>
    <row r="394">
      <c r="D394" s="113" t="n"/>
      <c r="F394" s="113" t="n"/>
      <c r="K394" s="84" t="n"/>
    </row>
    <row r="395">
      <c r="D395" s="113" t="n"/>
      <c r="F395" s="113" t="n"/>
      <c r="K395" s="84" t="n"/>
    </row>
    <row r="396">
      <c r="D396" s="113" t="n"/>
      <c r="F396" s="113" t="n"/>
      <c r="K396" s="84" t="n"/>
    </row>
    <row r="397">
      <c r="D397" s="113" t="n"/>
      <c r="F397" s="113" t="n"/>
      <c r="K397" s="84" t="n"/>
    </row>
    <row r="398">
      <c r="D398" s="113" t="n"/>
      <c r="F398" s="113" t="n"/>
      <c r="K398" s="84" t="n"/>
    </row>
    <row r="399">
      <c r="D399" s="113" t="n"/>
      <c r="F399" s="113" t="n"/>
      <c r="K399" s="84" t="n"/>
    </row>
    <row r="400">
      <c r="D400" s="113" t="n"/>
      <c r="F400" s="113" t="n"/>
      <c r="K400" s="84" t="n"/>
    </row>
    <row r="401">
      <c r="D401" s="113" t="n"/>
      <c r="F401" s="113" t="n"/>
      <c r="K401" s="84" t="n"/>
    </row>
    <row r="402">
      <c r="D402" s="113" t="n"/>
      <c r="F402" s="113" t="n"/>
      <c r="K402" s="84" t="n"/>
    </row>
    <row r="403">
      <c r="D403" s="113" t="n"/>
      <c r="F403" s="113" t="n"/>
      <c r="K403" s="84" t="n"/>
    </row>
    <row r="404">
      <c r="D404" s="113" t="n"/>
      <c r="F404" s="113" t="n"/>
      <c r="K404" s="84" t="n"/>
    </row>
    <row r="405">
      <c r="D405" s="113" t="n"/>
      <c r="F405" s="113" t="n"/>
      <c r="K405" s="84" t="n"/>
    </row>
    <row r="406">
      <c r="D406" s="113" t="n"/>
      <c r="F406" s="113" t="n"/>
      <c r="K406" s="84" t="n"/>
    </row>
    <row r="407">
      <c r="D407" s="113" t="n"/>
      <c r="F407" s="113" t="n"/>
      <c r="K407" s="84" t="n"/>
    </row>
    <row r="408">
      <c r="D408" s="113" t="n"/>
      <c r="F408" s="113" t="n"/>
      <c r="K408" s="84" t="n"/>
    </row>
    <row r="409">
      <c r="D409" s="113" t="n"/>
      <c r="F409" s="113" t="n"/>
      <c r="K409" s="84" t="n"/>
    </row>
    <row r="410">
      <c r="D410" s="113" t="n"/>
      <c r="F410" s="113" t="n"/>
      <c r="K410" s="84" t="n"/>
    </row>
    <row r="411">
      <c r="D411" s="113" t="n"/>
      <c r="F411" s="113" t="n"/>
      <c r="K411" s="84" t="n"/>
    </row>
    <row r="412">
      <c r="D412" s="113" t="n"/>
      <c r="F412" s="113" t="n"/>
      <c r="K412" s="84" t="n"/>
    </row>
    <row r="413">
      <c r="D413" s="113" t="n"/>
      <c r="F413" s="113" t="n"/>
      <c r="K413" s="84" t="n"/>
    </row>
    <row r="414">
      <c r="D414" s="113" t="n"/>
      <c r="F414" s="113" t="n"/>
      <c r="K414" s="84" t="n"/>
    </row>
    <row r="415">
      <c r="D415" s="113" t="n"/>
      <c r="F415" s="113" t="n"/>
      <c r="K415" s="84" t="n"/>
    </row>
    <row r="416">
      <c r="D416" s="113" t="n"/>
      <c r="F416" s="113" t="n"/>
      <c r="K416" s="84" t="n"/>
    </row>
    <row r="417">
      <c r="D417" s="113" t="n"/>
      <c r="F417" s="113" t="n"/>
      <c r="K417" s="84" t="n"/>
    </row>
    <row r="418">
      <c r="D418" s="113" t="n"/>
      <c r="F418" s="113" t="n"/>
      <c r="K418" s="84" t="n"/>
    </row>
    <row r="419">
      <c r="D419" s="113" t="n"/>
      <c r="F419" s="113" t="n"/>
      <c r="K419" s="84" t="n"/>
    </row>
    <row r="420">
      <c r="D420" s="113" t="n"/>
      <c r="F420" s="113" t="n"/>
      <c r="K420" s="84" t="n"/>
    </row>
    <row r="421">
      <c r="D421" s="113" t="n"/>
      <c r="F421" s="113" t="n"/>
      <c r="K421" s="84" t="n"/>
    </row>
    <row r="422">
      <c r="D422" s="113" t="n"/>
      <c r="F422" s="113" t="n"/>
      <c r="K422" s="84" t="n"/>
    </row>
    <row r="423">
      <c r="D423" s="113" t="n"/>
      <c r="F423" s="113" t="n"/>
      <c r="K423" s="84" t="n"/>
    </row>
    <row r="424">
      <c r="D424" s="113" t="n"/>
      <c r="F424" s="113" t="n"/>
      <c r="K424" s="84" t="n"/>
    </row>
    <row r="425">
      <c r="D425" s="113" t="n"/>
      <c r="F425" s="113" t="n"/>
      <c r="K425" s="84" t="n"/>
    </row>
    <row r="426">
      <c r="D426" s="113" t="n"/>
      <c r="F426" s="113" t="n"/>
      <c r="K426" s="84" t="n"/>
    </row>
    <row r="427">
      <c r="D427" s="113" t="n"/>
      <c r="F427" s="113" t="n"/>
      <c r="K427" s="84" t="n"/>
    </row>
    <row r="428">
      <c r="D428" s="113" t="n"/>
      <c r="F428" s="113" t="n"/>
      <c r="K428" s="84" t="n"/>
    </row>
    <row r="429">
      <c r="D429" s="113" t="n"/>
      <c r="F429" s="113" t="n"/>
      <c r="K429" s="84" t="n"/>
    </row>
    <row r="430">
      <c r="D430" s="113" t="n"/>
      <c r="F430" s="113" t="n"/>
      <c r="K430" s="84" t="n"/>
    </row>
    <row r="431">
      <c r="D431" s="113" t="n"/>
      <c r="F431" s="113" t="n"/>
      <c r="K431" s="84" t="n"/>
    </row>
    <row r="432">
      <c r="D432" s="113" t="n"/>
      <c r="F432" s="113" t="n"/>
      <c r="K432" s="84" t="n"/>
    </row>
    <row r="433">
      <c r="D433" s="113" t="n"/>
      <c r="F433" s="113" t="n"/>
      <c r="K433" s="84" t="n"/>
    </row>
    <row r="434">
      <c r="D434" s="113" t="n"/>
      <c r="F434" s="113" t="n"/>
      <c r="K434" s="84" t="n"/>
    </row>
    <row r="435">
      <c r="D435" s="113" t="n"/>
      <c r="F435" s="113" t="n"/>
      <c r="K435" s="84" t="n"/>
    </row>
    <row r="436">
      <c r="D436" s="113" t="n"/>
      <c r="F436" s="113" t="n"/>
      <c r="K436" s="84" t="n"/>
    </row>
    <row r="437">
      <c r="D437" s="113" t="n"/>
      <c r="F437" s="113" t="n"/>
      <c r="K437" s="84" t="n"/>
    </row>
    <row r="438">
      <c r="D438" s="113" t="n"/>
      <c r="F438" s="113" t="n"/>
      <c r="K438" s="84" t="n"/>
    </row>
    <row r="439">
      <c r="D439" s="113" t="n"/>
      <c r="F439" s="113" t="n"/>
      <c r="K439" s="84" t="n"/>
    </row>
    <row r="440">
      <c r="D440" s="113" t="n"/>
      <c r="F440" s="113" t="n"/>
      <c r="K440" s="84" t="n"/>
    </row>
    <row r="441">
      <c r="D441" s="113" t="n"/>
      <c r="F441" s="113" t="n"/>
      <c r="K441" s="84" t="n"/>
    </row>
    <row r="442">
      <c r="D442" s="113" t="n"/>
      <c r="F442" s="113" t="n"/>
      <c r="K442" s="84" t="n"/>
    </row>
    <row r="443">
      <c r="D443" s="113" t="n"/>
      <c r="F443" s="113" t="n"/>
      <c r="K443" s="84" t="n"/>
    </row>
    <row r="444">
      <c r="D444" s="113" t="n"/>
      <c r="F444" s="113" t="n"/>
      <c r="K444" s="84" t="n"/>
    </row>
    <row r="445">
      <c r="D445" s="113" t="n"/>
      <c r="F445" s="113" t="n"/>
      <c r="K445" s="84" t="n"/>
    </row>
    <row r="446">
      <c r="D446" s="113" t="n"/>
      <c r="F446" s="113" t="n"/>
      <c r="K446" s="84" t="n"/>
    </row>
    <row r="447">
      <c r="D447" s="113" t="n"/>
      <c r="F447" s="113" t="n"/>
      <c r="K447" s="84" t="n"/>
    </row>
    <row r="448">
      <c r="D448" s="113" t="n"/>
      <c r="F448" s="113" t="n"/>
      <c r="K448" s="84" t="n"/>
    </row>
    <row r="449">
      <c r="D449" s="113" t="n"/>
      <c r="F449" s="113" t="n"/>
      <c r="K449" s="84" t="n"/>
    </row>
    <row r="450">
      <c r="D450" s="113" t="n"/>
      <c r="F450" s="113" t="n"/>
      <c r="K450" s="84" t="n"/>
    </row>
    <row r="451">
      <c r="D451" s="113" t="n"/>
      <c r="F451" s="113" t="n"/>
      <c r="K451" s="84" t="n"/>
    </row>
    <row r="452">
      <c r="D452" s="113" t="n"/>
      <c r="F452" s="113" t="n"/>
      <c r="K452" s="84" t="n"/>
    </row>
    <row r="453">
      <c r="D453" s="113" t="n"/>
      <c r="F453" s="113" t="n"/>
      <c r="K453" s="84" t="n"/>
    </row>
    <row r="454">
      <c r="D454" s="113" t="n"/>
      <c r="F454" s="113" t="n"/>
      <c r="K454" s="84" t="n"/>
    </row>
    <row r="455">
      <c r="D455" s="113" t="n"/>
      <c r="F455" s="113" t="n"/>
      <c r="K455" s="84" t="n"/>
    </row>
    <row r="456">
      <c r="D456" s="113" t="n"/>
      <c r="F456" s="113" t="n"/>
      <c r="K456" s="84" t="n"/>
    </row>
    <row r="457">
      <c r="D457" s="113" t="n"/>
      <c r="F457" s="113" t="n"/>
      <c r="K457" s="84" t="n"/>
    </row>
    <row r="458">
      <c r="D458" s="113" t="n"/>
      <c r="F458" s="113" t="n"/>
      <c r="K458" s="84" t="n"/>
    </row>
    <row r="459">
      <c r="D459" s="113" t="n"/>
      <c r="F459" s="113" t="n"/>
      <c r="K459" s="84" t="n"/>
    </row>
    <row r="460">
      <c r="D460" s="113" t="n"/>
      <c r="F460" s="113" t="n"/>
      <c r="K460" s="84" t="n"/>
    </row>
    <row r="461">
      <c r="D461" s="113" t="n"/>
      <c r="F461" s="113" t="n"/>
      <c r="K461" s="84" t="n"/>
    </row>
    <row r="462">
      <c r="D462" s="113" t="n"/>
      <c r="F462" s="113" t="n"/>
      <c r="K462" s="84" t="n"/>
    </row>
    <row r="463">
      <c r="D463" s="113" t="n"/>
      <c r="F463" s="113" t="n"/>
      <c r="K463" s="84" t="n"/>
    </row>
    <row r="464">
      <c r="D464" s="113" t="n"/>
      <c r="F464" s="113" t="n"/>
      <c r="K464" s="84" t="n"/>
    </row>
    <row r="465">
      <c r="D465" s="113" t="n"/>
      <c r="F465" s="113" t="n"/>
      <c r="K465" s="84" t="n"/>
    </row>
    <row r="466">
      <c r="D466" s="113" t="n"/>
      <c r="F466" s="113" t="n"/>
      <c r="K466" s="84" t="n"/>
    </row>
    <row r="467">
      <c r="D467" s="113" t="n"/>
      <c r="F467" s="113" t="n"/>
      <c r="K467" s="84" t="n"/>
    </row>
    <row r="468">
      <c r="D468" s="113" t="n"/>
      <c r="F468" s="113" t="n"/>
      <c r="K468" s="84" t="n"/>
    </row>
    <row r="469">
      <c r="D469" s="113" t="n"/>
      <c r="F469" s="113" t="n"/>
      <c r="K469" s="84" t="n"/>
    </row>
    <row r="470">
      <c r="D470" s="113" t="n"/>
      <c r="F470" s="113" t="n"/>
      <c r="K470" s="84" t="n"/>
    </row>
    <row r="471">
      <c r="D471" s="113" t="n"/>
      <c r="F471" s="113" t="n"/>
      <c r="K471" s="84" t="n"/>
    </row>
    <row r="472">
      <c r="D472" s="113" t="n"/>
      <c r="F472" s="113" t="n"/>
      <c r="K472" s="84" t="n"/>
    </row>
    <row r="473">
      <c r="D473" s="113" t="n"/>
      <c r="F473" s="113" t="n"/>
      <c r="K473" s="84" t="n"/>
    </row>
    <row r="474">
      <c r="D474" s="113" t="n"/>
      <c r="F474" s="113" t="n"/>
      <c r="K474" s="84" t="n"/>
    </row>
    <row r="475">
      <c r="D475" s="113" t="n"/>
      <c r="F475" s="113" t="n"/>
      <c r="K475" s="84" t="n"/>
    </row>
    <row r="476">
      <c r="D476" s="113" t="n"/>
      <c r="F476" s="113" t="n"/>
      <c r="K476" s="84" t="n"/>
    </row>
    <row r="477">
      <c r="D477" s="113" t="n"/>
      <c r="F477" s="113" t="n"/>
      <c r="K477" s="84" t="n"/>
    </row>
    <row r="478">
      <c r="D478" s="113" t="n"/>
      <c r="F478" s="113" t="n"/>
      <c r="K478" s="84" t="n"/>
    </row>
    <row r="479">
      <c r="D479" s="113" t="n"/>
      <c r="F479" s="113" t="n"/>
      <c r="K479" s="84" t="n"/>
    </row>
    <row r="480">
      <c r="D480" s="113" t="n"/>
      <c r="F480" s="113" t="n"/>
      <c r="K480" s="84" t="n"/>
    </row>
    <row r="481">
      <c r="D481" s="113" t="n"/>
      <c r="F481" s="113" t="n"/>
      <c r="K481" s="84" t="n"/>
    </row>
    <row r="482">
      <c r="D482" s="113" t="n"/>
      <c r="F482" s="113" t="n"/>
      <c r="K482" s="84" t="n"/>
    </row>
    <row r="483">
      <c r="D483" s="113" t="n"/>
      <c r="F483" s="113" t="n"/>
      <c r="K483" s="84" t="n"/>
    </row>
    <row r="484">
      <c r="D484" s="113" t="n"/>
      <c r="F484" s="113" t="n"/>
      <c r="K484" s="84" t="n"/>
    </row>
    <row r="485">
      <c r="D485" s="113" t="n"/>
      <c r="F485" s="113" t="n"/>
      <c r="K485" s="84" t="n"/>
    </row>
    <row r="486">
      <c r="D486" s="113" t="n"/>
      <c r="F486" s="113" t="n"/>
      <c r="K486" s="84" t="n"/>
    </row>
    <row r="487">
      <c r="D487" s="113" t="n"/>
      <c r="F487" s="113" t="n"/>
      <c r="K487" s="84" t="n"/>
    </row>
    <row r="488">
      <c r="D488" s="113" t="n"/>
      <c r="F488" s="113" t="n"/>
      <c r="K488" s="84" t="n"/>
    </row>
    <row r="489">
      <c r="D489" s="113" t="n"/>
      <c r="F489" s="113" t="n"/>
      <c r="K489" s="84" t="n"/>
    </row>
    <row r="490">
      <c r="D490" s="113" t="n"/>
      <c r="F490" s="113" t="n"/>
      <c r="K490" s="84" t="n"/>
    </row>
    <row r="491">
      <c r="D491" s="113" t="n"/>
      <c r="F491" s="113" t="n"/>
      <c r="K491" s="84" t="n"/>
    </row>
    <row r="492">
      <c r="D492" s="113" t="n"/>
      <c r="F492" s="113" t="n"/>
      <c r="K492" s="84" t="n"/>
    </row>
    <row r="493">
      <c r="D493" s="113" t="n"/>
      <c r="F493" s="113" t="n"/>
      <c r="K493" s="84" t="n"/>
    </row>
    <row r="494">
      <c r="D494" s="113" t="n"/>
      <c r="F494" s="113" t="n"/>
      <c r="K494" s="84" t="n"/>
    </row>
    <row r="495">
      <c r="D495" s="113" t="n"/>
      <c r="F495" s="113" t="n"/>
      <c r="K495" s="84" t="n"/>
    </row>
    <row r="496">
      <c r="D496" s="113" t="n"/>
      <c r="F496" s="113" t="n"/>
      <c r="K496" s="84" t="n"/>
    </row>
    <row r="497">
      <c r="D497" s="113" t="n"/>
      <c r="F497" s="113" t="n"/>
      <c r="K497" s="84" t="n"/>
    </row>
    <row r="498">
      <c r="D498" s="113" t="n"/>
      <c r="F498" s="113" t="n"/>
      <c r="K498" s="84" t="n"/>
    </row>
    <row r="499">
      <c r="D499" s="113" t="n"/>
      <c r="F499" s="113" t="n"/>
      <c r="K499" s="84" t="n"/>
    </row>
    <row r="500">
      <c r="D500" s="113" t="n"/>
      <c r="F500" s="113" t="n"/>
      <c r="K500" s="84" t="n"/>
    </row>
    <row r="501">
      <c r="D501" s="113" t="n"/>
      <c r="F501" s="113" t="n"/>
      <c r="K501" s="84" t="n"/>
    </row>
    <row r="502">
      <c r="D502" s="113" t="n"/>
      <c r="F502" s="113" t="n"/>
      <c r="K502" s="84" t="n"/>
    </row>
    <row r="503">
      <c r="D503" s="113" t="n"/>
      <c r="F503" s="113" t="n"/>
      <c r="K503" s="84" t="n"/>
    </row>
    <row r="504">
      <c r="D504" s="113" t="n"/>
      <c r="F504" s="113" t="n"/>
      <c r="K504" s="84" t="n"/>
    </row>
    <row r="505">
      <c r="D505" s="113" t="n"/>
      <c r="F505" s="113" t="n"/>
      <c r="K505" s="84" t="n"/>
    </row>
    <row r="506">
      <c r="D506" s="113" t="n"/>
      <c r="F506" s="113" t="n"/>
      <c r="K506" s="84" t="n"/>
    </row>
    <row r="507">
      <c r="D507" s="113" t="n"/>
      <c r="F507" s="113" t="n"/>
      <c r="K507" s="84" t="n"/>
    </row>
    <row r="508">
      <c r="D508" s="113" t="n"/>
      <c r="F508" s="113" t="n"/>
      <c r="K508" s="84" t="n"/>
    </row>
    <row r="509">
      <c r="D509" s="113" t="n"/>
      <c r="F509" s="113" t="n"/>
      <c r="K509" s="84" t="n"/>
    </row>
    <row r="510">
      <c r="D510" s="113" t="n"/>
      <c r="F510" s="113" t="n"/>
      <c r="K510" s="84" t="n"/>
    </row>
    <row r="511">
      <c r="D511" s="113" t="n"/>
      <c r="F511" s="113" t="n"/>
      <c r="K511" s="84" t="n"/>
    </row>
    <row r="512">
      <c r="D512" s="113" t="n"/>
      <c r="F512" s="113" t="n"/>
      <c r="K512" s="84" t="n"/>
    </row>
    <row r="513">
      <c r="D513" s="113" t="n"/>
      <c r="F513" s="113" t="n"/>
      <c r="K513" s="84" t="n"/>
    </row>
    <row r="514">
      <c r="D514" s="113" t="n"/>
      <c r="F514" s="113" t="n"/>
      <c r="K514" s="84" t="n"/>
    </row>
    <row r="515">
      <c r="D515" s="113" t="n"/>
      <c r="F515" s="113" t="n"/>
      <c r="K515" s="84" t="n"/>
    </row>
    <row r="516">
      <c r="D516" s="113" t="n"/>
      <c r="F516" s="113" t="n"/>
      <c r="K516" s="84" t="n"/>
    </row>
    <row r="517">
      <c r="D517" s="113" t="n"/>
      <c r="F517" s="113" t="n"/>
      <c r="K517" s="84" t="n"/>
    </row>
    <row r="518">
      <c r="D518" s="113" t="n"/>
      <c r="F518" s="113" t="n"/>
      <c r="K518" s="84" t="n"/>
    </row>
    <row r="519">
      <c r="D519" s="113" t="n"/>
      <c r="F519" s="113" t="n"/>
      <c r="K519" s="84" t="n"/>
    </row>
    <row r="520">
      <c r="D520" s="113" t="n"/>
      <c r="F520" s="113" t="n"/>
      <c r="K520" s="84" t="n"/>
    </row>
    <row r="521">
      <c r="D521" s="113" t="n"/>
      <c r="F521" s="113" t="n"/>
      <c r="K521" s="84" t="n"/>
    </row>
    <row r="522">
      <c r="D522" s="113" t="n"/>
      <c r="F522" s="113" t="n"/>
      <c r="K522" s="84" t="n"/>
    </row>
    <row r="523">
      <c r="D523" s="113" t="n"/>
      <c r="F523" s="113" t="n"/>
      <c r="K523" s="84" t="n"/>
    </row>
    <row r="524">
      <c r="D524" s="113" t="n"/>
      <c r="F524" s="113" t="n"/>
      <c r="K524" s="84" t="n"/>
    </row>
    <row r="525">
      <c r="D525" s="113" t="n"/>
      <c r="F525" s="113" t="n"/>
      <c r="K525" s="84" t="n"/>
    </row>
    <row r="526">
      <c r="D526" s="113" t="n"/>
      <c r="F526" s="113" t="n"/>
      <c r="K526" s="84" t="n"/>
    </row>
    <row r="527">
      <c r="D527" s="113" t="n"/>
      <c r="F527" s="113" t="n"/>
      <c r="K527" s="84" t="n"/>
    </row>
    <row r="528">
      <c r="D528" s="113" t="n"/>
      <c r="F528" s="113" t="n"/>
      <c r="K528" s="84" t="n"/>
    </row>
    <row r="529">
      <c r="D529" s="113" t="n"/>
      <c r="F529" s="113" t="n"/>
      <c r="K529" s="84" t="n"/>
    </row>
    <row r="530">
      <c r="D530" s="113" t="n"/>
      <c r="F530" s="113" t="n"/>
      <c r="K530" s="84" t="n"/>
    </row>
    <row r="531">
      <c r="D531" s="113" t="n"/>
      <c r="F531" s="113" t="n"/>
      <c r="K531" s="84" t="n"/>
    </row>
    <row r="532">
      <c r="D532" s="113" t="n"/>
      <c r="F532" s="113" t="n"/>
      <c r="K532" s="84" t="n"/>
    </row>
    <row r="533">
      <c r="D533" s="113" t="n"/>
      <c r="F533" s="113" t="n"/>
      <c r="K533" s="84" t="n"/>
    </row>
    <row r="534">
      <c r="D534" s="113" t="n"/>
      <c r="F534" s="113" t="n"/>
      <c r="K534" s="84" t="n"/>
    </row>
    <row r="535">
      <c r="D535" s="113" t="n"/>
      <c r="F535" s="113" t="n"/>
      <c r="K535" s="84" t="n"/>
    </row>
    <row r="536">
      <c r="D536" s="113" t="n"/>
      <c r="F536" s="113" t="n"/>
      <c r="K536" s="84" t="n"/>
    </row>
    <row r="537">
      <c r="D537" s="113" t="n"/>
      <c r="F537" s="113" t="n"/>
      <c r="K537" s="84" t="n"/>
    </row>
    <row r="538">
      <c r="D538" s="113" t="n"/>
      <c r="F538" s="113" t="n"/>
      <c r="K538" s="84" t="n"/>
    </row>
    <row r="539">
      <c r="D539" s="113" t="n"/>
      <c r="F539" s="113" t="n"/>
      <c r="K539" s="84" t="n"/>
    </row>
    <row r="540">
      <c r="D540" s="113" t="n"/>
      <c r="F540" s="113" t="n"/>
      <c r="K540" s="84" t="n"/>
    </row>
    <row r="541">
      <c r="D541" s="113" t="n"/>
      <c r="F541" s="113" t="n"/>
      <c r="K541" s="84" t="n"/>
    </row>
    <row r="542">
      <c r="D542" s="113" t="n"/>
      <c r="F542" s="113" t="n"/>
      <c r="K542" s="84" t="n"/>
    </row>
    <row r="543">
      <c r="D543" s="113" t="n"/>
      <c r="F543" s="113" t="n"/>
      <c r="K543" s="84" t="n"/>
    </row>
    <row r="544">
      <c r="D544" s="113" t="n"/>
      <c r="F544" s="113" t="n"/>
      <c r="K544" s="84" t="n"/>
    </row>
    <row r="545">
      <c r="D545" s="113" t="n"/>
      <c r="F545" s="113" t="n"/>
      <c r="K545" s="84" t="n"/>
    </row>
    <row r="546">
      <c r="D546" s="113" t="n"/>
      <c r="F546" s="113" t="n"/>
      <c r="K546" s="84" t="n"/>
    </row>
    <row r="547">
      <c r="D547" s="113" t="n"/>
      <c r="F547" s="113" t="n"/>
      <c r="K547" s="84" t="n"/>
    </row>
    <row r="548">
      <c r="D548" s="113" t="n"/>
      <c r="F548" s="113" t="n"/>
      <c r="K548" s="84" t="n"/>
    </row>
    <row r="549">
      <c r="D549" s="113" t="n"/>
      <c r="F549" s="113" t="n"/>
      <c r="K549" s="84" t="n"/>
    </row>
    <row r="550">
      <c r="D550" s="113" t="n"/>
      <c r="F550" s="113" t="n"/>
      <c r="K550" s="84" t="n"/>
    </row>
    <row r="551">
      <c r="D551" s="113" t="n"/>
      <c r="F551" s="113" t="n"/>
      <c r="K551" s="84" t="n"/>
    </row>
    <row r="552">
      <c r="D552" s="113" t="n"/>
      <c r="F552" s="113" t="n"/>
      <c r="K552" s="84" t="n"/>
    </row>
    <row r="553">
      <c r="D553" s="113" t="n"/>
      <c r="F553" s="113" t="n"/>
      <c r="K553" s="84" t="n"/>
    </row>
    <row r="554">
      <c r="D554" s="113" t="n"/>
      <c r="F554" s="113" t="n"/>
      <c r="K554" s="84" t="n"/>
    </row>
    <row r="555">
      <c r="D555" s="113" t="n"/>
      <c r="F555" s="113" t="n"/>
      <c r="K555" s="84" t="n"/>
    </row>
    <row r="556">
      <c r="D556" s="113" t="n"/>
      <c r="F556" s="113" t="n"/>
      <c r="K556" s="84" t="n"/>
    </row>
    <row r="557">
      <c r="D557" s="113" t="n"/>
      <c r="F557" s="113" t="n"/>
      <c r="K557" s="84" t="n"/>
    </row>
    <row r="558">
      <c r="D558" s="113" t="n"/>
      <c r="F558" s="113" t="n"/>
      <c r="K558" s="84" t="n"/>
    </row>
    <row r="559">
      <c r="D559" s="113" t="n"/>
      <c r="F559" s="113" t="n"/>
      <c r="K559" s="84" t="n"/>
    </row>
    <row r="560">
      <c r="D560" s="113" t="n"/>
      <c r="F560" s="113" t="n"/>
      <c r="K560" s="84" t="n"/>
    </row>
    <row r="561">
      <c r="D561" s="113" t="n"/>
      <c r="F561" s="113" t="n"/>
      <c r="K561" s="84" t="n"/>
    </row>
    <row r="562">
      <c r="D562" s="113" t="n"/>
      <c r="F562" s="113" t="n"/>
      <c r="K562" s="84" t="n"/>
    </row>
    <row r="563">
      <c r="D563" s="113" t="n"/>
      <c r="F563" s="113" t="n"/>
      <c r="K563" s="84" t="n"/>
    </row>
    <row r="564">
      <c r="D564" s="113" t="n"/>
      <c r="F564" s="113" t="n"/>
      <c r="K564" s="84" t="n"/>
    </row>
    <row r="565">
      <c r="D565" s="113" t="n"/>
      <c r="F565" s="113" t="n"/>
      <c r="K565" s="84" t="n"/>
    </row>
    <row r="566">
      <c r="D566" s="113" t="n"/>
      <c r="F566" s="113" t="n"/>
      <c r="K566" s="84" t="n"/>
    </row>
    <row r="567">
      <c r="D567" s="113" t="n"/>
      <c r="F567" s="113" t="n"/>
      <c r="K567" s="84" t="n"/>
    </row>
    <row r="568">
      <c r="D568" s="113" t="n"/>
      <c r="F568" s="113" t="n"/>
      <c r="K568" s="84" t="n"/>
    </row>
    <row r="569">
      <c r="D569" s="113" t="n"/>
      <c r="F569" s="113" t="n"/>
      <c r="K569" s="84" t="n"/>
    </row>
    <row r="570">
      <c r="D570" s="113" t="n"/>
      <c r="F570" s="113" t="n"/>
      <c r="K570" s="84" t="n"/>
    </row>
    <row r="571">
      <c r="D571" s="113" t="n"/>
      <c r="F571" s="113" t="n"/>
      <c r="K571" s="84" t="n"/>
    </row>
    <row r="572">
      <c r="D572" s="113" t="n"/>
      <c r="F572" s="113" t="n"/>
      <c r="K572" s="84" t="n"/>
    </row>
    <row r="573">
      <c r="D573" s="113" t="n"/>
      <c r="F573" s="113" t="n"/>
      <c r="K573" s="84" t="n"/>
    </row>
    <row r="574">
      <c r="D574" s="113" t="n"/>
      <c r="F574" s="113" t="n"/>
      <c r="K574" s="84" t="n"/>
    </row>
    <row r="575">
      <c r="D575" s="113" t="n"/>
      <c r="F575" s="113" t="n"/>
      <c r="K575" s="84" t="n"/>
    </row>
    <row r="576">
      <c r="D576" s="113" t="n"/>
      <c r="F576" s="113" t="n"/>
      <c r="K576" s="84" t="n"/>
    </row>
    <row r="577">
      <c r="D577" s="113" t="n"/>
      <c r="F577" s="113" t="n"/>
      <c r="K577" s="84" t="n"/>
    </row>
    <row r="578">
      <c r="D578" s="113" t="n"/>
      <c r="F578" s="113" t="n"/>
      <c r="K578" s="84" t="n"/>
    </row>
    <row r="579">
      <c r="D579" s="113" t="n"/>
      <c r="F579" s="113" t="n"/>
      <c r="K579" s="84" t="n"/>
    </row>
    <row r="580">
      <c r="D580" s="113" t="n"/>
      <c r="F580" s="113" t="n"/>
      <c r="K580" s="84" t="n"/>
    </row>
    <row r="581">
      <c r="D581" s="113" t="n"/>
      <c r="F581" s="113" t="n"/>
      <c r="K581" s="84" t="n"/>
    </row>
    <row r="582">
      <c r="D582" s="113" t="n"/>
      <c r="F582" s="113" t="n"/>
      <c r="K582" s="84" t="n"/>
    </row>
    <row r="583">
      <c r="D583" s="113" t="n"/>
      <c r="F583" s="113" t="n"/>
      <c r="K583" s="84" t="n"/>
    </row>
    <row r="584">
      <c r="D584" s="113" t="n"/>
      <c r="F584" s="113" t="n"/>
      <c r="K584" s="84" t="n"/>
    </row>
    <row r="585">
      <c r="D585" s="113" t="n"/>
      <c r="F585" s="113" t="n"/>
      <c r="K585" s="84" t="n"/>
    </row>
    <row r="586">
      <c r="D586" s="113" t="n"/>
      <c r="F586" s="113" t="n"/>
      <c r="K586" s="84" t="n"/>
    </row>
    <row r="587">
      <c r="D587" s="113" t="n"/>
      <c r="F587" s="113" t="n"/>
      <c r="K587" s="84" t="n"/>
    </row>
    <row r="588">
      <c r="D588" s="113" t="n"/>
      <c r="F588" s="113" t="n"/>
      <c r="K588" s="84" t="n"/>
    </row>
    <row r="589">
      <c r="D589" s="113" t="n"/>
      <c r="F589" s="113" t="n"/>
      <c r="K589" s="84" t="n"/>
    </row>
    <row r="590">
      <c r="D590" s="113" t="n"/>
      <c r="F590" s="113" t="n"/>
      <c r="K590" s="84" t="n"/>
    </row>
    <row r="591">
      <c r="D591" s="113" t="n"/>
      <c r="F591" s="113" t="n"/>
      <c r="K591" s="84" t="n"/>
    </row>
    <row r="592">
      <c r="D592" s="113" t="n"/>
      <c r="F592" s="113" t="n"/>
      <c r="K592" s="84" t="n"/>
    </row>
    <row r="593">
      <c r="D593" s="113" t="n"/>
      <c r="F593" s="113" t="n"/>
      <c r="K593" s="84" t="n"/>
    </row>
    <row r="594">
      <c r="D594" s="113" t="n"/>
      <c r="F594" s="113" t="n"/>
      <c r="K594" s="84" t="n"/>
    </row>
    <row r="595">
      <c r="D595" s="113" t="n"/>
      <c r="F595" s="113" t="n"/>
      <c r="K595" s="84" t="n"/>
    </row>
    <row r="596">
      <c r="D596" s="113" t="n"/>
      <c r="F596" s="113" t="n"/>
      <c r="K596" s="84" t="n"/>
    </row>
    <row r="597">
      <c r="D597" s="113" t="n"/>
      <c r="F597" s="113" t="n"/>
      <c r="K597" s="84" t="n"/>
    </row>
    <row r="598">
      <c r="D598" s="113" t="n"/>
      <c r="F598" s="113" t="n"/>
      <c r="K598" s="84" t="n"/>
    </row>
    <row r="599">
      <c r="D599" s="113" t="n"/>
      <c r="F599" s="113" t="n"/>
      <c r="K599" s="84" t="n"/>
    </row>
    <row r="600">
      <c r="D600" s="113" t="n"/>
      <c r="F600" s="113" t="n"/>
      <c r="K600" s="84" t="n"/>
    </row>
    <row r="601">
      <c r="D601" s="113" t="n"/>
      <c r="F601" s="113" t="n"/>
      <c r="K601" s="84" t="n"/>
    </row>
    <row r="602">
      <c r="D602" s="113" t="n"/>
      <c r="F602" s="113" t="n"/>
      <c r="K602" s="84" t="n"/>
    </row>
    <row r="603">
      <c r="D603" s="113" t="n"/>
      <c r="F603" s="113" t="n"/>
      <c r="K603" s="84" t="n"/>
    </row>
    <row r="604">
      <c r="D604" s="113" t="n"/>
      <c r="F604" s="113" t="n"/>
      <c r="K604" s="84" t="n"/>
    </row>
    <row r="605">
      <c r="D605" s="113" t="n"/>
      <c r="F605" s="113" t="n"/>
      <c r="K605" s="84" t="n"/>
    </row>
    <row r="606">
      <c r="D606" s="113" t="n"/>
      <c r="F606" s="113" t="n"/>
      <c r="K606" s="84" t="n"/>
    </row>
    <row r="607">
      <c r="D607" s="113" t="n"/>
      <c r="F607" s="113" t="n"/>
      <c r="K607" s="84" t="n"/>
    </row>
    <row r="608">
      <c r="D608" s="113" t="n"/>
      <c r="F608" s="113" t="n"/>
      <c r="K608" s="84" t="n"/>
    </row>
    <row r="609">
      <c r="D609" s="113" t="n"/>
      <c r="F609" s="113" t="n"/>
      <c r="K609" s="84" t="n"/>
    </row>
    <row r="610">
      <c r="D610" s="113" t="n"/>
      <c r="F610" s="113" t="n"/>
      <c r="K610" s="84" t="n"/>
    </row>
    <row r="611">
      <c r="D611" s="113" t="n"/>
      <c r="F611" s="113" t="n"/>
      <c r="K611" s="84" t="n"/>
    </row>
    <row r="612">
      <c r="D612" s="113" t="n"/>
      <c r="F612" s="113" t="n"/>
      <c r="K612" s="84" t="n"/>
    </row>
    <row r="613">
      <c r="D613" s="113" t="n"/>
      <c r="F613" s="113" t="n"/>
      <c r="K613" s="84" t="n"/>
    </row>
    <row r="614">
      <c r="D614" s="113" t="n"/>
      <c r="F614" s="113" t="n"/>
      <c r="K614" s="84" t="n"/>
    </row>
    <row r="615">
      <c r="D615" s="113" t="n"/>
      <c r="F615" s="113" t="n"/>
      <c r="K615" s="84" t="n"/>
    </row>
    <row r="616">
      <c r="D616" s="113" t="n"/>
      <c r="F616" s="113" t="n"/>
      <c r="K616" s="84" t="n"/>
    </row>
    <row r="617">
      <c r="D617" s="113" t="n"/>
      <c r="F617" s="113" t="n"/>
      <c r="K617" s="84" t="n"/>
    </row>
    <row r="618">
      <c r="D618" s="113" t="n"/>
      <c r="F618" s="113" t="n"/>
      <c r="K618" s="84" t="n"/>
    </row>
    <row r="619">
      <c r="D619" s="113" t="n"/>
      <c r="F619" s="113" t="n"/>
      <c r="K619" s="84" t="n"/>
    </row>
    <row r="620">
      <c r="D620" s="113" t="n"/>
      <c r="F620" s="113" t="n"/>
      <c r="K620" s="84" t="n"/>
    </row>
    <row r="621">
      <c r="D621" s="113" t="n"/>
      <c r="F621" s="113" t="n"/>
      <c r="K621" s="84" t="n"/>
    </row>
    <row r="622">
      <c r="D622" s="113" t="n"/>
      <c r="F622" s="113" t="n"/>
      <c r="K622" s="84" t="n"/>
    </row>
    <row r="623">
      <c r="D623" s="113" t="n"/>
      <c r="F623" s="113" t="n"/>
      <c r="K623" s="84" t="n"/>
    </row>
    <row r="624">
      <c r="D624" s="113" t="n"/>
      <c r="F624" s="113" t="n"/>
      <c r="K624" s="84" t="n"/>
    </row>
    <row r="625">
      <c r="D625" s="113" t="n"/>
      <c r="F625" s="113" t="n"/>
      <c r="K625" s="84" t="n"/>
    </row>
    <row r="626">
      <c r="D626" s="113" t="n"/>
      <c r="F626" s="113" t="n"/>
      <c r="K626" s="84" t="n"/>
    </row>
    <row r="627">
      <c r="D627" s="113" t="n"/>
      <c r="F627" s="113" t="n"/>
      <c r="K627" s="84" t="n"/>
    </row>
    <row r="628">
      <c r="D628" s="113" t="n"/>
      <c r="F628" s="113" t="n"/>
      <c r="K628" s="84" t="n"/>
    </row>
    <row r="629">
      <c r="D629" s="113" t="n"/>
      <c r="F629" s="113" t="n"/>
      <c r="K629" s="84" t="n"/>
    </row>
    <row r="630">
      <c r="D630" s="113" t="n"/>
      <c r="F630" s="113" t="n"/>
      <c r="K630" s="84" t="n"/>
    </row>
    <row r="631">
      <c r="D631" s="113" t="n"/>
      <c r="F631" s="113" t="n"/>
      <c r="K631" s="84" t="n"/>
    </row>
    <row r="632">
      <c r="D632" s="113" t="n"/>
      <c r="F632" s="113" t="n"/>
      <c r="K632" s="84" t="n"/>
    </row>
    <row r="633">
      <c r="D633" s="113" t="n"/>
      <c r="F633" s="113" t="n"/>
      <c r="K633" s="84" t="n"/>
    </row>
    <row r="634">
      <c r="D634" s="113" t="n"/>
      <c r="F634" s="113" t="n"/>
      <c r="K634" s="84" t="n"/>
    </row>
    <row r="635">
      <c r="D635" s="113" t="n"/>
      <c r="F635" s="113" t="n"/>
      <c r="K635" s="84" t="n"/>
    </row>
    <row r="636">
      <c r="D636" s="113" t="n"/>
      <c r="F636" s="113" t="n"/>
      <c r="K636" s="84" t="n"/>
    </row>
    <row r="637">
      <c r="D637" s="113" t="n"/>
      <c r="F637" s="113" t="n"/>
      <c r="K637" s="84" t="n"/>
    </row>
    <row r="638">
      <c r="D638" s="113" t="n"/>
      <c r="F638" s="113" t="n"/>
      <c r="K638" s="84" t="n"/>
    </row>
    <row r="639">
      <c r="D639" s="113" t="n"/>
      <c r="F639" s="113" t="n"/>
      <c r="K639" s="84" t="n"/>
    </row>
    <row r="640">
      <c r="D640" s="113" t="n"/>
      <c r="F640" s="113" t="n"/>
      <c r="K640" s="84" t="n"/>
    </row>
    <row r="641">
      <c r="D641" s="113" t="n"/>
      <c r="F641" s="113" t="n"/>
      <c r="K641" s="84" t="n"/>
    </row>
    <row r="642">
      <c r="D642" s="113" t="n"/>
      <c r="F642" s="113" t="n"/>
      <c r="K642" s="84" t="n"/>
    </row>
    <row r="643">
      <c r="D643" s="113" t="n"/>
      <c r="F643" s="113" t="n"/>
      <c r="K643" s="84" t="n"/>
    </row>
    <row r="644">
      <c r="D644" s="113" t="n"/>
      <c r="F644" s="113" t="n"/>
      <c r="K644" s="84" t="n"/>
    </row>
    <row r="645">
      <c r="D645" s="113" t="n"/>
      <c r="F645" s="113" t="n"/>
      <c r="K645" s="84" t="n"/>
    </row>
    <row r="646">
      <c r="D646" s="113" t="n"/>
      <c r="F646" s="113" t="n"/>
      <c r="K646" s="84" t="n"/>
    </row>
    <row r="647">
      <c r="D647" s="113" t="n"/>
      <c r="F647" s="113" t="n"/>
      <c r="K647" s="84" t="n"/>
    </row>
    <row r="648">
      <c r="D648" s="113" t="n"/>
      <c r="F648" s="113" t="n"/>
      <c r="K648" s="84" t="n"/>
    </row>
    <row r="649">
      <c r="D649" s="113" t="n"/>
      <c r="F649" s="113" t="n"/>
      <c r="K649" s="84" t="n"/>
    </row>
    <row r="650">
      <c r="D650" s="113" t="n"/>
      <c r="F650" s="113" t="n"/>
      <c r="K650" s="84" t="n"/>
    </row>
    <row r="651">
      <c r="D651" s="113" t="n"/>
      <c r="F651" s="113" t="n"/>
      <c r="K651" s="84" t="n"/>
    </row>
    <row r="652">
      <c r="D652" s="113" t="n"/>
      <c r="F652" s="113" t="n"/>
      <c r="K652" s="84" t="n"/>
    </row>
    <row r="653">
      <c r="D653" s="113" t="n"/>
      <c r="F653" s="113" t="n"/>
      <c r="K653" s="84" t="n"/>
    </row>
    <row r="654">
      <c r="D654" s="113" t="n"/>
      <c r="F654" s="113" t="n"/>
      <c r="K654" s="84" t="n"/>
    </row>
    <row r="655">
      <c r="D655" s="113" t="n"/>
      <c r="F655" s="113" t="n"/>
      <c r="K655" s="84" t="n"/>
    </row>
    <row r="656">
      <c r="D656" s="113" t="n"/>
      <c r="F656" s="113" t="n"/>
      <c r="K656" s="84" t="n"/>
    </row>
    <row r="657">
      <c r="D657" s="113" t="n"/>
      <c r="F657" s="113" t="n"/>
      <c r="K657" s="84" t="n"/>
    </row>
    <row r="658">
      <c r="D658" s="113" t="n"/>
      <c r="F658" s="113" t="n"/>
      <c r="K658" s="84" t="n"/>
    </row>
    <row r="659">
      <c r="D659" s="113" t="n"/>
      <c r="F659" s="113" t="n"/>
      <c r="K659" s="84" t="n"/>
    </row>
    <row r="660">
      <c r="D660" s="113" t="n"/>
      <c r="F660" s="113" t="n"/>
      <c r="K660" s="84" t="n"/>
    </row>
    <row r="661">
      <c r="D661" s="113" t="n"/>
      <c r="F661" s="113" t="n"/>
      <c r="K661" s="84" t="n"/>
    </row>
    <row r="662">
      <c r="D662" s="113" t="n"/>
      <c r="F662" s="113" t="n"/>
      <c r="K662" s="84" t="n"/>
    </row>
    <row r="663">
      <c r="D663" s="113" t="n"/>
      <c r="F663" s="113" t="n"/>
      <c r="K663" s="84" t="n"/>
    </row>
    <row r="664">
      <c r="D664" s="113" t="n"/>
      <c r="F664" s="113" t="n"/>
      <c r="K664" s="84" t="n"/>
    </row>
    <row r="665">
      <c r="D665" s="113" t="n"/>
      <c r="F665" s="113" t="n"/>
      <c r="K665" s="84" t="n"/>
    </row>
    <row r="666">
      <c r="D666" s="113" t="n"/>
      <c r="F666" s="113" t="n"/>
      <c r="K666" s="84" t="n"/>
    </row>
    <row r="667">
      <c r="D667" s="113" t="n"/>
      <c r="F667" s="113" t="n"/>
      <c r="K667" s="84" t="n"/>
    </row>
    <row r="668">
      <c r="D668" s="113" t="n"/>
      <c r="F668" s="113" t="n"/>
      <c r="K668" s="84" t="n"/>
    </row>
    <row r="669">
      <c r="D669" s="113" t="n"/>
      <c r="F669" s="113" t="n"/>
      <c r="K669" s="84" t="n"/>
    </row>
    <row r="670">
      <c r="D670" s="113" t="n"/>
      <c r="F670" s="113" t="n"/>
      <c r="K670" s="84" t="n"/>
    </row>
    <row r="671">
      <c r="D671" s="113" t="n"/>
      <c r="F671" s="113" t="n"/>
      <c r="K671" s="84" t="n"/>
    </row>
    <row r="672">
      <c r="D672" s="113" t="n"/>
      <c r="F672" s="113" t="n"/>
      <c r="K672" s="84" t="n"/>
    </row>
    <row r="673">
      <c r="D673" s="113" t="n"/>
      <c r="F673" s="113" t="n"/>
      <c r="K673" s="84" t="n"/>
    </row>
    <row r="674">
      <c r="D674" s="113" t="n"/>
      <c r="F674" s="113" t="n"/>
      <c r="K674" s="84" t="n"/>
    </row>
    <row r="675">
      <c r="D675" s="113" t="n"/>
      <c r="F675" s="113" t="n"/>
      <c r="K675" s="84" t="n"/>
    </row>
    <row r="676">
      <c r="D676" s="113" t="n"/>
      <c r="F676" s="113" t="n"/>
      <c r="K676" s="84" t="n"/>
    </row>
    <row r="677">
      <c r="D677" s="113" t="n"/>
      <c r="F677" s="113" t="n"/>
      <c r="K677" s="84" t="n"/>
    </row>
    <row r="678">
      <c r="D678" s="113" t="n"/>
      <c r="F678" s="113" t="n"/>
      <c r="K678" s="84" t="n"/>
    </row>
    <row r="679">
      <c r="D679" s="113" t="n"/>
      <c r="F679" s="113" t="n"/>
      <c r="K679" s="84" t="n"/>
    </row>
    <row r="680">
      <c r="D680" s="113" t="n"/>
      <c r="F680" s="113" t="n"/>
      <c r="K680" s="84" t="n"/>
    </row>
    <row r="681">
      <c r="D681" s="113" t="n"/>
      <c r="F681" s="113" t="n"/>
      <c r="K681" s="84" t="n"/>
    </row>
    <row r="682">
      <c r="D682" s="113" t="n"/>
      <c r="F682" s="113" t="n"/>
      <c r="K682" s="84" t="n"/>
    </row>
    <row r="683">
      <c r="D683" s="113" t="n"/>
      <c r="F683" s="113" t="n"/>
      <c r="K683" s="84" t="n"/>
    </row>
    <row r="684">
      <c r="D684" s="113" t="n"/>
      <c r="F684" s="113" t="n"/>
      <c r="K684" s="84" t="n"/>
    </row>
    <row r="685">
      <c r="D685" s="113" t="n"/>
      <c r="F685" s="113" t="n"/>
      <c r="K685" s="84" t="n"/>
    </row>
    <row r="686">
      <c r="D686" s="113" t="n"/>
      <c r="F686" s="113" t="n"/>
      <c r="K686" s="84" t="n"/>
    </row>
    <row r="687">
      <c r="D687" s="113" t="n"/>
      <c r="F687" s="113" t="n"/>
      <c r="K687" s="84" t="n"/>
    </row>
    <row r="688">
      <c r="D688" s="113" t="n"/>
      <c r="F688" s="113" t="n"/>
      <c r="K688" s="84" t="n"/>
    </row>
    <row r="689">
      <c r="D689" s="113" t="n"/>
      <c r="F689" s="113" t="n"/>
      <c r="K689" s="84" t="n"/>
    </row>
    <row r="690">
      <c r="D690" s="113" t="n"/>
      <c r="F690" s="113" t="n"/>
      <c r="K690" s="84" t="n"/>
    </row>
    <row r="691">
      <c r="D691" s="113" t="n"/>
      <c r="F691" s="113" t="n"/>
      <c r="K691" s="84" t="n"/>
    </row>
    <row r="692">
      <c r="D692" s="113" t="n"/>
      <c r="F692" s="113" t="n"/>
      <c r="K692" s="84" t="n"/>
    </row>
    <row r="693">
      <c r="D693" s="113" t="n"/>
      <c r="F693" s="113" t="n"/>
      <c r="K693" s="84" t="n"/>
    </row>
    <row r="694">
      <c r="D694" s="113" t="n"/>
      <c r="F694" s="113" t="n"/>
      <c r="K694" s="84" t="n"/>
    </row>
    <row r="695">
      <c r="D695" s="113" t="n"/>
      <c r="F695" s="113" t="n"/>
      <c r="K695" s="84" t="n"/>
    </row>
    <row r="696">
      <c r="D696" s="113" t="n"/>
      <c r="F696" s="113" t="n"/>
      <c r="K696" s="84" t="n"/>
    </row>
    <row r="697">
      <c r="D697" s="113" t="n"/>
      <c r="F697" s="113" t="n"/>
      <c r="K697" s="84" t="n"/>
    </row>
    <row r="698">
      <c r="D698" s="113" t="n"/>
      <c r="F698" s="113" t="n"/>
      <c r="K698" s="84" t="n"/>
    </row>
    <row r="699">
      <c r="D699" s="113" t="n"/>
      <c r="F699" s="113" t="n"/>
      <c r="K699" s="84" t="n"/>
    </row>
    <row r="700">
      <c r="D700" s="113" t="n"/>
      <c r="F700" s="113" t="n"/>
      <c r="K700" s="84" t="n"/>
    </row>
    <row r="701">
      <c r="D701" s="113" t="n"/>
      <c r="F701" s="113" t="n"/>
      <c r="K701" s="84" t="n"/>
    </row>
    <row r="702">
      <c r="D702" s="113" t="n"/>
      <c r="F702" s="113" t="n"/>
      <c r="K702" s="84" t="n"/>
    </row>
    <row r="703">
      <c r="D703" s="113" t="n"/>
      <c r="F703" s="113" t="n"/>
      <c r="K703" s="84" t="n"/>
    </row>
    <row r="704">
      <c r="D704" s="113" t="n"/>
      <c r="F704" s="113" t="n"/>
      <c r="K704" s="84" t="n"/>
    </row>
    <row r="705">
      <c r="D705" s="113" t="n"/>
      <c r="F705" s="113" t="n"/>
      <c r="K705" s="84" t="n"/>
    </row>
    <row r="706">
      <c r="D706" s="113" t="n"/>
      <c r="F706" s="113" t="n"/>
      <c r="K706" s="84" t="n"/>
    </row>
    <row r="707">
      <c r="D707" s="113" t="n"/>
      <c r="F707" s="113" t="n"/>
      <c r="K707" s="84" t="n"/>
    </row>
    <row r="708">
      <c r="D708" s="113" t="n"/>
      <c r="F708" s="113" t="n"/>
      <c r="K708" s="84" t="n"/>
    </row>
    <row r="709">
      <c r="D709" s="113" t="n"/>
      <c r="F709" s="113" t="n"/>
      <c r="K709" s="84" t="n"/>
    </row>
    <row r="710">
      <c r="D710" s="113" t="n"/>
      <c r="F710" s="113" t="n"/>
      <c r="K710" s="84" t="n"/>
    </row>
    <row r="711">
      <c r="D711" s="113" t="n"/>
      <c r="F711" s="113" t="n"/>
      <c r="K711" s="84" t="n"/>
    </row>
    <row r="712">
      <c r="D712" s="113" t="n"/>
      <c r="F712" s="113" t="n"/>
      <c r="K712" s="84" t="n"/>
    </row>
    <row r="713">
      <c r="D713" s="113" t="n"/>
      <c r="F713" s="113" t="n"/>
      <c r="K713" s="84" t="n"/>
    </row>
    <row r="714">
      <c r="D714" s="113" t="n"/>
      <c r="F714" s="113" t="n"/>
      <c r="K714" s="84" t="n"/>
    </row>
    <row r="715">
      <c r="D715" s="113" t="n"/>
      <c r="F715" s="113" t="n"/>
      <c r="K715" s="84" t="n"/>
    </row>
    <row r="716">
      <c r="D716" s="113" t="n"/>
      <c r="F716" s="113" t="n"/>
      <c r="K716" s="84" t="n"/>
    </row>
    <row r="717">
      <c r="D717" s="113" t="n"/>
      <c r="F717" s="113" t="n"/>
      <c r="K717" s="84" t="n"/>
    </row>
    <row r="718">
      <c r="D718" s="113" t="n"/>
      <c r="F718" s="113" t="n"/>
      <c r="K718" s="84" t="n"/>
    </row>
    <row r="719">
      <c r="D719" s="113" t="n"/>
      <c r="F719" s="113" t="n"/>
      <c r="K719" s="84" t="n"/>
    </row>
    <row r="720">
      <c r="D720" s="113" t="n"/>
      <c r="F720" s="113" t="n"/>
      <c r="K720" s="84" t="n"/>
    </row>
    <row r="721">
      <c r="D721" s="113" t="n"/>
      <c r="F721" s="113" t="n"/>
      <c r="K721" s="84" t="n"/>
    </row>
    <row r="722">
      <c r="D722" s="113" t="n"/>
      <c r="F722" s="113" t="n"/>
      <c r="K722" s="84" t="n"/>
    </row>
    <row r="723">
      <c r="D723" s="113" t="n"/>
      <c r="F723" s="113" t="n"/>
      <c r="K723" s="84" t="n"/>
    </row>
    <row r="724">
      <c r="D724" s="113" t="n"/>
      <c r="F724" s="113" t="n"/>
      <c r="K724" s="84" t="n"/>
    </row>
    <row r="725">
      <c r="D725" s="113" t="n"/>
      <c r="F725" s="113" t="n"/>
      <c r="K725" s="84" t="n"/>
    </row>
    <row r="726">
      <c r="D726" s="113" t="n"/>
      <c r="F726" s="113" t="n"/>
      <c r="K726" s="84" t="n"/>
    </row>
    <row r="727">
      <c r="D727" s="113" t="n"/>
      <c r="F727" s="113" t="n"/>
      <c r="K727" s="84" t="n"/>
    </row>
    <row r="728">
      <c r="D728" s="113" t="n"/>
      <c r="F728" s="113" t="n"/>
      <c r="K728" s="84" t="n"/>
    </row>
    <row r="729">
      <c r="D729" s="113" t="n"/>
      <c r="F729" s="113" t="n"/>
      <c r="K729" s="84" t="n"/>
    </row>
    <row r="730">
      <c r="D730" s="113" t="n"/>
      <c r="F730" s="113" t="n"/>
      <c r="K730" s="84" t="n"/>
    </row>
    <row r="731">
      <c r="D731" s="113" t="n"/>
      <c r="F731" s="113" t="n"/>
      <c r="K731" s="84" t="n"/>
    </row>
    <row r="732">
      <c r="D732" s="113" t="n"/>
      <c r="F732" s="113" t="n"/>
      <c r="K732" s="84" t="n"/>
    </row>
    <row r="733">
      <c r="D733" s="113" t="n"/>
      <c r="F733" s="113" t="n"/>
      <c r="K733" s="84" t="n"/>
    </row>
    <row r="734">
      <c r="D734" s="113" t="n"/>
      <c r="F734" s="113" t="n"/>
      <c r="K734" s="84" t="n"/>
    </row>
    <row r="735">
      <c r="D735" s="113" t="n"/>
      <c r="F735" s="113" t="n"/>
      <c r="K735" s="84" t="n"/>
    </row>
    <row r="736">
      <c r="D736" s="113" t="n"/>
      <c r="F736" s="113" t="n"/>
      <c r="K736" s="84" t="n"/>
    </row>
    <row r="737">
      <c r="D737" s="113" t="n"/>
      <c r="F737" s="113" t="n"/>
      <c r="K737" s="84" t="n"/>
    </row>
    <row r="738">
      <c r="D738" s="113" t="n"/>
      <c r="F738" s="113" t="n"/>
      <c r="K738" s="84" t="n"/>
    </row>
    <row r="739">
      <c r="D739" s="113" t="n"/>
      <c r="F739" s="113" t="n"/>
      <c r="K739" s="84" t="n"/>
    </row>
    <row r="740">
      <c r="D740" s="113" t="n"/>
      <c r="F740" s="113" t="n"/>
      <c r="K740" s="84" t="n"/>
    </row>
    <row r="741">
      <c r="D741" s="113" t="n"/>
      <c r="F741" s="113" t="n"/>
      <c r="K741" s="84" t="n"/>
    </row>
    <row r="742">
      <c r="D742" s="113" t="n"/>
      <c r="F742" s="113" t="n"/>
      <c r="K742" s="84" t="n"/>
    </row>
    <row r="743">
      <c r="D743" s="113" t="n"/>
      <c r="F743" s="113" t="n"/>
      <c r="K743" s="84" t="n"/>
    </row>
    <row r="744">
      <c r="D744" s="113" t="n"/>
      <c r="F744" s="113" t="n"/>
      <c r="K744" s="84" t="n"/>
    </row>
    <row r="745">
      <c r="D745" s="113" t="n"/>
      <c r="F745" s="113" t="n"/>
      <c r="K745" s="84" t="n"/>
    </row>
    <row r="746">
      <c r="D746" s="113" t="n"/>
      <c r="F746" s="113" t="n"/>
      <c r="K746" s="84" t="n"/>
    </row>
    <row r="747">
      <c r="D747" s="113" t="n"/>
      <c r="F747" s="113" t="n"/>
      <c r="K747" s="84" t="n"/>
    </row>
    <row r="748">
      <c r="D748" s="113" t="n"/>
      <c r="F748" s="113" t="n"/>
      <c r="K748" s="84" t="n"/>
    </row>
    <row r="749">
      <c r="D749" s="113" t="n"/>
      <c r="F749" s="113" t="n"/>
      <c r="K749" s="84" t="n"/>
    </row>
    <row r="750">
      <c r="D750" s="113" t="n"/>
      <c r="F750" s="113" t="n"/>
      <c r="K750" s="84" t="n"/>
    </row>
    <row r="751">
      <c r="D751" s="113" t="n"/>
      <c r="F751" s="113" t="n"/>
      <c r="K751" s="84" t="n"/>
    </row>
    <row r="752">
      <c r="D752" s="113" t="n"/>
      <c r="F752" s="113" t="n"/>
      <c r="K752" s="84" t="n"/>
    </row>
    <row r="753">
      <c r="D753" s="113" t="n"/>
      <c r="F753" s="113" t="n"/>
      <c r="K753" s="84" t="n"/>
    </row>
    <row r="754">
      <c r="D754" s="113" t="n"/>
      <c r="F754" s="113" t="n"/>
      <c r="K754" s="84" t="n"/>
    </row>
    <row r="755">
      <c r="D755" s="113" t="n"/>
      <c r="F755" s="113" t="n"/>
      <c r="K755" s="84" t="n"/>
    </row>
    <row r="756">
      <c r="D756" s="113" t="n"/>
      <c r="F756" s="113" t="n"/>
      <c r="K756" s="84" t="n"/>
    </row>
    <row r="757">
      <c r="D757" s="113" t="n"/>
      <c r="F757" s="113" t="n"/>
      <c r="K757" s="84" t="n"/>
    </row>
    <row r="758">
      <c r="D758" s="113" t="n"/>
      <c r="F758" s="113" t="n"/>
      <c r="K758" s="84" t="n"/>
    </row>
    <row r="759">
      <c r="D759" s="113" t="n"/>
      <c r="F759" s="113" t="n"/>
      <c r="K759" s="84" t="n"/>
    </row>
    <row r="760">
      <c r="D760" s="113" t="n"/>
      <c r="F760" s="113" t="n"/>
      <c r="K760" s="84" t="n"/>
    </row>
    <row r="761">
      <c r="D761" s="113" t="n"/>
      <c r="F761" s="113" t="n"/>
      <c r="K761" s="84" t="n"/>
    </row>
    <row r="762">
      <c r="D762" s="113" t="n"/>
      <c r="F762" s="113" t="n"/>
      <c r="K762" s="84" t="n"/>
    </row>
    <row r="763">
      <c r="D763" s="113" t="n"/>
      <c r="F763" s="113" t="n"/>
      <c r="K763" s="84" t="n"/>
    </row>
    <row r="764">
      <c r="D764" s="113" t="n"/>
      <c r="F764" s="113" t="n"/>
      <c r="K764" s="84" t="n"/>
    </row>
    <row r="765">
      <c r="D765" s="113" t="n"/>
      <c r="F765" s="113" t="n"/>
      <c r="K765" s="84" t="n"/>
    </row>
    <row r="766">
      <c r="D766" s="113" t="n"/>
      <c r="F766" s="113" t="n"/>
      <c r="K766" s="84" t="n"/>
    </row>
    <row r="767">
      <c r="D767" s="113" t="n"/>
      <c r="F767" s="113" t="n"/>
      <c r="K767" s="84" t="n"/>
    </row>
    <row r="768">
      <c r="D768" s="113" t="n"/>
      <c r="F768" s="113" t="n"/>
      <c r="K768" s="84" t="n"/>
    </row>
    <row r="769">
      <c r="D769" s="113" t="n"/>
      <c r="F769" s="113" t="n"/>
      <c r="K769" s="84" t="n"/>
    </row>
    <row r="770">
      <c r="D770" s="113" t="n"/>
      <c r="F770" s="113" t="n"/>
      <c r="K770" s="84" t="n"/>
    </row>
    <row r="771">
      <c r="D771" s="113" t="n"/>
      <c r="F771" s="113" t="n"/>
      <c r="K771" s="84" t="n"/>
    </row>
    <row r="772">
      <c r="D772" s="113" t="n"/>
      <c r="F772" s="113" t="n"/>
      <c r="K772" s="84" t="n"/>
    </row>
    <row r="773">
      <c r="D773" s="113" t="n"/>
      <c r="F773" s="113" t="n"/>
      <c r="K773" s="84" t="n"/>
    </row>
    <row r="774">
      <c r="D774" s="113" t="n"/>
      <c r="F774" s="113" t="n"/>
      <c r="K774" s="84" t="n"/>
    </row>
    <row r="775">
      <c r="D775" s="113" t="n"/>
      <c r="F775" s="113" t="n"/>
      <c r="K775" s="84" t="n"/>
    </row>
    <row r="776">
      <c r="D776" s="113" t="n"/>
      <c r="F776" s="113" t="n"/>
      <c r="K776" s="84" t="n"/>
    </row>
    <row r="777">
      <c r="D777" s="113" t="n"/>
      <c r="F777" s="113" t="n"/>
      <c r="K777" s="84" t="n"/>
    </row>
    <row r="778">
      <c r="D778" s="113" t="n"/>
      <c r="F778" s="113" t="n"/>
      <c r="K778" s="84" t="n"/>
    </row>
    <row r="779">
      <c r="D779" s="113" t="n"/>
      <c r="F779" s="113" t="n"/>
      <c r="K779" s="84" t="n"/>
    </row>
    <row r="780">
      <c r="D780" s="113" t="n"/>
      <c r="F780" s="113" t="n"/>
      <c r="K780" s="84" t="n"/>
    </row>
    <row r="781">
      <c r="D781" s="113" t="n"/>
      <c r="F781" s="113" t="n"/>
      <c r="K781" s="84" t="n"/>
    </row>
    <row r="782">
      <c r="D782" s="113" t="n"/>
      <c r="F782" s="113" t="n"/>
      <c r="K782" s="84" t="n"/>
    </row>
    <row r="783">
      <c r="D783" s="113" t="n"/>
      <c r="F783" s="113" t="n"/>
      <c r="K783" s="84" t="n"/>
    </row>
    <row r="784">
      <c r="D784" s="113" t="n"/>
      <c r="F784" s="113" t="n"/>
      <c r="K784" s="84" t="n"/>
    </row>
    <row r="785">
      <c r="D785" s="113" t="n"/>
      <c r="F785" s="113" t="n"/>
      <c r="K785" s="84" t="n"/>
    </row>
    <row r="786">
      <c r="D786" s="113" t="n"/>
      <c r="F786" s="113" t="n"/>
      <c r="K786" s="84" t="n"/>
    </row>
    <row r="787">
      <c r="D787" s="113" t="n"/>
      <c r="F787" s="113" t="n"/>
      <c r="K787" s="84" t="n"/>
    </row>
    <row r="788">
      <c r="D788" s="113" t="n"/>
      <c r="F788" s="113" t="n"/>
      <c r="K788" s="84" t="n"/>
    </row>
    <row r="789">
      <c r="D789" s="113" t="n"/>
      <c r="F789" s="113" t="n"/>
      <c r="K789" s="84" t="n"/>
    </row>
    <row r="790">
      <c r="D790" s="113" t="n"/>
      <c r="F790" s="113" t="n"/>
      <c r="K790" s="84" t="n"/>
    </row>
    <row r="791">
      <c r="D791" s="113" t="n"/>
      <c r="F791" s="113" t="n"/>
      <c r="K791" s="84" t="n"/>
    </row>
    <row r="792">
      <c r="D792" s="113" t="n"/>
      <c r="F792" s="113" t="n"/>
      <c r="K792" s="84" t="n"/>
    </row>
    <row r="793">
      <c r="D793" s="113" t="n"/>
      <c r="F793" s="113" t="n"/>
      <c r="K793" s="84" t="n"/>
    </row>
    <row r="794">
      <c r="D794" s="113" t="n"/>
      <c r="F794" s="113" t="n"/>
      <c r="K794" s="84" t="n"/>
    </row>
    <row r="795">
      <c r="D795" s="113" t="n"/>
      <c r="F795" s="113" t="n"/>
      <c r="K795" s="84" t="n"/>
    </row>
    <row r="796">
      <c r="D796" s="113" t="n"/>
      <c r="F796" s="113" t="n"/>
      <c r="K796" s="84" t="n"/>
    </row>
    <row r="797">
      <c r="D797" s="113" t="n"/>
      <c r="F797" s="113" t="n"/>
      <c r="K797" s="84" t="n"/>
    </row>
    <row r="798">
      <c r="D798" s="113" t="n"/>
      <c r="F798" s="113" t="n"/>
      <c r="K798" s="84" t="n"/>
    </row>
    <row r="799">
      <c r="D799" s="113" t="n"/>
      <c r="F799" s="113" t="n"/>
      <c r="K799" s="84" t="n"/>
    </row>
    <row r="800">
      <c r="D800" s="113" t="n"/>
      <c r="F800" s="113" t="n"/>
      <c r="K800" s="84" t="n"/>
    </row>
    <row r="801">
      <c r="D801" s="113" t="n"/>
      <c r="F801" s="113" t="n"/>
      <c r="K801" s="84" t="n"/>
    </row>
    <row r="802">
      <c r="D802" s="113" t="n"/>
      <c r="F802" s="113" t="n"/>
      <c r="K802" s="84" t="n"/>
    </row>
    <row r="803">
      <c r="D803" s="113" t="n"/>
      <c r="F803" s="113" t="n"/>
      <c r="K803" s="84" t="n"/>
    </row>
    <row r="804">
      <c r="D804" s="113" t="n"/>
      <c r="F804" s="113" t="n"/>
      <c r="K804" s="84" t="n"/>
    </row>
    <row r="805">
      <c r="D805" s="113" t="n"/>
      <c r="F805" s="113" t="n"/>
      <c r="K805" s="84" t="n"/>
    </row>
    <row r="806">
      <c r="D806" s="113" t="n"/>
      <c r="F806" s="113" t="n"/>
      <c r="K806" s="84" t="n"/>
    </row>
    <row r="807">
      <c r="D807" s="113" t="n"/>
      <c r="F807" s="113" t="n"/>
      <c r="K807" s="84" t="n"/>
    </row>
    <row r="808">
      <c r="D808" s="113" t="n"/>
      <c r="F808" s="113" t="n"/>
      <c r="K808" s="84" t="n"/>
    </row>
    <row r="809">
      <c r="D809" s="113" t="n"/>
      <c r="F809" s="113" t="n"/>
      <c r="K809" s="84" t="n"/>
    </row>
    <row r="810">
      <c r="D810" s="113" t="n"/>
      <c r="F810" s="113" t="n"/>
      <c r="K810" s="84" t="n"/>
    </row>
    <row r="811">
      <c r="D811" s="113" t="n"/>
      <c r="F811" s="113" t="n"/>
      <c r="K811" s="84" t="n"/>
    </row>
    <row r="812">
      <c r="D812" s="113" t="n"/>
      <c r="F812" s="113" t="n"/>
      <c r="K812" s="84" t="n"/>
    </row>
    <row r="813">
      <c r="D813" s="113" t="n"/>
      <c r="F813" s="113" t="n"/>
      <c r="K813" s="84" t="n"/>
    </row>
    <row r="814">
      <c r="D814" s="113" t="n"/>
      <c r="F814" s="113" t="n"/>
      <c r="K814" s="84" t="n"/>
    </row>
    <row r="815">
      <c r="D815" s="113" t="n"/>
      <c r="F815" s="113" t="n"/>
      <c r="K815" s="84" t="n"/>
    </row>
    <row r="816">
      <c r="D816" s="113" t="n"/>
      <c r="F816" s="113" t="n"/>
      <c r="K816" s="84" t="n"/>
    </row>
    <row r="817">
      <c r="D817" s="113" t="n"/>
      <c r="F817" s="113" t="n"/>
      <c r="K817" s="84" t="n"/>
    </row>
    <row r="818">
      <c r="D818" s="113" t="n"/>
      <c r="F818" s="113" t="n"/>
      <c r="K818" s="84" t="n"/>
    </row>
    <row r="819">
      <c r="D819" s="113" t="n"/>
      <c r="F819" s="113" t="n"/>
      <c r="K819" s="84" t="n"/>
    </row>
    <row r="820">
      <c r="D820" s="113" t="n"/>
      <c r="F820" s="113" t="n"/>
      <c r="K820" s="84" t="n"/>
    </row>
    <row r="821">
      <c r="D821" s="113" t="n"/>
      <c r="F821" s="113" t="n"/>
      <c r="K821" s="84" t="n"/>
    </row>
    <row r="822">
      <c r="D822" s="113" t="n"/>
      <c r="F822" s="113" t="n"/>
      <c r="K822" s="84" t="n"/>
    </row>
    <row r="823">
      <c r="D823" s="113" t="n"/>
      <c r="F823" s="113" t="n"/>
      <c r="K823" s="84" t="n"/>
    </row>
    <row r="824">
      <c r="D824" s="113" t="n"/>
      <c r="F824" s="113" t="n"/>
      <c r="K824" s="84" t="n"/>
    </row>
    <row r="825">
      <c r="D825" s="113" t="n"/>
      <c r="F825" s="113" t="n"/>
      <c r="K825" s="84" t="n"/>
    </row>
    <row r="826">
      <c r="D826" s="113" t="n"/>
      <c r="F826" s="113" t="n"/>
      <c r="K826" s="84" t="n"/>
    </row>
    <row r="827">
      <c r="D827" s="113" t="n"/>
      <c r="F827" s="113" t="n"/>
      <c r="K827" s="84" t="n"/>
    </row>
    <row r="828">
      <c r="D828" s="113" t="n"/>
      <c r="F828" s="113" t="n"/>
      <c r="K828" s="84" t="n"/>
    </row>
    <row r="829">
      <c r="D829" s="113" t="n"/>
      <c r="F829" s="113" t="n"/>
      <c r="K829" s="84" t="n"/>
    </row>
    <row r="830">
      <c r="D830" s="113" t="n"/>
      <c r="F830" s="113" t="n"/>
      <c r="K830" s="84" t="n"/>
    </row>
    <row r="831">
      <c r="D831" s="113" t="n"/>
      <c r="F831" s="113" t="n"/>
      <c r="K831" s="84" t="n"/>
    </row>
    <row r="832">
      <c r="D832" s="113" t="n"/>
      <c r="F832" s="113" t="n"/>
      <c r="K832" s="84" t="n"/>
    </row>
    <row r="833">
      <c r="D833" s="113" t="n"/>
      <c r="F833" s="113" t="n"/>
      <c r="K833" s="84" t="n"/>
    </row>
    <row r="834">
      <c r="D834" s="113" t="n"/>
      <c r="F834" s="113" t="n"/>
      <c r="K834" s="84" t="n"/>
    </row>
    <row r="835">
      <c r="D835" s="113" t="n"/>
      <c r="F835" s="113" t="n"/>
      <c r="K835" s="84" t="n"/>
    </row>
    <row r="836">
      <c r="D836" s="113" t="n"/>
      <c r="F836" s="113" t="n"/>
      <c r="K836" s="84" t="n"/>
    </row>
    <row r="837">
      <c r="D837" s="113" t="n"/>
      <c r="F837" s="113" t="n"/>
      <c r="K837" s="84" t="n"/>
    </row>
    <row r="838">
      <c r="D838" s="113" t="n"/>
      <c r="F838" s="113" t="n"/>
      <c r="K838" s="84" t="n"/>
    </row>
    <row r="839">
      <c r="D839" s="113" t="n"/>
      <c r="F839" s="113" t="n"/>
      <c r="K839" s="84" t="n"/>
    </row>
    <row r="840">
      <c r="D840" s="113" t="n"/>
      <c r="F840" s="113" t="n"/>
      <c r="K840" s="84" t="n"/>
    </row>
    <row r="841">
      <c r="D841" s="113" t="n"/>
      <c r="F841" s="113" t="n"/>
      <c r="K841" s="84" t="n"/>
    </row>
    <row r="842">
      <c r="D842" s="113" t="n"/>
      <c r="F842" s="113" t="n"/>
      <c r="K842" s="84" t="n"/>
    </row>
    <row r="843">
      <c r="D843" s="113" t="n"/>
      <c r="F843" s="113" t="n"/>
      <c r="K843" s="84" t="n"/>
    </row>
    <row r="844">
      <c r="D844" s="113" t="n"/>
      <c r="F844" s="113" t="n"/>
      <c r="K844" s="84" t="n"/>
    </row>
    <row r="845">
      <c r="D845" s="113" t="n"/>
      <c r="F845" s="113" t="n"/>
      <c r="K845" s="84" t="n"/>
    </row>
    <row r="846">
      <c r="D846" s="113" t="n"/>
      <c r="F846" s="113" t="n"/>
      <c r="K846" s="84" t="n"/>
    </row>
    <row r="847">
      <c r="D847" s="113" t="n"/>
      <c r="F847" s="113" t="n"/>
      <c r="K847" s="84" t="n"/>
    </row>
    <row r="848">
      <c r="D848" s="113" t="n"/>
      <c r="F848" s="113" t="n"/>
      <c r="K848" s="84" t="n"/>
    </row>
    <row r="849">
      <c r="D849" s="113" t="n"/>
      <c r="F849" s="113" t="n"/>
      <c r="K849" s="84" t="n"/>
    </row>
    <row r="850">
      <c r="D850" s="113" t="n"/>
      <c r="F850" s="113" t="n"/>
      <c r="K850" s="84" t="n"/>
    </row>
    <row r="851">
      <c r="D851" s="113" t="n"/>
      <c r="F851" s="113" t="n"/>
      <c r="K851" s="84" t="n"/>
    </row>
    <row r="852">
      <c r="D852" s="113" t="n"/>
      <c r="F852" s="113" t="n"/>
      <c r="K852" s="84" t="n"/>
    </row>
    <row r="853">
      <c r="D853" s="113" t="n"/>
      <c r="F853" s="113" t="n"/>
      <c r="K853" s="84" t="n"/>
    </row>
    <row r="854">
      <c r="D854" s="113" t="n"/>
      <c r="F854" s="113" t="n"/>
      <c r="K854" s="84" t="n"/>
    </row>
    <row r="855">
      <c r="D855" s="113" t="n"/>
      <c r="F855" s="113" t="n"/>
      <c r="K855" s="84" t="n"/>
    </row>
    <row r="856">
      <c r="D856" s="113" t="n"/>
      <c r="F856" s="113" t="n"/>
      <c r="K856" s="84" t="n"/>
    </row>
    <row r="857">
      <c r="D857" s="113" t="n"/>
      <c r="F857" s="113" t="n"/>
      <c r="K857" s="84" t="n"/>
    </row>
    <row r="858">
      <c r="D858" s="113" t="n"/>
      <c r="F858" s="113" t="n"/>
      <c r="K858" s="84" t="n"/>
    </row>
    <row r="859">
      <c r="D859" s="113" t="n"/>
      <c r="F859" s="113" t="n"/>
      <c r="K859" s="84" t="n"/>
    </row>
    <row r="860">
      <c r="D860" s="113" t="n"/>
      <c r="F860" s="113" t="n"/>
      <c r="K860" s="84" t="n"/>
    </row>
    <row r="861">
      <c r="D861" s="113" t="n"/>
      <c r="F861" s="113" t="n"/>
      <c r="K861" s="84" t="n"/>
    </row>
    <row r="862">
      <c r="D862" s="113" t="n"/>
      <c r="F862" s="113" t="n"/>
      <c r="K862" s="84" t="n"/>
    </row>
    <row r="863">
      <c r="D863" s="113" t="n"/>
      <c r="F863" s="113" t="n"/>
      <c r="K863" s="84" t="n"/>
    </row>
    <row r="864">
      <c r="D864" s="113" t="n"/>
      <c r="F864" s="113" t="n"/>
      <c r="K864" s="84" t="n"/>
    </row>
    <row r="865">
      <c r="D865" s="113" t="n"/>
      <c r="F865" s="113" t="n"/>
      <c r="K865" s="84" t="n"/>
    </row>
    <row r="866">
      <c r="D866" s="113" t="n"/>
      <c r="F866" s="113" t="n"/>
      <c r="K866" s="84" t="n"/>
    </row>
    <row r="867">
      <c r="D867" s="113" t="n"/>
      <c r="F867" s="113" t="n"/>
      <c r="K867" s="84" t="n"/>
    </row>
    <row r="868">
      <c r="D868" s="113" t="n"/>
      <c r="F868" s="113" t="n"/>
      <c r="K868" s="84" t="n"/>
    </row>
    <row r="869">
      <c r="D869" s="113" t="n"/>
      <c r="F869" s="113" t="n"/>
      <c r="K869" s="84" t="n"/>
    </row>
    <row r="870">
      <c r="D870" s="113" t="n"/>
      <c r="F870" s="113" t="n"/>
      <c r="K870" s="84" t="n"/>
    </row>
    <row r="871">
      <c r="D871" s="113" t="n"/>
      <c r="F871" s="113" t="n"/>
      <c r="K871" s="84" t="n"/>
    </row>
    <row r="872">
      <c r="D872" s="113" t="n"/>
      <c r="F872" s="113" t="n"/>
      <c r="K872" s="84" t="n"/>
    </row>
    <row r="873">
      <c r="D873" s="113" t="n"/>
      <c r="F873" s="113" t="n"/>
      <c r="K873" s="84" t="n"/>
    </row>
    <row r="874">
      <c r="D874" s="113" t="n"/>
      <c r="F874" s="113" t="n"/>
      <c r="K874" s="84" t="n"/>
    </row>
    <row r="875">
      <c r="D875" s="113" t="n"/>
      <c r="F875" s="113" t="n"/>
      <c r="K875" s="84" t="n"/>
    </row>
    <row r="876">
      <c r="D876" s="113" t="n"/>
      <c r="F876" s="113" t="n"/>
      <c r="K876" s="84" t="n"/>
    </row>
    <row r="877">
      <c r="D877" s="113" t="n"/>
      <c r="F877" s="113" t="n"/>
      <c r="K877" s="84" t="n"/>
    </row>
    <row r="878">
      <c r="D878" s="113" t="n"/>
      <c r="F878" s="113" t="n"/>
      <c r="K878" s="84" t="n"/>
    </row>
    <row r="879">
      <c r="D879" s="113" t="n"/>
      <c r="F879" s="113" t="n"/>
      <c r="K879" s="84" t="n"/>
    </row>
    <row r="880">
      <c r="D880" s="113" t="n"/>
      <c r="F880" s="113" t="n"/>
      <c r="K880" s="84" t="n"/>
    </row>
    <row r="881">
      <c r="D881" s="113" t="n"/>
      <c r="F881" s="113" t="n"/>
      <c r="K881" s="84" t="n"/>
    </row>
    <row r="882">
      <c r="D882" s="113" t="n"/>
      <c r="F882" s="113" t="n"/>
      <c r="K882" s="84" t="n"/>
    </row>
    <row r="883">
      <c r="D883" s="113" t="n"/>
      <c r="F883" s="113" t="n"/>
      <c r="K883" s="84" t="n"/>
    </row>
    <row r="884">
      <c r="D884" s="113" t="n"/>
      <c r="F884" s="113" t="n"/>
      <c r="K884" s="84" t="n"/>
    </row>
    <row r="885">
      <c r="D885" s="113" t="n"/>
      <c r="F885" s="113" t="n"/>
      <c r="K885" s="84" t="n"/>
    </row>
    <row r="886">
      <c r="D886" s="113" t="n"/>
      <c r="F886" s="113" t="n"/>
      <c r="K886" s="84" t="n"/>
    </row>
    <row r="887">
      <c r="D887" s="113" t="n"/>
      <c r="F887" s="113" t="n"/>
      <c r="K887" s="84" t="n"/>
    </row>
    <row r="888">
      <c r="D888" s="113" t="n"/>
      <c r="F888" s="113" t="n"/>
      <c r="K888" s="84" t="n"/>
    </row>
    <row r="889">
      <c r="D889" s="113" t="n"/>
      <c r="F889" s="113" t="n"/>
      <c r="K889" s="84" t="n"/>
    </row>
    <row r="890">
      <c r="D890" s="113" t="n"/>
      <c r="F890" s="113" t="n"/>
      <c r="K890" s="84" t="n"/>
    </row>
    <row r="891">
      <c r="D891" s="113" t="n"/>
      <c r="F891" s="113" t="n"/>
      <c r="K891" s="84" t="n"/>
    </row>
    <row r="892">
      <c r="D892" s="113" t="n"/>
      <c r="F892" s="113" t="n"/>
      <c r="K892" s="84" t="n"/>
    </row>
    <row r="893">
      <c r="D893" s="113" t="n"/>
      <c r="F893" s="113" t="n"/>
      <c r="K893" s="84" t="n"/>
    </row>
    <row r="894">
      <c r="D894" s="113" t="n"/>
      <c r="F894" s="113" t="n"/>
      <c r="K894" s="84" t="n"/>
    </row>
    <row r="895">
      <c r="D895" s="113" t="n"/>
      <c r="F895" s="113" t="n"/>
      <c r="K895" s="84" t="n"/>
    </row>
    <row r="896">
      <c r="D896" s="113" t="n"/>
      <c r="F896" s="113" t="n"/>
      <c r="K896" s="84" t="n"/>
    </row>
    <row r="897">
      <c r="D897" s="113" t="n"/>
      <c r="F897" s="113" t="n"/>
      <c r="K897" s="84" t="n"/>
    </row>
    <row r="898">
      <c r="D898" s="113" t="n"/>
      <c r="F898" s="113" t="n"/>
      <c r="K898" s="84" t="n"/>
    </row>
    <row r="899">
      <c r="D899" s="113" t="n"/>
      <c r="F899" s="113" t="n"/>
      <c r="K899" s="84" t="n"/>
    </row>
    <row r="900">
      <c r="D900" s="113" t="n"/>
      <c r="F900" s="113" t="n"/>
      <c r="K900" s="84" t="n"/>
    </row>
    <row r="901">
      <c r="D901" s="113" t="n"/>
      <c r="F901" s="113" t="n"/>
      <c r="K901" s="84" t="n"/>
    </row>
    <row r="902">
      <c r="D902" s="113" t="n"/>
      <c r="F902" s="113" t="n"/>
      <c r="K902" s="84" t="n"/>
    </row>
    <row r="903">
      <c r="D903" s="113" t="n"/>
      <c r="F903" s="113" t="n"/>
      <c r="K903" s="84" t="n"/>
    </row>
    <row r="904">
      <c r="D904" s="113" t="n"/>
      <c r="F904" s="113" t="n"/>
      <c r="K904" s="84" t="n"/>
    </row>
    <row r="905">
      <c r="D905" s="113" t="n"/>
      <c r="F905" s="113" t="n"/>
      <c r="K905" s="84" t="n"/>
    </row>
    <row r="906">
      <c r="D906" s="113" t="n"/>
      <c r="F906" s="113" t="n"/>
      <c r="K906" s="84" t="n"/>
    </row>
    <row r="907">
      <c r="D907" s="113" t="n"/>
      <c r="F907" s="113" t="n"/>
      <c r="K907" s="84" t="n"/>
    </row>
    <row r="908">
      <c r="D908" s="113" t="n"/>
      <c r="F908" s="113" t="n"/>
      <c r="K908" s="84" t="n"/>
    </row>
    <row r="909">
      <c r="D909" s="113" t="n"/>
      <c r="F909" s="113" t="n"/>
      <c r="K909" s="84" t="n"/>
    </row>
    <row r="910">
      <c r="D910" s="113" t="n"/>
      <c r="F910" s="113" t="n"/>
      <c r="K910" s="84" t="n"/>
    </row>
    <row r="911">
      <c r="D911" s="113" t="n"/>
      <c r="F911" s="113" t="n"/>
      <c r="K911" s="84" t="n"/>
    </row>
    <row r="912">
      <c r="D912" s="113" t="n"/>
      <c r="F912" s="113" t="n"/>
      <c r="K912" s="84" t="n"/>
    </row>
    <row r="913">
      <c r="D913" s="113" t="n"/>
      <c r="F913" s="113" t="n"/>
      <c r="K913" s="84" t="n"/>
    </row>
    <row r="914">
      <c r="D914" s="113" t="n"/>
      <c r="F914" s="113" t="n"/>
      <c r="K914" s="84" t="n"/>
    </row>
    <row r="915">
      <c r="D915" s="113" t="n"/>
      <c r="F915" s="113" t="n"/>
      <c r="K915" s="84" t="n"/>
    </row>
    <row r="916">
      <c r="D916" s="113" t="n"/>
      <c r="F916" s="113" t="n"/>
      <c r="K916" s="84" t="n"/>
    </row>
    <row r="917">
      <c r="D917" s="113" t="n"/>
      <c r="F917" s="113" t="n"/>
      <c r="K917" s="84" t="n"/>
    </row>
    <row r="918">
      <c r="D918" s="113" t="n"/>
      <c r="F918" s="113" t="n"/>
      <c r="K918" s="84" t="n"/>
    </row>
    <row r="919">
      <c r="D919" s="113" t="n"/>
      <c r="F919" s="113" t="n"/>
      <c r="K919" s="84" t="n"/>
    </row>
    <row r="920">
      <c r="D920" s="113" t="n"/>
      <c r="F920" s="113" t="n"/>
      <c r="K920" s="84" t="n"/>
    </row>
    <row r="921">
      <c r="D921" s="113" t="n"/>
      <c r="F921" s="113" t="n"/>
      <c r="K921" s="84" t="n"/>
    </row>
    <row r="922">
      <c r="D922" s="113" t="n"/>
      <c r="F922" s="113" t="n"/>
      <c r="K922" s="84" t="n"/>
    </row>
    <row r="923">
      <c r="D923" s="113" t="n"/>
      <c r="F923" s="113" t="n"/>
      <c r="K923" s="84" t="n"/>
    </row>
    <row r="924">
      <c r="D924" s="113" t="n"/>
      <c r="F924" s="113" t="n"/>
      <c r="K924" s="84" t="n"/>
    </row>
    <row r="925">
      <c r="D925" s="113" t="n"/>
      <c r="F925" s="113" t="n"/>
      <c r="K925" s="84" t="n"/>
    </row>
    <row r="926">
      <c r="D926" s="113" t="n"/>
      <c r="F926" s="113" t="n"/>
      <c r="K926" s="84" t="n"/>
    </row>
    <row r="927">
      <c r="D927" s="113" t="n"/>
      <c r="F927" s="113" t="n"/>
      <c r="K927" s="84" t="n"/>
    </row>
    <row r="928">
      <c r="D928" s="113" t="n"/>
      <c r="F928" s="113" t="n"/>
      <c r="K928" s="84" t="n"/>
    </row>
    <row r="929">
      <c r="D929" s="113" t="n"/>
      <c r="F929" s="113" t="n"/>
      <c r="K929" s="84" t="n"/>
    </row>
    <row r="930">
      <c r="D930" s="113" t="n"/>
      <c r="F930" s="113" t="n"/>
      <c r="K930" s="84" t="n"/>
    </row>
    <row r="931">
      <c r="D931" s="113" t="n"/>
      <c r="F931" s="113" t="n"/>
      <c r="K931" s="84" t="n"/>
    </row>
    <row r="932">
      <c r="D932" s="113" t="n"/>
      <c r="F932" s="113" t="n"/>
      <c r="K932" s="84" t="n"/>
    </row>
    <row r="933">
      <c r="D933" s="113" t="n"/>
      <c r="F933" s="113" t="n"/>
      <c r="K933" s="84" t="n"/>
    </row>
    <row r="934">
      <c r="D934" s="113" t="n"/>
      <c r="F934" s="113" t="n"/>
      <c r="K934" s="84" t="n"/>
    </row>
    <row r="935">
      <c r="D935" s="113" t="n"/>
      <c r="F935" s="113" t="n"/>
      <c r="K935" s="84" t="n"/>
    </row>
    <row r="936">
      <c r="D936" s="113" t="n"/>
      <c r="F936" s="113" t="n"/>
      <c r="K936" s="84" t="n"/>
    </row>
    <row r="937">
      <c r="D937" s="113" t="n"/>
      <c r="F937" s="113" t="n"/>
      <c r="K937" s="84" t="n"/>
    </row>
    <row r="938">
      <c r="D938" s="113" t="n"/>
      <c r="F938" s="113" t="n"/>
      <c r="K938" s="84" t="n"/>
    </row>
    <row r="939">
      <c r="D939" s="113" t="n"/>
      <c r="F939" s="113" t="n"/>
      <c r="K939" s="84" t="n"/>
    </row>
    <row r="940">
      <c r="D940" s="113" t="n"/>
      <c r="F940" s="113" t="n"/>
      <c r="K940" s="84" t="n"/>
    </row>
    <row r="941">
      <c r="D941" s="113" t="n"/>
      <c r="F941" s="113" t="n"/>
      <c r="K941" s="84" t="n"/>
    </row>
    <row r="942">
      <c r="D942" s="113" t="n"/>
      <c r="F942" s="113" t="n"/>
      <c r="K942" s="84" t="n"/>
    </row>
    <row r="943">
      <c r="D943" s="113" t="n"/>
      <c r="F943" s="113" t="n"/>
      <c r="K943" s="84" t="n"/>
    </row>
    <row r="944">
      <c r="D944" s="113" t="n"/>
      <c r="F944" s="113" t="n"/>
      <c r="K944" s="84" t="n"/>
    </row>
    <row r="945">
      <c r="D945" s="113" t="n"/>
      <c r="F945" s="113" t="n"/>
      <c r="K945" s="84" t="n"/>
    </row>
    <row r="946">
      <c r="D946" s="113" t="n"/>
      <c r="F946" s="113" t="n"/>
      <c r="K946" s="84" t="n"/>
    </row>
    <row r="947">
      <c r="D947" s="113" t="n"/>
      <c r="F947" s="113" t="n"/>
      <c r="K947" s="84" t="n"/>
    </row>
    <row r="948">
      <c r="D948" s="113" t="n"/>
      <c r="F948" s="113" t="n"/>
      <c r="K948" s="84" t="n"/>
    </row>
    <row r="949">
      <c r="D949" s="113" t="n"/>
      <c r="F949" s="113" t="n"/>
      <c r="K949" s="84" t="n"/>
    </row>
    <row r="950">
      <c r="D950" s="113" t="n"/>
      <c r="F950" s="113" t="n"/>
      <c r="K950" s="84" t="n"/>
    </row>
    <row r="951">
      <c r="D951" s="113" t="n"/>
      <c r="F951" s="113" t="n"/>
      <c r="K951" s="84" t="n"/>
    </row>
    <row r="952">
      <c r="D952" s="113" t="n"/>
      <c r="F952" s="113" t="n"/>
      <c r="K952" s="84" t="n"/>
    </row>
    <row r="953">
      <c r="D953" s="113" t="n"/>
      <c r="F953" s="113" t="n"/>
      <c r="K953" s="84" t="n"/>
    </row>
    <row r="954">
      <c r="D954" s="113" t="n"/>
      <c r="F954" s="113" t="n"/>
      <c r="K954" s="84" t="n"/>
    </row>
    <row r="955">
      <c r="D955" s="113" t="n"/>
      <c r="F955" s="113" t="n"/>
      <c r="K955" s="84" t="n"/>
    </row>
    <row r="956">
      <c r="D956" s="113" t="n"/>
      <c r="F956" s="113" t="n"/>
      <c r="K956" s="84" t="n"/>
    </row>
    <row r="957">
      <c r="D957" s="113" t="n"/>
      <c r="F957" s="113" t="n"/>
      <c r="K957" s="84" t="n"/>
    </row>
    <row r="958">
      <c r="D958" s="113" t="n"/>
      <c r="F958" s="113" t="n"/>
      <c r="K958" s="84" t="n"/>
    </row>
    <row r="959">
      <c r="D959" s="113" t="n"/>
      <c r="F959" s="113" t="n"/>
      <c r="K959" s="84" t="n"/>
    </row>
    <row r="960">
      <c r="D960" s="113" t="n"/>
      <c r="F960" s="113" t="n"/>
      <c r="K960" s="84" t="n"/>
    </row>
    <row r="961">
      <c r="D961" s="113" t="n"/>
      <c r="F961" s="113" t="n"/>
      <c r="K961" s="84" t="n"/>
    </row>
    <row r="962">
      <c r="D962" s="113" t="n"/>
      <c r="F962" s="113" t="n"/>
      <c r="K962" s="84" t="n"/>
    </row>
    <row r="963">
      <c r="D963" s="113" t="n"/>
      <c r="F963" s="113" t="n"/>
      <c r="K963" s="84" t="n"/>
    </row>
    <row r="964">
      <c r="D964" s="113" t="n"/>
      <c r="F964" s="113" t="n"/>
      <c r="K964" s="84" t="n"/>
    </row>
    <row r="965">
      <c r="D965" s="113" t="n"/>
      <c r="F965" s="113" t="n"/>
      <c r="K965" s="84" t="n"/>
    </row>
    <row r="966">
      <c r="D966" s="113" t="n"/>
      <c r="F966" s="113" t="n"/>
      <c r="K966" s="84" t="n"/>
    </row>
  </sheetData>
  <conditionalFormatting sqref="D25 D51:D52 D77 D104 D127:D966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sqref="L2:L24 L27:L50 L54:L76 L79:L103 L106:L126" showDropDown="0" showInputMessage="0" showErrorMessage="1" allowBlank="1" type="list">
      <formula1>"DAVID"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AB953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18" min="1" max="1"/>
    <col width="13.38" customWidth="1" style="118" min="2" max="2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28" t="inlineStr">
        <is>
          <t>Duration （Formula）</t>
        </is>
      </c>
      <c r="K1" s="58" t="inlineStr">
        <is>
          <t>Start date</t>
        </is>
      </c>
      <c r="L1" s="71" t="inlineStr">
        <is>
          <t>HOST1</t>
        </is>
      </c>
      <c r="M1" s="71" t="inlineStr">
        <is>
          <t xml:space="preserve">HOST 2 </t>
        </is>
      </c>
      <c r="N1" s="71" t="inlineStr">
        <is>
          <t>Operator</t>
        </is>
      </c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>
      <c r="A2" s="96" t="inlineStr">
        <is>
          <t>7656851483050887957</t>
        </is>
      </c>
      <c r="B2" s="89" t="inlineStr">
        <is>
          <t>reina_beautyy</t>
        </is>
      </c>
      <c r="C2" s="89" t="inlineStr">
        <is>
          <t>MX</t>
        </is>
      </c>
      <c r="D2" s="114" t="n">
        <v>2266.05</v>
      </c>
      <c r="E2" s="40">
        <f>D2/1.16</f>
        <v/>
      </c>
      <c r="F2" s="114">
        <f>D2/J2</f>
        <v/>
      </c>
      <c r="G2" s="40">
        <f>F2/1.16</f>
        <v/>
      </c>
      <c r="H2" s="114" t="n">
        <v>0</v>
      </c>
      <c r="I2" s="115" t="n">
        <v>3.095833333333334</v>
      </c>
      <c r="J2" s="89">
        <f>LET(dec, I2-INT(I2), IF(dec&lt;0.1, INT(I2), IF(dec&lt;=0.7, INT(I2)+0.5, INT(I2)+1)))</f>
        <v/>
      </c>
      <c r="K2" s="116" t="n">
        <v>46202</v>
      </c>
      <c r="L2" s="38" t="n"/>
      <c r="M2" s="38" t="inlineStr">
        <is>
          <t>KARIM</t>
        </is>
      </c>
      <c r="N2" s="89" t="n"/>
    </row>
    <row r="3">
      <c r="A3" s="96" t="inlineStr">
        <is>
          <t>7655736773189290772</t>
        </is>
      </c>
      <c r="B3" s="89" t="inlineStr">
        <is>
          <t>reina_beautyy</t>
        </is>
      </c>
      <c r="C3" s="89" t="inlineStr">
        <is>
          <t>MX</t>
        </is>
      </c>
      <c r="D3" s="114" t="n">
        <v>2290.98</v>
      </c>
      <c r="E3" s="40">
        <f>D3/1.16</f>
        <v/>
      </c>
      <c r="F3" s="114">
        <f>D3/J3</f>
        <v/>
      </c>
      <c r="G3" s="40">
        <f>F3/1.16</f>
        <v/>
      </c>
      <c r="H3" s="114" t="n">
        <v>0</v>
      </c>
      <c r="I3" s="115" t="n">
        <v>3.0125</v>
      </c>
      <c r="J3" s="89">
        <f>LET(dec, I3-INT(I3), IF(dec&lt;0.1, INT(I3), IF(dec&lt;=0.7, INT(I3)+0.5, INT(I3)+1)))</f>
        <v/>
      </c>
      <c r="K3" s="116" t="n">
        <v>46199</v>
      </c>
      <c r="L3" s="38" t="n"/>
      <c r="M3" s="38" t="inlineStr">
        <is>
          <t>KARIM</t>
        </is>
      </c>
      <c r="N3" s="89" t="n"/>
    </row>
    <row r="4">
      <c r="A4" s="96" t="inlineStr">
        <is>
          <t>7655384490002041620</t>
        </is>
      </c>
      <c r="B4" s="89" t="inlineStr">
        <is>
          <t>reina_beautyy</t>
        </is>
      </c>
      <c r="C4" s="89" t="inlineStr">
        <is>
          <t>MX</t>
        </is>
      </c>
      <c r="D4" s="114" t="n">
        <v>2445.01</v>
      </c>
      <c r="E4" s="40">
        <f>D4/1.16</f>
        <v/>
      </c>
      <c r="F4" s="114">
        <f>D4/J4</f>
        <v/>
      </c>
      <c r="G4" s="40">
        <f>F4/1.16</f>
        <v/>
      </c>
      <c r="H4" s="114" t="n">
        <v>0</v>
      </c>
      <c r="I4" s="115" t="n">
        <v>3.013333333333333</v>
      </c>
      <c r="J4" s="89">
        <f>LET(dec, I4-INT(I4), IF(dec&lt;0.1, INT(I4), IF(dec&lt;=0.7, INT(I4)+0.5, INT(I4)+1)))</f>
        <v/>
      </c>
      <c r="K4" s="116" t="n">
        <v>46198</v>
      </c>
      <c r="L4" s="38" t="n"/>
      <c r="M4" s="38" t="inlineStr">
        <is>
          <t>KARIM</t>
        </is>
      </c>
      <c r="N4" s="89" t="n"/>
    </row>
    <row r="5">
      <c r="A5" s="96" t="inlineStr">
        <is>
          <t>7654991623771409172</t>
        </is>
      </c>
      <c r="B5" s="89" t="inlineStr">
        <is>
          <t>reina_beautyy</t>
        </is>
      </c>
      <c r="C5" s="89" t="inlineStr">
        <is>
          <t>MX</t>
        </is>
      </c>
      <c r="D5" s="114" t="n">
        <v>1483.39</v>
      </c>
      <c r="E5" s="40">
        <f>D5/1.16</f>
        <v/>
      </c>
      <c r="F5" s="114">
        <f>D5/J5</f>
        <v/>
      </c>
      <c r="G5" s="40">
        <f>F5/1.16</f>
        <v/>
      </c>
      <c r="H5" s="114" t="n">
        <v>0</v>
      </c>
      <c r="I5" s="115" t="n">
        <v>3.041666666666667</v>
      </c>
      <c r="J5" s="89">
        <f>LET(dec, I5-INT(I5), IF(dec&lt;0.1, INT(I5), IF(dec&lt;=0.7, INT(I5)+0.5, INT(I5)+1)))</f>
        <v/>
      </c>
      <c r="K5" s="116" t="n">
        <v>46197</v>
      </c>
      <c r="L5" s="38" t="n"/>
      <c r="M5" s="38" t="inlineStr">
        <is>
          <t>KARIM</t>
        </is>
      </c>
      <c r="N5" s="89" t="n"/>
    </row>
    <row r="6">
      <c r="A6" s="96" t="inlineStr">
        <is>
          <t>7654627561775155986</t>
        </is>
      </c>
      <c r="B6" s="89" t="inlineStr">
        <is>
          <t>reina_beautyy</t>
        </is>
      </c>
      <c r="C6" s="89" t="inlineStr">
        <is>
          <t>MX</t>
        </is>
      </c>
      <c r="D6" s="114" t="n">
        <v>606.13</v>
      </c>
      <c r="E6" s="40">
        <f>D6/1.16</f>
        <v/>
      </c>
      <c r="F6" s="114">
        <f>D6/J6</f>
        <v/>
      </c>
      <c r="G6" s="40">
        <f>F6/1.16</f>
        <v/>
      </c>
      <c r="H6" s="114" t="n">
        <v>0</v>
      </c>
      <c r="I6" s="115" t="n">
        <v>3.095277777777778</v>
      </c>
      <c r="J6" s="89">
        <f>LET(dec, I6-INT(I6), IF(dec&lt;0.1, INT(I6), IF(dec&lt;=0.7, INT(I6)+0.5, INT(I6)+1)))</f>
        <v/>
      </c>
      <c r="K6" s="116" t="n">
        <v>46196</v>
      </c>
      <c r="L6" s="38" t="n"/>
      <c r="M6" s="38" t="inlineStr">
        <is>
          <t>KARIM</t>
        </is>
      </c>
      <c r="N6" s="89" t="n"/>
    </row>
    <row r="7">
      <c r="A7" s="96" t="inlineStr">
        <is>
          <t>7654254054432099092</t>
        </is>
      </c>
      <c r="B7" s="89" t="inlineStr">
        <is>
          <t>reina_beautyy</t>
        </is>
      </c>
      <c r="C7" s="89" t="inlineStr">
        <is>
          <t>MX</t>
        </is>
      </c>
      <c r="D7" s="114" t="n">
        <v>2055.78</v>
      </c>
      <c r="E7" s="40">
        <f>D7/1.16</f>
        <v/>
      </c>
      <c r="F7" s="114">
        <f>D7/J7</f>
        <v/>
      </c>
      <c r="G7" s="40">
        <f>F7/1.16</f>
        <v/>
      </c>
      <c r="H7" s="114" t="n">
        <v>0</v>
      </c>
      <c r="I7" s="115" t="n">
        <v>3.748055555555556</v>
      </c>
      <c r="J7" s="89">
        <f>LET(dec, I7-INT(I7), IF(dec&lt;0.1, INT(I7), IF(dec&lt;=0.7, INT(I7)+0.5, INT(I7)+1)))</f>
        <v/>
      </c>
      <c r="K7" s="116" t="n">
        <v>46195</v>
      </c>
      <c r="L7" s="38" t="n"/>
      <c r="M7" s="38" t="inlineStr">
        <is>
          <t>KARIM</t>
        </is>
      </c>
      <c r="N7" s="89" t="n"/>
    </row>
    <row r="8">
      <c r="A8" s="96" t="inlineStr">
        <is>
          <t>7653130862491421461</t>
        </is>
      </c>
      <c r="B8" s="89" t="inlineStr">
        <is>
          <t>reina_beautyy</t>
        </is>
      </c>
      <c r="C8" s="89" t="inlineStr">
        <is>
          <t>MX</t>
        </is>
      </c>
      <c r="D8" s="114" t="n">
        <v>1121.01</v>
      </c>
      <c r="E8" s="40">
        <f>D8/1.16</f>
        <v/>
      </c>
      <c r="F8" s="114">
        <f>D8/J8</f>
        <v/>
      </c>
      <c r="G8" s="40">
        <f>F8/1.16</f>
        <v/>
      </c>
      <c r="H8" s="114" t="n">
        <v>0</v>
      </c>
      <c r="I8" s="115" t="n">
        <v>3.896111111111111</v>
      </c>
      <c r="J8" s="89">
        <f>LET(dec, I8-INT(I8), IF(dec&lt;0.1, INT(I8), IF(dec&lt;=0.7, INT(I8)+0.5, INT(I8)+1)))</f>
        <v/>
      </c>
      <c r="K8" s="116" t="n">
        <v>46192</v>
      </c>
      <c r="L8" s="38" t="inlineStr">
        <is>
          <t>MARIEL</t>
        </is>
      </c>
      <c r="M8" s="38" t="inlineStr">
        <is>
          <t>KARIM</t>
        </is>
      </c>
      <c r="N8" s="89" t="n"/>
    </row>
    <row r="9">
      <c r="A9" s="96" t="inlineStr">
        <is>
          <t>7652758189821250322</t>
        </is>
      </c>
      <c r="B9" s="89" t="inlineStr">
        <is>
          <t>reina_beautyy</t>
        </is>
      </c>
      <c r="C9" s="89" t="inlineStr">
        <is>
          <t>MX</t>
        </is>
      </c>
      <c r="D9" s="114" t="n">
        <v>109</v>
      </c>
      <c r="E9" s="40">
        <f>D9/1.16</f>
        <v/>
      </c>
      <c r="F9" s="114">
        <f>D9/J9</f>
        <v/>
      </c>
      <c r="G9" s="40">
        <f>F9/1.16</f>
        <v/>
      </c>
      <c r="H9" s="114" t="n">
        <v>0</v>
      </c>
      <c r="I9" s="115" t="n">
        <v>3.186944444444444</v>
      </c>
      <c r="J9" s="89">
        <f>LET(dec, I9-INT(I9), IF(dec&lt;0.1, INT(I9), IF(dec&lt;=0.7, INT(I9)+0.5, INT(I9)+1)))</f>
        <v/>
      </c>
      <c r="K9" s="116" t="n">
        <v>46191</v>
      </c>
      <c r="L9" s="38" t="inlineStr">
        <is>
          <t>MARIEL</t>
        </is>
      </c>
      <c r="M9" s="38" t="inlineStr">
        <is>
          <t>KARIM</t>
        </is>
      </c>
      <c r="N9" s="89" t="n"/>
    </row>
    <row r="10">
      <c r="A10" s="96" t="inlineStr">
        <is>
          <t>7652461987369356052</t>
        </is>
      </c>
      <c r="B10" s="89" t="inlineStr">
        <is>
          <t>reina_beautyy</t>
        </is>
      </c>
      <c r="C10" s="89" t="inlineStr">
        <is>
          <t>MX</t>
        </is>
      </c>
      <c r="D10" s="114" t="n">
        <v>0</v>
      </c>
      <c r="E10" s="40">
        <f>D10/1.16</f>
        <v/>
      </c>
      <c r="F10" s="114">
        <f>D10/J10</f>
        <v/>
      </c>
      <c r="G10" s="40">
        <f>F10/1.16</f>
        <v/>
      </c>
      <c r="H10" s="114" t="n">
        <v>0</v>
      </c>
      <c r="I10" s="115" t="n">
        <v>0.6827777777777777</v>
      </c>
      <c r="J10" s="89">
        <f>LET(dec, I10-INT(I10), IF(dec&lt;0.1, INT(I10), IF(dec&lt;=0.7, INT(I10)+0.5, INT(I10)+1)))</f>
        <v/>
      </c>
      <c r="K10" s="116" t="n">
        <v>46190</v>
      </c>
      <c r="L10" s="38" t="inlineStr">
        <is>
          <t>MARIEL</t>
        </is>
      </c>
      <c r="M10" s="38" t="inlineStr">
        <is>
          <t>KARIM</t>
        </is>
      </c>
      <c r="N10" s="89" t="n"/>
    </row>
    <row r="11">
      <c r="A11" s="96" t="inlineStr">
        <is>
          <t>7652379126488582932</t>
        </is>
      </c>
      <c r="B11" s="89" t="inlineStr">
        <is>
          <t>reina_beautyy</t>
        </is>
      </c>
      <c r="C11" s="89" t="inlineStr">
        <is>
          <t>MX</t>
        </is>
      </c>
      <c r="D11" s="114" t="n">
        <v>2162.54</v>
      </c>
      <c r="E11" s="40">
        <f>D11/1.16</f>
        <v/>
      </c>
      <c r="F11" s="114">
        <f>D11/J11</f>
        <v/>
      </c>
      <c r="G11" s="40">
        <f>F11/1.16</f>
        <v/>
      </c>
      <c r="H11" s="114" t="n">
        <v>0</v>
      </c>
      <c r="I11" s="115" t="n">
        <v>5.084166666666667</v>
      </c>
      <c r="J11" s="89">
        <f>LET(dec, I11-INT(I11), IF(dec&lt;0.1, INT(I11), IF(dec&lt;=0.7, INT(I11)+0.5, INT(I11)+1)))</f>
        <v/>
      </c>
      <c r="K11" s="116" t="n">
        <v>46190</v>
      </c>
      <c r="L11" s="38" t="inlineStr">
        <is>
          <t>MARIEL</t>
        </is>
      </c>
      <c r="M11" s="38" t="inlineStr">
        <is>
          <t>KARIM</t>
        </is>
      </c>
      <c r="N11" s="89" t="n"/>
    </row>
    <row r="12">
      <c r="A12" s="96" t="inlineStr">
        <is>
          <t>7652046202693405461</t>
        </is>
      </c>
      <c r="B12" s="89" t="inlineStr">
        <is>
          <t>reina_beautyy</t>
        </is>
      </c>
      <c r="C12" s="89" t="inlineStr">
        <is>
          <t>MX</t>
        </is>
      </c>
      <c r="D12" s="114" t="n">
        <v>620.33</v>
      </c>
      <c r="E12" s="40">
        <f>D12/1.16</f>
        <v/>
      </c>
      <c r="F12" s="114">
        <f>D12/J12</f>
        <v/>
      </c>
      <c r="G12" s="40">
        <f>F12/1.16</f>
        <v/>
      </c>
      <c r="H12" s="114" t="n">
        <v>0</v>
      </c>
      <c r="I12" s="115" t="n">
        <v>3.057222222222222</v>
      </c>
      <c r="J12" s="89">
        <f>LET(dec, I12-INT(I12), IF(dec&lt;0.1, INT(I12), IF(dec&lt;=0.7, INT(I12)+0.5, INT(I12)+1)))</f>
        <v/>
      </c>
      <c r="K12" s="116" t="n">
        <v>46189</v>
      </c>
      <c r="L12" s="38" t="inlineStr">
        <is>
          <t>MARIEL</t>
        </is>
      </c>
      <c r="M12" s="38" t="inlineStr">
        <is>
          <t>KARIM</t>
        </is>
      </c>
      <c r="N12" s="89" t="n"/>
    </row>
    <row r="13">
      <c r="A13" s="96" t="inlineStr">
        <is>
          <t>7652014277952195349</t>
        </is>
      </c>
      <c r="B13" s="89" t="inlineStr">
        <is>
          <t>reina_beautyy</t>
        </is>
      </c>
      <c r="C13" s="89" t="inlineStr">
        <is>
          <t>MX</t>
        </is>
      </c>
      <c r="D13" s="114" t="n">
        <v>1534.59</v>
      </c>
      <c r="E13" s="40">
        <f>D13/1.16</f>
        <v/>
      </c>
      <c r="F13" s="114">
        <f>D13/J13</f>
        <v/>
      </c>
      <c r="G13" s="40">
        <f>F13/1.16</f>
        <v/>
      </c>
      <c r="H13" s="114" t="n">
        <v>0</v>
      </c>
      <c r="I13" s="115" t="n">
        <v>1.8925</v>
      </c>
      <c r="J13" s="89">
        <f>LET(dec, I13-INT(I13), IF(dec&lt;0.1, INT(I13), IF(dec&lt;=0.7, INT(I13)+0.5, INT(I13)+1)))</f>
        <v/>
      </c>
      <c r="K13" s="116" t="n">
        <v>46189</v>
      </c>
      <c r="L13" s="38" t="inlineStr">
        <is>
          <t>MARIEL</t>
        </is>
      </c>
      <c r="M13" s="38" t="inlineStr">
        <is>
          <t>KARIM</t>
        </is>
      </c>
      <c r="N13" s="89" t="n"/>
    </row>
    <row r="14">
      <c r="A14" s="96" t="inlineStr">
        <is>
          <t>7651637045157497620</t>
        </is>
      </c>
      <c r="B14" s="89" t="inlineStr">
        <is>
          <t>reina_beautyy</t>
        </is>
      </c>
      <c r="C14" s="89" t="inlineStr">
        <is>
          <t>MX</t>
        </is>
      </c>
      <c r="D14" s="114" t="n">
        <v>1835.48</v>
      </c>
      <c r="E14" s="40">
        <f>D14/1.16</f>
        <v/>
      </c>
      <c r="F14" s="114">
        <f>D14/J14</f>
        <v/>
      </c>
      <c r="G14" s="40">
        <f>F14/1.16</f>
        <v/>
      </c>
      <c r="H14" s="114" t="n">
        <v>0</v>
      </c>
      <c r="I14" s="115" t="n">
        <v>4.003611111111111</v>
      </c>
      <c r="J14" s="89">
        <f>LET(dec, I14-INT(I14), IF(dec&lt;0.1, INT(I14), IF(dec&lt;=0.7, INT(I14)+0.5, INT(I14)+1)))</f>
        <v/>
      </c>
      <c r="K14" s="116" t="n">
        <v>46188</v>
      </c>
      <c r="L14" s="38" t="inlineStr">
        <is>
          <t>MARIEL</t>
        </is>
      </c>
      <c r="M14" s="38" t="inlineStr">
        <is>
          <t>KARIM</t>
        </is>
      </c>
      <c r="N14" s="89" t="n"/>
    </row>
    <row r="15">
      <c r="A15" s="96" t="inlineStr">
        <is>
          <t>7650535993818172181</t>
        </is>
      </c>
      <c r="B15" s="89" t="inlineStr">
        <is>
          <t>reina_beautyy</t>
        </is>
      </c>
      <c r="C15" s="89" t="inlineStr">
        <is>
          <t>MX</t>
        </is>
      </c>
      <c r="D15" s="114" t="n">
        <v>2715.05</v>
      </c>
      <c r="E15" s="40">
        <f>D15/1.16</f>
        <v/>
      </c>
      <c r="F15" s="114">
        <f>D15/J15</f>
        <v/>
      </c>
      <c r="G15" s="40">
        <f>F15/1.16</f>
        <v/>
      </c>
      <c r="H15" s="114" t="n">
        <v>0</v>
      </c>
      <c r="I15" s="115" t="n">
        <v>4.020555555555555</v>
      </c>
      <c r="J15" s="89">
        <f>LET(dec, I15-INT(I15), IF(dec&lt;0.1, INT(I15), IF(dec&lt;=0.7, INT(I15)+0.5, INT(I15)+1)))</f>
        <v/>
      </c>
      <c r="K15" s="116" t="n">
        <v>46185</v>
      </c>
      <c r="L15" s="38" t="inlineStr">
        <is>
          <t>MARIEL</t>
        </is>
      </c>
      <c r="M15" s="38" t="inlineStr">
        <is>
          <t>KARIM</t>
        </is>
      </c>
      <c r="N15" s="89" t="n"/>
    </row>
    <row r="16">
      <c r="A16" s="96" t="inlineStr">
        <is>
          <t>7649784363589143316</t>
        </is>
      </c>
      <c r="B16" s="89" t="inlineStr">
        <is>
          <t>reina_beautyy</t>
        </is>
      </c>
      <c r="C16" s="89" t="inlineStr">
        <is>
          <t>MX</t>
        </is>
      </c>
      <c r="D16" s="114" t="n">
        <v>2198.76</v>
      </c>
      <c r="E16" s="40">
        <f>D16/1.16</f>
        <v/>
      </c>
      <c r="F16" s="114">
        <f>D16/J16</f>
        <v/>
      </c>
      <c r="G16" s="40">
        <f>F16/1.16</f>
        <v/>
      </c>
      <c r="H16" s="114" t="n">
        <v>0</v>
      </c>
      <c r="I16" s="115" t="n">
        <v>4.002777777777778</v>
      </c>
      <c r="J16" s="89">
        <f>LET(dec, I16-INT(I16), IF(dec&lt;0.1, INT(I16), IF(dec&lt;=0.7, INT(I16)+0.5, INT(I16)+1)))</f>
        <v/>
      </c>
      <c r="K16" s="116" t="n">
        <v>46183</v>
      </c>
      <c r="L16" s="38" t="inlineStr">
        <is>
          <t>MARIEL</t>
        </is>
      </c>
      <c r="M16" s="38" t="inlineStr">
        <is>
          <t>KARIM</t>
        </is>
      </c>
      <c r="N16" s="89" t="n"/>
    </row>
    <row r="17">
      <c r="A17" s="96" t="inlineStr">
        <is>
          <t>7649416345620237076</t>
        </is>
      </c>
      <c r="B17" s="89" t="inlineStr">
        <is>
          <t>reina_beautyy</t>
        </is>
      </c>
      <c r="C17" s="89" t="inlineStr">
        <is>
          <t>MX</t>
        </is>
      </c>
      <c r="D17" s="114" t="n">
        <v>4516.9</v>
      </c>
      <c r="E17" s="40">
        <f>D17/1.16</f>
        <v/>
      </c>
      <c r="F17" s="114">
        <f>D17/J17</f>
        <v/>
      </c>
      <c r="G17" s="40">
        <f>F17/1.16</f>
        <v/>
      </c>
      <c r="H17" s="114" t="n">
        <v>0</v>
      </c>
      <c r="I17" s="115" t="n">
        <v>4.018888888888889</v>
      </c>
      <c r="J17" s="89">
        <f>LET(dec, I17-INT(I17), IF(dec&lt;0.1, INT(I17), IF(dec&lt;=0.7, INT(I17)+0.5, INT(I17)+1)))</f>
        <v/>
      </c>
      <c r="K17" s="116" t="n">
        <v>46182</v>
      </c>
      <c r="L17" s="38" t="inlineStr">
        <is>
          <t>MARIEL</t>
        </is>
      </c>
      <c r="M17" s="38" t="inlineStr">
        <is>
          <t>KARIM</t>
        </is>
      </c>
      <c r="N17" s="89" t="n"/>
    </row>
    <row r="18">
      <c r="A18" s="96" t="inlineStr">
        <is>
          <t>7649040243645942535</t>
        </is>
      </c>
      <c r="B18" s="89" t="inlineStr">
        <is>
          <t>reina_beautyy</t>
        </is>
      </c>
      <c r="C18" s="89" t="inlineStr">
        <is>
          <t>MX</t>
        </is>
      </c>
      <c r="D18" s="114" t="n">
        <v>1210.06</v>
      </c>
      <c r="E18" s="40">
        <f>D18/1.16</f>
        <v/>
      </c>
      <c r="F18" s="114">
        <f>D18/J18</f>
        <v/>
      </c>
      <c r="G18" s="40">
        <f>F18/1.16</f>
        <v/>
      </c>
      <c r="H18" s="114" t="n">
        <v>0</v>
      </c>
      <c r="I18" s="115" t="n">
        <v>4.035277777777778</v>
      </c>
      <c r="J18" s="89">
        <f>LET(dec, I18-INT(I18), IF(dec&lt;0.1, INT(I18), IF(dec&lt;=0.7, INT(I18)+0.5, INT(I18)+1)))</f>
        <v/>
      </c>
      <c r="K18" s="116" t="n">
        <v>46181</v>
      </c>
      <c r="L18" s="38" t="inlineStr">
        <is>
          <t>MARIEL</t>
        </is>
      </c>
      <c r="M18" s="38" t="inlineStr">
        <is>
          <t>KARIM</t>
        </is>
      </c>
      <c r="N18" s="89" t="n"/>
    </row>
    <row r="19">
      <c r="A19" s="96" t="inlineStr">
        <is>
          <t>7648035460450896658</t>
        </is>
      </c>
      <c r="B19" s="89" t="inlineStr">
        <is>
          <t>reina_beautyy</t>
        </is>
      </c>
      <c r="C19" s="89" t="inlineStr">
        <is>
          <t>MX</t>
        </is>
      </c>
      <c r="D19" s="114" t="n">
        <v>0</v>
      </c>
      <c r="E19" s="40">
        <f>D19/1.16</f>
        <v/>
      </c>
      <c r="F19" s="114">
        <f>D19/J19</f>
        <v/>
      </c>
      <c r="G19" s="40">
        <f>F19/1.16</f>
        <v/>
      </c>
      <c r="H19" s="114" t="n">
        <v>0</v>
      </c>
      <c r="I19" s="115" t="n">
        <v>0.7977777777777778</v>
      </c>
      <c r="J19" s="89">
        <f>LET(dec, I19-INT(I19), IF(dec&lt;0.1, INT(I19), IF(dec&lt;=0.7, INT(I19)+0.5, INT(I19)+1)))</f>
        <v/>
      </c>
      <c r="K19" s="116" t="n">
        <v>46178</v>
      </c>
      <c r="L19" s="38" t="inlineStr">
        <is>
          <t>MARIEL</t>
        </is>
      </c>
      <c r="M19" s="38" t="inlineStr">
        <is>
          <t>KARIM</t>
        </is>
      </c>
      <c r="N19" s="89" t="n"/>
    </row>
    <row r="20">
      <c r="A20" s="96" t="inlineStr">
        <is>
          <t>7647978088151714568</t>
        </is>
      </c>
      <c r="B20" s="89" t="inlineStr">
        <is>
          <t>reina_beautyy</t>
        </is>
      </c>
      <c r="C20" s="89" t="inlineStr">
        <is>
          <t>MX</t>
        </is>
      </c>
      <c r="D20" s="114" t="n">
        <v>0</v>
      </c>
      <c r="E20" s="40">
        <f>D20/1.16</f>
        <v/>
      </c>
      <c r="F20" s="114">
        <f>D20/J20</f>
        <v/>
      </c>
      <c r="G20" s="40">
        <f>F20/1.16</f>
        <v/>
      </c>
      <c r="H20" s="114" t="n">
        <v>0</v>
      </c>
      <c r="I20" s="115" t="n">
        <v>0.6675</v>
      </c>
      <c r="J20" s="89">
        <f>LET(dec, I20-INT(I20), IF(dec&lt;0.1, INT(I20), IF(dec&lt;=0.7, INT(I20)+0.5, INT(I20)+1)))</f>
        <v/>
      </c>
      <c r="K20" s="116" t="n">
        <v>46178</v>
      </c>
      <c r="L20" s="38" t="inlineStr">
        <is>
          <t>MARIEL</t>
        </is>
      </c>
      <c r="M20" s="38" t="inlineStr">
        <is>
          <t>KARIM</t>
        </is>
      </c>
      <c r="N20" s="89" t="n"/>
    </row>
    <row r="21">
      <c r="A21" s="96" t="inlineStr">
        <is>
          <t>7647942255357184775</t>
        </is>
      </c>
      <c r="B21" s="89" t="inlineStr">
        <is>
          <t>reina_beautyy</t>
        </is>
      </c>
      <c r="C21" s="89" t="inlineStr">
        <is>
          <t>MX</t>
        </is>
      </c>
      <c r="D21" s="114" t="n">
        <v>82.54000000000001</v>
      </c>
      <c r="E21" s="40">
        <f>D21/1.16</f>
        <v/>
      </c>
      <c r="F21" s="114">
        <f>D21/J21</f>
        <v/>
      </c>
      <c r="G21" s="40">
        <f>F21/1.16</f>
        <v/>
      </c>
      <c r="H21" s="114" t="n">
        <v>0</v>
      </c>
      <c r="I21" s="115" t="n">
        <v>2.272777777777778</v>
      </c>
      <c r="J21" s="89">
        <f>LET(dec, I21-INT(I21), IF(dec&lt;0.1, INT(I21), IF(dec&lt;=0.7, INT(I21)+0.5, INT(I21)+1)))</f>
        <v/>
      </c>
      <c r="K21" s="116" t="n">
        <v>46178</v>
      </c>
      <c r="L21" s="38" t="inlineStr">
        <is>
          <t>MARIEL</t>
        </is>
      </c>
      <c r="M21" s="38" t="inlineStr">
        <is>
          <t>KARIM</t>
        </is>
      </c>
      <c r="N21" s="89" t="n"/>
    </row>
    <row r="22">
      <c r="A22" s="96" t="inlineStr">
        <is>
          <t>7647929647192607509</t>
        </is>
      </c>
      <c r="B22" s="89" t="inlineStr">
        <is>
          <t>reina_beautyy</t>
        </is>
      </c>
      <c r="C22" s="89" t="inlineStr">
        <is>
          <t>MX</t>
        </is>
      </c>
      <c r="D22" s="114" t="n">
        <v>0</v>
      </c>
      <c r="E22" s="40">
        <f>D22/1.16</f>
        <v/>
      </c>
      <c r="F22" s="114">
        <f>D22/J22</f>
        <v/>
      </c>
      <c r="G22" s="40">
        <f>F22/1.16</f>
        <v/>
      </c>
      <c r="H22" s="114" t="n">
        <v>0</v>
      </c>
      <c r="I22" s="115" t="n">
        <v>0.8141666666666667</v>
      </c>
      <c r="J22" s="89">
        <f>LET(dec, I22-INT(I22), IF(dec&lt;0.1, INT(I22), IF(dec&lt;=0.7, INT(I22)+0.5, INT(I22)+1)))</f>
        <v/>
      </c>
      <c r="K22" s="116" t="n">
        <v>46178</v>
      </c>
      <c r="L22" s="38" t="inlineStr">
        <is>
          <t>MARIEL</t>
        </is>
      </c>
      <c r="M22" s="38" t="inlineStr">
        <is>
          <t>KARIM</t>
        </is>
      </c>
      <c r="N22" s="89" t="n"/>
    </row>
    <row r="23">
      <c r="A23" s="96" t="inlineStr">
        <is>
          <t>7647599776652921620</t>
        </is>
      </c>
      <c r="B23" s="89" t="inlineStr">
        <is>
          <t>reina_beautyy</t>
        </is>
      </c>
      <c r="C23" s="89" t="inlineStr">
        <is>
          <t>MX</t>
        </is>
      </c>
      <c r="D23" s="114" t="n">
        <v>1167.5</v>
      </c>
      <c r="E23" s="40">
        <f>D23/1.16</f>
        <v/>
      </c>
      <c r="F23" s="114">
        <f>D23/J23</f>
        <v/>
      </c>
      <c r="G23" s="40">
        <f>F23/1.16</f>
        <v/>
      </c>
      <c r="H23" s="114" t="n">
        <v>0</v>
      </c>
      <c r="I23" s="115" t="n">
        <v>2</v>
      </c>
      <c r="J23" s="89">
        <f>LET(dec, I23-INT(I23), IF(dec&lt;0.1, INT(I23), IF(dec&lt;=0.7, INT(I23)+0.5, INT(I23)+1)))</f>
        <v/>
      </c>
      <c r="K23" s="116" t="n">
        <v>46177</v>
      </c>
      <c r="L23" s="38" t="inlineStr">
        <is>
          <t>MARIEL</t>
        </is>
      </c>
      <c r="M23" s="38" t="inlineStr">
        <is>
          <t>KARIM</t>
        </is>
      </c>
      <c r="N23" s="89" t="n"/>
    </row>
    <row r="24">
      <c r="A24" s="96" t="inlineStr">
        <is>
          <t>7647565174093761298</t>
        </is>
      </c>
      <c r="B24" s="89" t="inlineStr">
        <is>
          <t>reina_beautyy</t>
        </is>
      </c>
      <c r="C24" s="89" t="inlineStr">
        <is>
          <t>MX</t>
        </is>
      </c>
      <c r="D24" s="114" t="n">
        <v>460.86</v>
      </c>
      <c r="E24" s="40">
        <f>D24/1.16</f>
        <v/>
      </c>
      <c r="F24" s="114">
        <f>D24/J24</f>
        <v/>
      </c>
      <c r="G24" s="40">
        <f>F24/1.16</f>
        <v/>
      </c>
      <c r="H24" s="114" t="n">
        <v>0</v>
      </c>
      <c r="I24" s="115" t="n">
        <v>2.004722222222222</v>
      </c>
      <c r="J24" s="89">
        <f>LET(dec, I24-INT(I24), IF(dec&lt;0.1, INT(I24), IF(dec&lt;=0.7, INT(I24)+0.5, INT(I24)+1)))</f>
        <v/>
      </c>
      <c r="K24" s="116" t="n">
        <v>46177</v>
      </c>
      <c r="L24" s="38" t="inlineStr">
        <is>
          <t>MARIEL</t>
        </is>
      </c>
      <c r="M24" s="38" t="inlineStr">
        <is>
          <t>KARIM</t>
        </is>
      </c>
      <c r="N24" s="89" t="n"/>
    </row>
    <row r="25">
      <c r="A25" s="96" t="inlineStr">
        <is>
          <t>7647220950799239957</t>
        </is>
      </c>
      <c r="B25" s="89" t="inlineStr">
        <is>
          <t>reina_beautyy</t>
        </is>
      </c>
      <c r="C25" s="89" t="inlineStr">
        <is>
          <t>MX</t>
        </is>
      </c>
      <c r="D25" s="114" t="n">
        <v>205.86</v>
      </c>
      <c r="E25" s="40">
        <f>D25/1.16</f>
        <v/>
      </c>
      <c r="F25" s="114">
        <f>D25/J25</f>
        <v/>
      </c>
      <c r="G25" s="40">
        <f>F25/1.16</f>
        <v/>
      </c>
      <c r="H25" s="114" t="n">
        <v>0</v>
      </c>
      <c r="I25" s="115" t="n">
        <v>1.616944444444445</v>
      </c>
      <c r="J25" s="89">
        <f>LET(dec, I25-INT(I25), IF(dec&lt;0.1, INT(I25), IF(dec&lt;=0.7, INT(I25)+0.5, INT(I25)+1)))</f>
        <v/>
      </c>
      <c r="K25" s="116" t="n">
        <v>46176</v>
      </c>
      <c r="L25" s="38" t="inlineStr">
        <is>
          <t>MARIEL</t>
        </is>
      </c>
      <c r="M25" s="38" t="inlineStr">
        <is>
          <t>KARIM</t>
        </is>
      </c>
      <c r="N25" s="89" t="n"/>
    </row>
    <row r="26">
      <c r="A26" s="96" t="inlineStr">
        <is>
          <t>7647184400820161300</t>
        </is>
      </c>
      <c r="B26" s="89" t="inlineStr">
        <is>
          <t>reina_beautyy</t>
        </is>
      </c>
      <c r="C26" s="89" t="inlineStr">
        <is>
          <t>MX</t>
        </is>
      </c>
      <c r="D26" s="114" t="n">
        <v>0</v>
      </c>
      <c r="E26" s="40">
        <f>D26/1.16</f>
        <v/>
      </c>
      <c r="F26" s="114">
        <f>D26/J26</f>
        <v/>
      </c>
      <c r="G26" s="40">
        <f>F26/1.16</f>
        <v/>
      </c>
      <c r="H26" s="114" t="n">
        <v>0</v>
      </c>
      <c r="I26" s="115" t="n">
        <v>2.233055555555556</v>
      </c>
      <c r="J26" s="89">
        <f>LET(dec, I26-INT(I26), IF(dec&lt;0.1, INT(I26), IF(dec&lt;=0.7, INT(I26)+0.5, INT(I26)+1)))</f>
        <v/>
      </c>
      <c r="K26" s="116" t="n">
        <v>46176</v>
      </c>
      <c r="L26" s="38" t="inlineStr">
        <is>
          <t>MARIEL</t>
        </is>
      </c>
      <c r="M26" s="38" t="inlineStr">
        <is>
          <t>KARIM</t>
        </is>
      </c>
      <c r="N26" s="89" t="n"/>
    </row>
    <row r="27">
      <c r="K27" s="84" t="n"/>
    </row>
    <row r="28">
      <c r="K28" s="84" t="n"/>
    </row>
    <row r="29">
      <c r="A29" s="7" t="inlineStr">
        <is>
          <t>Room ID</t>
        </is>
      </c>
      <c r="B29" s="7" t="inlineStr">
        <is>
          <t>TT Handle</t>
        </is>
      </c>
      <c r="C29" s="7" t="inlineStr">
        <is>
          <t>Country</t>
        </is>
      </c>
      <c r="D29" s="7" t="inlineStr">
        <is>
          <t>GMV</t>
        </is>
      </c>
      <c r="E29" s="7" t="inlineStr">
        <is>
          <t>GMV/sin EVA</t>
        </is>
      </c>
      <c r="F29" s="7" t="inlineStr">
        <is>
          <t>GMV PER HOUR</t>
        </is>
      </c>
      <c r="G29" s="7" t="inlineStr">
        <is>
          <t>GMV PER HOUR/sin EVA</t>
        </is>
      </c>
      <c r="H29" s="7" t="inlineStr">
        <is>
          <t>Ads Cost</t>
        </is>
      </c>
      <c r="I29" s="7" t="inlineStr">
        <is>
          <t>Duration (H)</t>
        </is>
      </c>
      <c r="J29" s="28" t="inlineStr">
        <is>
          <t>Duration （Formula）</t>
        </is>
      </c>
      <c r="K29" s="58" t="inlineStr">
        <is>
          <t>Start date</t>
        </is>
      </c>
      <c r="L29" s="71" t="inlineStr">
        <is>
          <t>HOST1</t>
        </is>
      </c>
      <c r="M29" s="71" t="inlineStr">
        <is>
          <t xml:space="preserve">HOST 2 </t>
        </is>
      </c>
      <c r="N29" s="71" t="inlineStr">
        <is>
          <t>Operator</t>
        </is>
      </c>
    </row>
    <row r="30">
      <c r="A30" s="96" t="inlineStr">
        <is>
          <t>7656851483050887957</t>
        </is>
      </c>
      <c r="B30" s="89" t="inlineStr">
        <is>
          <t>reina_beautyy</t>
        </is>
      </c>
      <c r="C30" s="89" t="inlineStr">
        <is>
          <t>MX</t>
        </is>
      </c>
      <c r="D30" s="114" t="n">
        <v>2434.31</v>
      </c>
      <c r="E30" s="40">
        <f>D30/1.16</f>
        <v/>
      </c>
      <c r="F30" s="114">
        <f>D30/1.16</f>
        <v/>
      </c>
      <c r="G30" s="40">
        <f>F30/1.16</f>
        <v/>
      </c>
      <c r="H30" s="114" t="n">
        <v>0</v>
      </c>
      <c r="I30" s="115" t="n">
        <v>3.1</v>
      </c>
      <c r="J30" s="89">
        <f>LET(dec, I30-INT(I30), IF(dec&lt;0.1, INT(I30), IF(dec&lt;=0.7, INT(I30)+0.5, INT(I30)+1)))</f>
        <v/>
      </c>
      <c r="K30" s="116" t="n">
        <v>46202</v>
      </c>
      <c r="L30" s="38" t="inlineStr">
        <is>
          <t>KARIM</t>
        </is>
      </c>
      <c r="M30" s="38" t="n"/>
      <c r="N30" s="89" t="n"/>
    </row>
    <row r="31">
      <c r="A31" s="96" t="inlineStr">
        <is>
          <t>7657220256197544724</t>
        </is>
      </c>
      <c r="B31" s="89" t="inlineStr">
        <is>
          <t>reina_beautyy</t>
        </is>
      </c>
      <c r="C31" s="89" t="inlineStr">
        <is>
          <t>MX</t>
        </is>
      </c>
      <c r="D31" s="114" t="n">
        <v>1336.35</v>
      </c>
      <c r="E31" s="40">
        <f>D31/1.16</f>
        <v/>
      </c>
      <c r="F31" s="114">
        <f>D31/1.16</f>
        <v/>
      </c>
      <c r="G31" s="40">
        <f>F31/1.16</f>
        <v/>
      </c>
      <c r="H31" s="114" t="n">
        <v>0</v>
      </c>
      <c r="I31" s="115" t="n">
        <v>3</v>
      </c>
      <c r="J31" s="89">
        <f>LET(dec, I31-INT(I31), IF(dec&lt;0.1, INT(I31), IF(dec&lt;=0.7, INT(I31)+0.5, INT(I31)+1)))</f>
        <v/>
      </c>
      <c r="K31" s="116" t="n">
        <v>46203</v>
      </c>
      <c r="L31" s="38" t="inlineStr">
        <is>
          <t>KARIM</t>
        </is>
      </c>
      <c r="M31" s="38" t="n"/>
      <c r="N31" s="89" t="n"/>
    </row>
    <row r="32">
      <c r="A32" s="96" t="inlineStr">
        <is>
          <t>7657605385244232468</t>
        </is>
      </c>
      <c r="B32" s="89" t="inlineStr">
        <is>
          <t>reina_beautyy</t>
        </is>
      </c>
      <c r="C32" s="89" t="inlineStr">
        <is>
          <t>MX</t>
        </is>
      </c>
      <c r="D32" s="114" t="n">
        <v>0</v>
      </c>
      <c r="E32" s="40">
        <f>D32/1.16</f>
        <v/>
      </c>
      <c r="F32" s="114">
        <f>D32/1.16</f>
        <v/>
      </c>
      <c r="G32" s="40">
        <f>F32/1.16</f>
        <v/>
      </c>
      <c r="H32" s="114" t="n">
        <v>0</v>
      </c>
      <c r="I32" s="115" t="n">
        <v>0</v>
      </c>
      <c r="J32" s="89">
        <f>LET(dec, I32-INT(I32), IF(dec&lt;0.1, INT(I32), IF(dec&lt;=0.7, INT(I32)+0.5, INT(I32)+1)))</f>
        <v/>
      </c>
      <c r="K32" s="116" t="n">
        <v>46204</v>
      </c>
      <c r="L32" s="38" t="inlineStr">
        <is>
          <t>KARIM</t>
        </is>
      </c>
      <c r="M32" s="38" t="n"/>
      <c r="N32" s="89" t="n"/>
    </row>
    <row r="33">
      <c r="A33" s="96" t="inlineStr">
        <is>
          <t>7657607532562762516</t>
        </is>
      </c>
      <c r="B33" s="89" t="inlineStr">
        <is>
          <t>reina_beautyy</t>
        </is>
      </c>
      <c r="C33" s="89" t="inlineStr">
        <is>
          <t>MX</t>
        </is>
      </c>
      <c r="D33" s="114" t="n">
        <v>1662.71</v>
      </c>
      <c r="E33" s="40">
        <f>D33/1.16</f>
        <v/>
      </c>
      <c r="F33" s="114">
        <f>D33/1.16</f>
        <v/>
      </c>
      <c r="G33" s="40">
        <f>F33/1.16</f>
        <v/>
      </c>
      <c r="H33" s="114" t="n">
        <v>0</v>
      </c>
      <c r="I33" s="115" t="n">
        <v>3</v>
      </c>
      <c r="J33" s="89">
        <f>LET(dec, I33-INT(I33), IF(dec&lt;0.1, INT(I33), IF(dec&lt;=0.7, INT(I33)+0.5, INT(I33)+1)))</f>
        <v/>
      </c>
      <c r="K33" s="116" t="n">
        <v>46204</v>
      </c>
      <c r="L33" s="38" t="inlineStr">
        <is>
          <t>KARIM</t>
        </is>
      </c>
      <c r="M33" s="38" t="n"/>
      <c r="N33" s="89" t="n"/>
    </row>
    <row r="34">
      <c r="A34" s="96" t="inlineStr">
        <is>
          <t>7657962477320571668</t>
        </is>
      </c>
      <c r="B34" s="89" t="inlineStr">
        <is>
          <t>reina_beautyy</t>
        </is>
      </c>
      <c r="C34" s="89" t="inlineStr">
        <is>
          <t>MX</t>
        </is>
      </c>
      <c r="D34" s="114" t="n">
        <v>1339.93</v>
      </c>
      <c r="E34" s="40">
        <f>D34/1.16</f>
        <v/>
      </c>
      <c r="F34" s="114">
        <f>D34/1.16</f>
        <v/>
      </c>
      <c r="G34" s="40">
        <f>F34/1.16</f>
        <v/>
      </c>
      <c r="H34" s="114" t="n">
        <v>0</v>
      </c>
      <c r="I34" s="115" t="n">
        <v>3.05</v>
      </c>
      <c r="J34" s="89">
        <f>LET(dec, I34-INT(I34), IF(dec&lt;0.1, INT(I34), IF(dec&lt;=0.7, INT(I34)+0.5, INT(I34)+1)))</f>
        <v/>
      </c>
      <c r="K34" s="116" t="n">
        <v>46205</v>
      </c>
      <c r="L34" s="38" t="inlineStr">
        <is>
          <t>KARIM</t>
        </is>
      </c>
      <c r="M34" s="38" t="n"/>
      <c r="N34" s="89" t="n"/>
    </row>
    <row r="35">
      <c r="A35" s="96" t="inlineStr">
        <is>
          <t>7658333230215170836</t>
        </is>
      </c>
      <c r="B35" s="89" t="inlineStr">
        <is>
          <t>reina_beautyy</t>
        </is>
      </c>
      <c r="C35" s="89" t="inlineStr">
        <is>
          <t>MX</t>
        </is>
      </c>
      <c r="D35" s="114" t="n">
        <v>3366.89</v>
      </c>
      <c r="E35" s="40">
        <f>D35/1.16</f>
        <v/>
      </c>
      <c r="F35" s="114">
        <f>D35/1.16</f>
        <v/>
      </c>
      <c r="G35" s="40">
        <f>F35/1.16</f>
        <v/>
      </c>
      <c r="H35" s="114" t="n">
        <v>0</v>
      </c>
      <c r="I35" s="115" t="n">
        <v>3.01</v>
      </c>
      <c r="J35" s="89">
        <f>LET(dec, I35-INT(I35), IF(dec&lt;0.1, INT(I35), IF(dec&lt;=0.7, INT(I35)+0.5, INT(I35)+1)))</f>
        <v/>
      </c>
      <c r="K35" s="116" t="n">
        <v>46206</v>
      </c>
      <c r="L35" s="38" t="inlineStr">
        <is>
          <t>KARIM</t>
        </is>
      </c>
      <c r="M35" s="38" t="n"/>
      <c r="N35" s="89" t="n"/>
    </row>
    <row r="36">
      <c r="A36" s="96" t="inlineStr">
        <is>
          <t>7659817303362472724</t>
        </is>
      </c>
      <c r="B36" s="89" t="inlineStr">
        <is>
          <t>reina_beautyy</t>
        </is>
      </c>
      <c r="C36" s="89" t="inlineStr">
        <is>
          <t>MX</t>
        </is>
      </c>
      <c r="D36" s="114" t="n">
        <v>1214.25</v>
      </c>
      <c r="E36" s="40">
        <f>D36/1.16</f>
        <v/>
      </c>
      <c r="F36" s="114">
        <f>D36/1.16</f>
        <v/>
      </c>
      <c r="G36" s="40">
        <f>F36/1.16</f>
        <v/>
      </c>
      <c r="H36" s="114" t="n">
        <v>0</v>
      </c>
      <c r="I36" s="115" t="n">
        <v>3</v>
      </c>
      <c r="J36" s="89">
        <f>LET(dec, I36-INT(I36), IF(dec&lt;0.1, INT(I36), IF(dec&lt;=0.7, INT(I36)+0.5, INT(I36)+1)))</f>
        <v/>
      </c>
      <c r="K36" s="116" t="n">
        <v>46210</v>
      </c>
      <c r="L36" s="38" t="inlineStr">
        <is>
          <t>KARIM</t>
        </is>
      </c>
      <c r="M36" s="38" t="n"/>
      <c r="N36" s="89" t="n"/>
    </row>
    <row r="37">
      <c r="A37" s="96" t="inlineStr">
        <is>
          <t>7659865525921188628</t>
        </is>
      </c>
      <c r="B37" s="89" t="inlineStr">
        <is>
          <t>reina_beautyy</t>
        </is>
      </c>
      <c r="C37" s="89" t="inlineStr">
        <is>
          <t>MX</t>
        </is>
      </c>
      <c r="D37" s="114" t="n">
        <v>0</v>
      </c>
      <c r="E37" s="40">
        <f>D37/1.16</f>
        <v/>
      </c>
      <c r="F37" s="114">
        <f>D37/1.16</f>
        <v/>
      </c>
      <c r="G37" s="40">
        <f>F37/1.16</f>
        <v/>
      </c>
      <c r="H37" s="114" t="n">
        <v>0</v>
      </c>
      <c r="I37" s="115" t="n">
        <v>0.03</v>
      </c>
      <c r="J37" s="89">
        <f>LET(dec, I37-INT(I37), IF(dec&lt;0.1, INT(I37), IF(dec&lt;=0.7, INT(I37)+0.5, INT(I37)+1)))</f>
        <v/>
      </c>
      <c r="K37" s="116" t="n">
        <v>46210</v>
      </c>
      <c r="L37" s="38" t="inlineStr">
        <is>
          <t>KARIM</t>
        </is>
      </c>
      <c r="M37" s="38" t="n"/>
      <c r="N37" s="89" t="n"/>
    </row>
    <row r="38">
      <c r="A38" s="96" t="inlineStr">
        <is>
          <t>7660195075498674964</t>
        </is>
      </c>
      <c r="B38" s="89" t="inlineStr">
        <is>
          <t>reina_beautyy</t>
        </is>
      </c>
      <c r="C38" s="89" t="inlineStr">
        <is>
          <t>MX</t>
        </is>
      </c>
      <c r="D38" s="114" t="n">
        <v>1481.8</v>
      </c>
      <c r="E38" s="40">
        <f>D38/1.16</f>
        <v/>
      </c>
      <c r="F38" s="114">
        <f>D38/1.16</f>
        <v/>
      </c>
      <c r="G38" s="40">
        <f>F38/1.16</f>
        <v/>
      </c>
      <c r="H38" s="114" t="n">
        <v>0</v>
      </c>
      <c r="I38" s="115" t="n">
        <v>3.02</v>
      </c>
      <c r="J38" s="89">
        <f>LET(dec, I38-INT(I38), IF(dec&lt;0.1, INT(I38), IF(dec&lt;=0.7, INT(I38)+0.5, INT(I38)+1)))</f>
        <v/>
      </c>
      <c r="K38" s="116" t="n">
        <v>46211</v>
      </c>
      <c r="L38" s="38" t="inlineStr">
        <is>
          <t>KARIM</t>
        </is>
      </c>
      <c r="M38" s="38" t="n"/>
      <c r="N38" s="89" t="n"/>
    </row>
    <row r="39">
      <c r="A39" s="96" t="inlineStr">
        <is>
          <t>7660584674095385365</t>
        </is>
      </c>
      <c r="B39" s="89" t="inlineStr">
        <is>
          <t>reina_beautyy</t>
        </is>
      </c>
      <c r="C39" s="89" t="inlineStr">
        <is>
          <t>MX</t>
        </is>
      </c>
      <c r="D39" s="114" t="n">
        <v>388.45</v>
      </c>
      <c r="E39" s="40">
        <f>D39/1.16</f>
        <v/>
      </c>
      <c r="F39" s="114">
        <f>D39/1.16</f>
        <v/>
      </c>
      <c r="G39" s="40">
        <f>F39/1.16</f>
        <v/>
      </c>
      <c r="H39" s="114" t="n">
        <v>0</v>
      </c>
      <c r="I39" s="115" t="n">
        <v>1.39</v>
      </c>
      <c r="J39" s="89">
        <f>LET(dec, I39-INT(I39), IF(dec&lt;0.1, INT(I39), IF(dec&lt;=0.7, INT(I39)+0.5, INT(I39)+1)))</f>
        <v/>
      </c>
      <c r="K39" s="116" t="n">
        <v>46212</v>
      </c>
      <c r="L39" s="38" t="inlineStr">
        <is>
          <t>KARIM</t>
        </is>
      </c>
      <c r="M39" s="38" t="n"/>
      <c r="N39" s="89" t="n"/>
    </row>
    <row r="40">
      <c r="A40" s="96" t="inlineStr">
        <is>
          <t>7660608050068032277</t>
        </is>
      </c>
      <c r="B40" s="89" t="inlineStr">
        <is>
          <t>reina_beautyy</t>
        </is>
      </c>
      <c r="C40" s="89" t="inlineStr">
        <is>
          <t>MX</t>
        </is>
      </c>
      <c r="D40" s="114" t="n">
        <v>0</v>
      </c>
      <c r="E40" s="40">
        <f>D40/1.16</f>
        <v/>
      </c>
      <c r="F40" s="114">
        <f>D40/1.16</f>
        <v/>
      </c>
      <c r="G40" s="40">
        <f>F40/1.16</f>
        <v/>
      </c>
      <c r="H40" s="114" t="n">
        <v>0</v>
      </c>
      <c r="I40" s="115" t="n">
        <v>0.03</v>
      </c>
      <c r="J40" s="89">
        <f>LET(dec, I40-INT(I40), IF(dec&lt;0.1, INT(I40), IF(dec&lt;=0.7, INT(I40)+0.5, INT(I40)+1)))</f>
        <v/>
      </c>
      <c r="K40" s="116" t="n">
        <v>46212</v>
      </c>
      <c r="L40" s="38" t="inlineStr">
        <is>
          <t>KARIM</t>
        </is>
      </c>
      <c r="M40" s="38" t="n"/>
      <c r="N40" s="89" t="n"/>
    </row>
    <row r="41">
      <c r="A41" s="96" t="inlineStr">
        <is>
          <t>7660608538527533845</t>
        </is>
      </c>
      <c r="B41" s="89" t="inlineStr">
        <is>
          <t>reina_beautyy</t>
        </is>
      </c>
      <c r="C41" s="89" t="inlineStr">
        <is>
          <t>MX</t>
        </is>
      </c>
      <c r="D41" s="114" t="n">
        <v>0</v>
      </c>
      <c r="E41" s="40">
        <f>D41/1.16</f>
        <v/>
      </c>
      <c r="F41" s="114">
        <f>D41/1.16</f>
        <v/>
      </c>
      <c r="G41" s="40">
        <f>F41/1.16</f>
        <v/>
      </c>
      <c r="H41" s="114" t="n">
        <v>0</v>
      </c>
      <c r="I41" s="115" t="n">
        <v>1.9</v>
      </c>
      <c r="J41" s="89">
        <f>LET(dec, I41-INT(I41), IF(dec&lt;0.1, INT(I41), IF(dec&lt;=0.7, INT(I41)+0.5, INT(I41)+1)))</f>
        <v/>
      </c>
      <c r="K41" s="116" t="n">
        <v>46212</v>
      </c>
      <c r="L41" s="38" t="inlineStr">
        <is>
          <t>KARIM</t>
        </is>
      </c>
      <c r="M41" s="38" t="n"/>
      <c r="N41" s="89" t="n"/>
    </row>
    <row r="42">
      <c r="A42" s="96" t="inlineStr">
        <is>
          <t>7660933634704001813</t>
        </is>
      </c>
      <c r="B42" s="89" t="inlineStr">
        <is>
          <t>reina_beautyy</t>
        </is>
      </c>
      <c r="C42" s="89" t="inlineStr">
        <is>
          <t>MX</t>
        </is>
      </c>
      <c r="D42" s="114" t="n">
        <v>1560.08</v>
      </c>
      <c r="E42" s="40">
        <f>D42/1.16</f>
        <v/>
      </c>
      <c r="F42" s="114">
        <f>D42/1.16</f>
        <v/>
      </c>
      <c r="G42" s="40">
        <f>F42/1.16</f>
        <v/>
      </c>
      <c r="H42" s="114" t="n">
        <v>0</v>
      </c>
      <c r="I42" s="115" t="n">
        <v>3.06</v>
      </c>
      <c r="J42" s="89">
        <f>LET(dec, I42-INT(I42), IF(dec&lt;0.1, INT(I42), IF(dec&lt;=0.7, INT(I42)+0.5, INT(I42)+1)))</f>
        <v/>
      </c>
      <c r="K42" s="116" t="n">
        <v>46213</v>
      </c>
      <c r="L42" s="38" t="inlineStr">
        <is>
          <t>KARIM</t>
        </is>
      </c>
      <c r="M42" s="38" t="n"/>
      <c r="N42" s="89" t="n"/>
    </row>
    <row r="43">
      <c r="A43" s="96" t="inlineStr">
        <is>
          <t>7662050756920429320</t>
        </is>
      </c>
      <c r="B43" s="89" t="inlineStr">
        <is>
          <t>reina_beautyy</t>
        </is>
      </c>
      <c r="C43" s="89" t="inlineStr">
        <is>
          <t>MX</t>
        </is>
      </c>
      <c r="D43" s="114" t="n">
        <v>0</v>
      </c>
      <c r="E43" s="40">
        <f>D43/1.16</f>
        <v/>
      </c>
      <c r="F43" s="114">
        <f>D43/1.16</f>
        <v/>
      </c>
      <c r="G43" s="40">
        <f>F43/1.16</f>
        <v/>
      </c>
      <c r="H43" s="114" t="n">
        <v>0</v>
      </c>
      <c r="I43" s="115" t="n">
        <v>0.03</v>
      </c>
      <c r="J43" s="89">
        <f>LET(dec, I43-INT(I43), IF(dec&lt;0.1, INT(I43), IF(dec&lt;=0.7, INT(I43)+0.5, INT(I43)+1)))</f>
        <v/>
      </c>
      <c r="K43" s="116" t="n">
        <v>46216</v>
      </c>
      <c r="L43" s="38" t="inlineStr">
        <is>
          <t>KARIM</t>
        </is>
      </c>
      <c r="M43" s="38" t="n"/>
      <c r="N43" s="89" t="n"/>
    </row>
    <row r="44">
      <c r="A44" s="96" t="inlineStr">
        <is>
          <t>7662051229484354312</t>
        </is>
      </c>
      <c r="B44" s="89" t="inlineStr">
        <is>
          <t>reina_beautyy</t>
        </is>
      </c>
      <c r="C44" s="89" t="inlineStr">
        <is>
          <t>MX</t>
        </is>
      </c>
      <c r="D44" s="114" t="n">
        <v>0</v>
      </c>
      <c r="E44" s="40">
        <f>D44/1.16</f>
        <v/>
      </c>
      <c r="F44" s="114">
        <f>D44/1.16</f>
        <v/>
      </c>
      <c r="G44" s="40">
        <f>F44/1.16</f>
        <v/>
      </c>
      <c r="H44" s="114" t="n">
        <v>0</v>
      </c>
      <c r="I44" s="115" t="n">
        <v>0.01</v>
      </c>
      <c r="J44" s="89">
        <f>LET(dec, I44-INT(I44), IF(dec&lt;0.1, INT(I44), IF(dec&lt;=0.7, INT(I44)+0.5, INT(I44)+1)))</f>
        <v/>
      </c>
      <c r="K44" s="116" t="n">
        <v>46216</v>
      </c>
      <c r="L44" s="38" t="inlineStr">
        <is>
          <t>KARIM</t>
        </is>
      </c>
      <c r="M44" s="38" t="n"/>
      <c r="N44" s="89" t="n"/>
    </row>
    <row r="45">
      <c r="A45" s="96" t="inlineStr">
        <is>
          <t>7662051495810779922</t>
        </is>
      </c>
      <c r="B45" s="89" t="inlineStr">
        <is>
          <t>reina_beautyy</t>
        </is>
      </c>
      <c r="C45" s="89" t="inlineStr">
        <is>
          <t>MX</t>
        </is>
      </c>
      <c r="D45" s="114" t="n">
        <v>867.73</v>
      </c>
      <c r="E45" s="40">
        <f>D45/1.16</f>
        <v/>
      </c>
      <c r="F45" s="114">
        <f>D45/1.16</f>
        <v/>
      </c>
      <c r="G45" s="40">
        <f>F45/1.16</f>
        <v/>
      </c>
      <c r="H45" s="114" t="n">
        <v>0</v>
      </c>
      <c r="I45" s="115" t="n">
        <v>3.02</v>
      </c>
      <c r="J45" s="89">
        <f>LET(dec, I45-INT(I45), IF(dec&lt;0.1, INT(I45), IF(dec&lt;=0.7, INT(I45)+0.5, INT(I45)+1)))</f>
        <v/>
      </c>
      <c r="K45" s="116" t="n">
        <v>46216</v>
      </c>
      <c r="L45" s="38" t="inlineStr">
        <is>
          <t>KARIM</t>
        </is>
      </c>
      <c r="M45" s="38" t="n"/>
      <c r="N45" s="89" t="n"/>
    </row>
    <row r="46">
      <c r="A46" s="96" t="inlineStr">
        <is>
          <t>7662420882015734535</t>
        </is>
      </c>
      <c r="B46" s="89" t="inlineStr">
        <is>
          <t>reina_beautyy</t>
        </is>
      </c>
      <c r="C46" s="89" t="inlineStr">
        <is>
          <t>MX</t>
        </is>
      </c>
      <c r="D46" s="114" t="n">
        <v>874.45</v>
      </c>
      <c r="E46" s="40">
        <f>D46/1.16</f>
        <v/>
      </c>
      <c r="F46" s="114">
        <f>D46/1.16</f>
        <v/>
      </c>
      <c r="G46" s="40">
        <f>F46/1.16</f>
        <v/>
      </c>
      <c r="H46" s="114" t="n">
        <v>0</v>
      </c>
      <c r="I46" s="115" t="n">
        <v>3.03</v>
      </c>
      <c r="J46" s="89">
        <f>LET(dec, I46-INT(I46), IF(dec&lt;0.1, INT(I46), IF(dec&lt;=0.7, INT(I46)+0.5, INT(I46)+1)))</f>
        <v/>
      </c>
      <c r="K46" s="116" t="n">
        <v>46217</v>
      </c>
      <c r="L46" s="38" t="inlineStr">
        <is>
          <t>KARIM</t>
        </is>
      </c>
      <c r="M46" s="38" t="n"/>
      <c r="N46" s="89" t="n"/>
    </row>
    <row r="47">
      <c r="A47" s="96" t="inlineStr">
        <is>
          <t>7662785797711563527</t>
        </is>
      </c>
      <c r="B47" s="89" t="inlineStr">
        <is>
          <t>reina_beautyy</t>
        </is>
      </c>
      <c r="C47" s="89" t="inlineStr">
        <is>
          <t>MX</t>
        </is>
      </c>
      <c r="D47" s="114" t="n">
        <v>3960.48</v>
      </c>
      <c r="E47" s="40">
        <f>D47/1.16</f>
        <v/>
      </c>
      <c r="F47" s="114">
        <f>D47/1.16</f>
        <v/>
      </c>
      <c r="G47" s="40">
        <f>F47/1.16</f>
        <v/>
      </c>
      <c r="H47" s="114" t="n">
        <v>0</v>
      </c>
      <c r="I47" s="115" t="n">
        <v>3.64</v>
      </c>
      <c r="J47" s="89">
        <f>LET(dec, I47-INT(I47), IF(dec&lt;0.1, INT(I47), IF(dec&lt;=0.7, INT(I47)+0.5, INT(I47)+1)))</f>
        <v/>
      </c>
      <c r="K47" s="116" t="n">
        <v>46218</v>
      </c>
      <c r="L47" s="38" t="inlineStr">
        <is>
          <t>KARIM</t>
        </is>
      </c>
      <c r="M47" s="38" t="n"/>
      <c r="N47" s="89" t="n"/>
    </row>
    <row r="48">
      <c r="A48" s="96" t="inlineStr">
        <is>
          <t>7663162682962578194</t>
        </is>
      </c>
      <c r="B48" s="89" t="inlineStr">
        <is>
          <t>reina_beautyy</t>
        </is>
      </c>
      <c r="C48" s="89" t="inlineStr">
        <is>
          <t>MX</t>
        </is>
      </c>
      <c r="D48" s="114" t="n">
        <v>1202.6</v>
      </c>
      <c r="E48" s="40">
        <f>D48/1.16</f>
        <v/>
      </c>
      <c r="F48" s="114">
        <f>D48/1.16</f>
        <v/>
      </c>
      <c r="G48" s="40">
        <f>F48/1.16</f>
        <v/>
      </c>
      <c r="H48" s="114" t="n">
        <v>0</v>
      </c>
      <c r="I48" s="115" t="n">
        <v>3.02</v>
      </c>
      <c r="J48" s="89">
        <f>LET(dec, I48-INT(I48), IF(dec&lt;0.1, INT(I48), IF(dec&lt;=0.7, INT(I48)+0.5, INT(I48)+1)))</f>
        <v/>
      </c>
      <c r="K48" s="116" t="n">
        <v>46219</v>
      </c>
      <c r="L48" s="38" t="inlineStr">
        <is>
          <t>KARIM</t>
        </is>
      </c>
      <c r="M48" s="38" t="n"/>
      <c r="N48" s="89" t="n"/>
    </row>
    <row r="49">
      <c r="A49" s="96" t="inlineStr">
        <is>
          <t>7663526685852207879</t>
        </is>
      </c>
      <c r="B49" s="89" t="inlineStr">
        <is>
          <t>reina_beautyy</t>
        </is>
      </c>
      <c r="C49" s="89" t="inlineStr">
        <is>
          <t>MX</t>
        </is>
      </c>
      <c r="D49" s="114" t="n">
        <v>5582.21</v>
      </c>
      <c r="E49" s="40">
        <f>D49/1.16</f>
        <v/>
      </c>
      <c r="F49" s="114">
        <f>D49/1.16</f>
        <v/>
      </c>
      <c r="G49" s="40">
        <f>F49/1.16</f>
        <v/>
      </c>
      <c r="H49" s="114" t="n">
        <v>0</v>
      </c>
      <c r="I49" s="115" t="n">
        <v>3.54</v>
      </c>
      <c r="J49" s="89">
        <f>LET(dec, I49-INT(I49), IF(dec&lt;0.1, INT(I49), IF(dec&lt;=0.7, INT(I49)+0.5, INT(I49)+1)))</f>
        <v/>
      </c>
      <c r="K49" s="116" t="n">
        <v>46220</v>
      </c>
      <c r="L49" s="38" t="inlineStr">
        <is>
          <t>KARIM</t>
        </is>
      </c>
      <c r="M49" s="38" t="n"/>
      <c r="N49" s="89" t="n"/>
    </row>
    <row r="50">
      <c r="A50" s="96" t="inlineStr">
        <is>
          <t>7664649140963330834</t>
        </is>
      </c>
      <c r="B50" s="89" t="inlineStr">
        <is>
          <t>reina_beautyy</t>
        </is>
      </c>
      <c r="C50" s="89" t="inlineStr">
        <is>
          <t>MX</t>
        </is>
      </c>
      <c r="D50" s="114" t="n">
        <v>987.26</v>
      </c>
      <c r="E50" s="40">
        <f>D50/1.16</f>
        <v/>
      </c>
      <c r="F50" s="114">
        <f>D50/1.16</f>
        <v/>
      </c>
      <c r="G50" s="40">
        <f>F50/1.16</f>
        <v/>
      </c>
      <c r="H50" s="114" t="n">
        <v>0</v>
      </c>
      <c r="I50" s="115" t="n">
        <v>1.72</v>
      </c>
      <c r="J50" s="89">
        <f>LET(dec, I50-INT(I50), IF(dec&lt;0.1, INT(I50), IF(dec&lt;=0.7, INT(I50)+0.5, INT(I50)+1)))</f>
        <v/>
      </c>
      <c r="K50" s="116" t="n">
        <v>46223</v>
      </c>
      <c r="L50" s="38" t="inlineStr">
        <is>
          <t>KARIM</t>
        </is>
      </c>
      <c r="M50" s="38" t="n"/>
      <c r="N50" s="89" t="n"/>
    </row>
    <row r="51">
      <c r="A51" s="96" t="inlineStr">
        <is>
          <t>7664675925489535764</t>
        </is>
      </c>
      <c r="B51" s="89" t="inlineStr">
        <is>
          <t>reina_beautyy</t>
        </is>
      </c>
      <c r="C51" s="89" t="inlineStr">
        <is>
          <t>MX</t>
        </is>
      </c>
      <c r="D51" s="114" t="n">
        <v>1489.43</v>
      </c>
      <c r="E51" s="40">
        <f>D51/1.16</f>
        <v/>
      </c>
      <c r="F51" s="114">
        <f>D51/1.16</f>
        <v/>
      </c>
      <c r="G51" s="40">
        <f>F51/1.16</f>
        <v/>
      </c>
      <c r="H51" s="114" t="n">
        <v>0</v>
      </c>
      <c r="I51" s="115" t="n">
        <v>1.42</v>
      </c>
      <c r="J51" s="89">
        <f>LET(dec, I51-INT(I51), IF(dec&lt;0.1, INT(I51), IF(dec&lt;=0.7, INT(I51)+0.5, INT(I51)+1)))</f>
        <v/>
      </c>
      <c r="K51" s="116" t="n">
        <v>46223</v>
      </c>
      <c r="L51" s="38" t="inlineStr">
        <is>
          <t>KARIM</t>
        </is>
      </c>
      <c r="M51" s="38" t="n"/>
      <c r="N51" s="89" t="n"/>
    </row>
    <row r="52">
      <c r="A52" s="96" t="inlineStr">
        <is>
          <t>7665015104350079764</t>
        </is>
      </c>
      <c r="B52" s="89" t="inlineStr">
        <is>
          <t>reina_beautyy</t>
        </is>
      </c>
      <c r="C52" s="89" t="inlineStr">
        <is>
          <t>MX</t>
        </is>
      </c>
      <c r="D52" s="114" t="n">
        <v>1104.8</v>
      </c>
      <c r="E52" s="40">
        <f>D52/1.16</f>
        <v/>
      </c>
      <c r="F52" s="114">
        <f>D52/1.16</f>
        <v/>
      </c>
      <c r="G52" s="40">
        <f>F52/1.16</f>
        <v/>
      </c>
      <c r="H52" s="114" t="n">
        <v>0</v>
      </c>
      <c r="I52" s="115" t="n">
        <v>2.77</v>
      </c>
      <c r="J52" s="89">
        <f>LET(dec, I52-INT(I52), IF(dec&lt;0.1, INT(I52), IF(dec&lt;=0.7, INT(I52)+0.5, INT(I52)+1)))</f>
        <v/>
      </c>
      <c r="K52" s="116" t="n">
        <v>46224</v>
      </c>
      <c r="L52" s="38" t="inlineStr">
        <is>
          <t>KARIM</t>
        </is>
      </c>
      <c r="M52" s="38" t="n"/>
      <c r="N52" s="89" t="n"/>
    </row>
    <row r="53">
      <c r="A53" s="96" t="inlineStr">
        <is>
          <t>7665384105518369557</t>
        </is>
      </c>
      <c r="B53" s="89" t="inlineStr">
        <is>
          <t>reina_beautyy</t>
        </is>
      </c>
      <c r="C53" s="89" t="inlineStr">
        <is>
          <t>MX</t>
        </is>
      </c>
      <c r="D53" s="114" t="n">
        <v>0</v>
      </c>
      <c r="E53" s="40">
        <f>D53/1.16</f>
        <v/>
      </c>
      <c r="F53" s="114">
        <f>D53/1.16</f>
        <v/>
      </c>
      <c r="G53" s="40">
        <f>F53/1.16</f>
        <v/>
      </c>
      <c r="H53" s="114" t="n">
        <v>0</v>
      </c>
      <c r="I53" s="115" t="n">
        <v>0.16</v>
      </c>
      <c r="J53" s="89">
        <f>LET(dec, I53-INT(I53), IF(dec&lt;0.1, INT(I53), IF(dec&lt;=0.7, INT(I53)+0.5, INT(I53)+1)))</f>
        <v/>
      </c>
      <c r="K53" s="116" t="n">
        <v>46225</v>
      </c>
      <c r="L53" s="38" t="inlineStr">
        <is>
          <t>KARIM</t>
        </is>
      </c>
      <c r="M53" s="38" t="n"/>
      <c r="N53" s="89" t="n"/>
    </row>
    <row r="54">
      <c r="A54" s="96" t="inlineStr">
        <is>
          <t>7665387768553442068</t>
        </is>
      </c>
      <c r="B54" s="89" t="inlineStr">
        <is>
          <t>reina_beautyy</t>
        </is>
      </c>
      <c r="C54" s="89" t="inlineStr">
        <is>
          <t>MX</t>
        </is>
      </c>
      <c r="D54" s="114" t="n">
        <v>1349.49</v>
      </c>
      <c r="E54" s="40">
        <f>D54/1.16</f>
        <v/>
      </c>
      <c r="F54" s="114">
        <f>D54/1.16</f>
        <v/>
      </c>
      <c r="G54" s="40">
        <f>F54/1.16</f>
        <v/>
      </c>
      <c r="H54" s="114" t="n">
        <v>0</v>
      </c>
      <c r="I54" s="115" t="n">
        <v>2.96</v>
      </c>
      <c r="J54" s="89">
        <f>LET(dec, I54-INT(I54), IF(dec&lt;0.1, INT(I54), IF(dec&lt;=0.7, INT(I54)+0.5, INT(I54)+1)))</f>
        <v/>
      </c>
      <c r="K54" s="116" t="n">
        <v>46225</v>
      </c>
      <c r="L54" s="38" t="inlineStr">
        <is>
          <t>KARIM</t>
        </is>
      </c>
      <c r="M54" s="38" t="n"/>
      <c r="N54" s="89" t="n"/>
    </row>
    <row r="55">
      <c r="A55" s="96" t="inlineStr">
        <is>
          <t>7665758394302171925</t>
        </is>
      </c>
      <c r="B55" s="89" t="inlineStr">
        <is>
          <t>reina_beautyy</t>
        </is>
      </c>
      <c r="C55" s="89" t="inlineStr">
        <is>
          <t>MX</t>
        </is>
      </c>
      <c r="D55" s="114" t="n">
        <v>2647.45</v>
      </c>
      <c r="E55" s="40">
        <f>D55/1.16</f>
        <v/>
      </c>
      <c r="F55" s="114">
        <f>D55/1.16</f>
        <v/>
      </c>
      <c r="G55" s="40">
        <f>F55/1.16</f>
        <v/>
      </c>
      <c r="H55" s="114" t="n">
        <v>0</v>
      </c>
      <c r="I55" s="115" t="n">
        <v>3.01</v>
      </c>
      <c r="J55" s="89">
        <f>LET(dec, I55-INT(I55), IF(dec&lt;0.1, INT(I55), IF(dec&lt;=0.7, INT(I55)+0.5, INT(I55)+1)))</f>
        <v/>
      </c>
      <c r="K55" s="116" t="n">
        <v>46226</v>
      </c>
      <c r="L55" s="38" t="inlineStr">
        <is>
          <t>KARIM</t>
        </is>
      </c>
      <c r="M55" s="38" t="n"/>
      <c r="N55" s="89" t="n"/>
    </row>
    <row r="56">
      <c r="A56" s="96" t="inlineStr">
        <is>
          <t>7666126403271789319</t>
        </is>
      </c>
      <c r="B56" s="89" t="inlineStr">
        <is>
          <t>reina_beautyy</t>
        </is>
      </c>
      <c r="C56" s="89" t="inlineStr">
        <is>
          <t>MX</t>
        </is>
      </c>
      <c r="D56" s="114" t="n">
        <v>2320.09</v>
      </c>
      <c r="E56" s="40">
        <f>D56/1.16</f>
        <v/>
      </c>
      <c r="F56" s="114">
        <f>D56/1.16</f>
        <v/>
      </c>
      <c r="G56" s="40">
        <f>F56/1.16</f>
        <v/>
      </c>
      <c r="H56" s="114" t="n">
        <v>0</v>
      </c>
      <c r="I56" s="115" t="n">
        <v>3.37</v>
      </c>
      <c r="J56" s="89">
        <f>LET(dec, I56-INT(I56), IF(dec&lt;0.1, INT(I56), IF(dec&lt;=0.7, INT(I56)+0.5, INT(I56)+1)))</f>
        <v/>
      </c>
      <c r="K56" s="116" t="n">
        <v>46227</v>
      </c>
      <c r="L56" s="38" t="inlineStr">
        <is>
          <t>KARIM</t>
        </is>
      </c>
      <c r="M56" s="38" t="n"/>
      <c r="N56" s="89" t="n"/>
    </row>
    <row r="57">
      <c r="K57" s="84" t="n"/>
    </row>
    <row r="58">
      <c r="K58" s="84" t="n"/>
    </row>
    <row r="59">
      <c r="A59" s="7" t="inlineStr">
        <is>
          <t>Room ID</t>
        </is>
      </c>
      <c r="B59" s="7" t="inlineStr">
        <is>
          <t>TT Handle</t>
        </is>
      </c>
      <c r="C59" s="7" t="inlineStr">
        <is>
          <t>Country</t>
        </is>
      </c>
      <c r="D59" s="7" t="inlineStr">
        <is>
          <t>GMV</t>
        </is>
      </c>
      <c r="E59" s="7" t="inlineStr">
        <is>
          <t>GMV/sin EVA</t>
        </is>
      </c>
      <c r="F59" s="7" t="inlineStr">
        <is>
          <t>GMV PER HOUR</t>
        </is>
      </c>
      <c r="G59" s="7" t="inlineStr">
        <is>
          <t>GMV PER HOUR/sin EVA</t>
        </is>
      </c>
      <c r="H59" s="7" t="inlineStr">
        <is>
          <t>Ads Cost</t>
        </is>
      </c>
      <c r="I59" s="7" t="inlineStr">
        <is>
          <t>Duration (H)</t>
        </is>
      </c>
      <c r="J59" s="28" t="inlineStr">
        <is>
          <t>Duration （Formula）</t>
        </is>
      </c>
      <c r="K59" s="58" t="inlineStr">
        <is>
          <t>Start date</t>
        </is>
      </c>
      <c r="L59" s="71" t="inlineStr">
        <is>
          <t>HOST1</t>
        </is>
      </c>
      <c r="M59" s="71" t="inlineStr">
        <is>
          <t xml:space="preserve">HOST 2 </t>
        </is>
      </c>
      <c r="N59" s="71" t="inlineStr">
        <is>
          <t>Operator</t>
        </is>
      </c>
    </row>
    <row r="60">
      <c r="A60" s="96" t="inlineStr">
        <is>
          <t>7667614056959052564</t>
        </is>
      </c>
      <c r="B60" s="89" t="inlineStr">
        <is>
          <t>reina_beautyy</t>
        </is>
      </c>
      <c r="C60" s="89" t="inlineStr">
        <is>
          <t>MX</t>
        </is>
      </c>
      <c r="D60" s="114" t="n">
        <v>669.38</v>
      </c>
      <c r="E60" s="40">
        <f>D60/1.16</f>
        <v/>
      </c>
      <c r="F60" s="114">
        <f>D60/J60</f>
        <v/>
      </c>
      <c r="G60" s="40">
        <f>F60/1.16</f>
        <v/>
      </c>
      <c r="H60" s="114" t="n">
        <v>0</v>
      </c>
      <c r="I60" s="115" t="n">
        <v>3</v>
      </c>
      <c r="J60" s="89">
        <f>LET(dec, I60-INT(I60), IF(dec&lt;0.1, INT(I60), IF(dec&lt;=0.7, INT(I60)+0.5, INT(I60)+1)))</f>
        <v/>
      </c>
      <c r="K60" s="116" t="n">
        <v>46231</v>
      </c>
      <c r="L60" s="38" t="inlineStr">
        <is>
          <t>KARIM</t>
        </is>
      </c>
      <c r="M60" s="38" t="n"/>
      <c r="N60" s="89" t="n"/>
    </row>
    <row r="61">
      <c r="A61" s="96" t="inlineStr">
        <is>
          <t>7667979783468337928</t>
        </is>
      </c>
      <c r="B61" s="89" t="inlineStr">
        <is>
          <t>reina_beautyy</t>
        </is>
      </c>
      <c r="C61" s="89" t="inlineStr">
        <is>
          <t>MX</t>
        </is>
      </c>
      <c r="D61" s="114" t="n">
        <v>902.86</v>
      </c>
      <c r="E61" s="40">
        <f>D61/1.16</f>
        <v/>
      </c>
      <c r="F61" s="114">
        <f>D61/J61</f>
        <v/>
      </c>
      <c r="G61" s="40">
        <f>F61/1.16</f>
        <v/>
      </c>
      <c r="H61" s="114" t="n">
        <v>0</v>
      </c>
      <c r="I61" s="115" t="n">
        <v>3.01</v>
      </c>
      <c r="J61" s="89">
        <f>LET(dec, I61-INT(I61), IF(dec&lt;0.1, INT(I61), IF(dec&lt;=0.7, INT(I61)+0.5, INT(I61)+1)))</f>
        <v/>
      </c>
      <c r="K61" s="116" t="n">
        <v>46232</v>
      </c>
      <c r="L61" s="38" t="inlineStr">
        <is>
          <t>KARIM</t>
        </is>
      </c>
      <c r="M61" s="38" t="n"/>
      <c r="N61" s="89" t="n"/>
    </row>
    <row r="62">
      <c r="A62" s="96" t="inlineStr">
        <is>
          <t>7668357177988647700</t>
        </is>
      </c>
      <c r="B62" s="89" t="inlineStr">
        <is>
          <t>reina_beautyy</t>
        </is>
      </c>
      <c r="C62" s="89" t="inlineStr">
        <is>
          <t>MX</t>
        </is>
      </c>
      <c r="D62" s="114" t="n">
        <v>1820.1</v>
      </c>
      <c r="E62" s="40">
        <f>D62/1.16</f>
        <v/>
      </c>
      <c r="F62" s="114">
        <f>D62/J62</f>
        <v/>
      </c>
      <c r="G62" s="40">
        <f>F62/1.16</f>
        <v/>
      </c>
      <c r="H62" s="114" t="n">
        <v>0</v>
      </c>
      <c r="I62" s="115" t="n">
        <v>3.01</v>
      </c>
      <c r="J62" s="89">
        <f>LET(dec, I62-INT(I62), IF(dec&lt;0.1, INT(I62), IF(dec&lt;=0.7, INT(I62)+0.5, INT(I62)+1)))</f>
        <v/>
      </c>
      <c r="K62" s="116" t="n">
        <v>46233</v>
      </c>
      <c r="L62" s="38" t="inlineStr">
        <is>
          <t>KARIM</t>
        </is>
      </c>
      <c r="M62" s="38" t="n"/>
      <c r="N62" s="89" t="n"/>
    </row>
    <row r="63">
      <c r="A63" s="96" t="inlineStr">
        <is>
          <t>7668723211064838930</t>
        </is>
      </c>
      <c r="B63" s="89" t="inlineStr">
        <is>
          <t>reina_beautyy</t>
        </is>
      </c>
      <c r="C63" s="89" t="inlineStr">
        <is>
          <t>MX</t>
        </is>
      </c>
      <c r="D63" s="114" t="n">
        <v>1747.2</v>
      </c>
      <c r="E63" s="40">
        <f>D63/1.16</f>
        <v/>
      </c>
      <c r="F63" s="114">
        <f>D63/J63</f>
        <v/>
      </c>
      <c r="G63" s="40">
        <f>F63/1.16</f>
        <v/>
      </c>
      <c r="H63" s="114" t="n">
        <v>0</v>
      </c>
      <c r="I63" s="115" t="n">
        <v>3.95</v>
      </c>
      <c r="J63" s="89">
        <f>LET(dec, I63-INT(I63), IF(dec&lt;0.1, INT(I63), IF(dec&lt;=0.7, INT(I63)+0.5, INT(I63)+1)))</f>
        <v/>
      </c>
      <c r="K63" s="116" t="n">
        <v>46234</v>
      </c>
      <c r="L63" s="38" t="inlineStr">
        <is>
          <t>KARIM</t>
        </is>
      </c>
      <c r="M63" s="38" t="n"/>
      <c r="N63" s="89" t="n"/>
    </row>
    <row r="64">
      <c r="A64" s="96" t="inlineStr">
        <is>
          <t>7669840402522458898</t>
        </is>
      </c>
      <c r="B64" s="89" t="inlineStr">
        <is>
          <t>reina_beautyy</t>
        </is>
      </c>
      <c r="C64" s="89" t="inlineStr">
        <is>
          <t>MX</t>
        </is>
      </c>
      <c r="D64" s="114" t="n">
        <v>317.93</v>
      </c>
      <c r="E64" s="40">
        <f>D64/1.16</f>
        <v/>
      </c>
      <c r="F64" s="114">
        <f>D64/J64</f>
        <v/>
      </c>
      <c r="G64" s="40">
        <f>F64/1.16</f>
        <v/>
      </c>
      <c r="H64" s="114" t="n">
        <v>0</v>
      </c>
      <c r="I64" s="115" t="n">
        <v>3.01</v>
      </c>
      <c r="J64" s="89">
        <f>LET(dec, I64-INT(I64), IF(dec&lt;0.1, INT(I64), IF(dec&lt;=0.7, INT(I64)+0.5, INT(I64)+1)))</f>
        <v/>
      </c>
      <c r="K64" s="116" t="n">
        <v>46237</v>
      </c>
      <c r="L64" s="38" t="inlineStr">
        <is>
          <t>KARIM</t>
        </is>
      </c>
      <c r="M64" s="38" t="n"/>
      <c r="N64" s="89" t="n"/>
    </row>
    <row r="65">
      <c r="A65" s="96" t="inlineStr">
        <is>
          <t>7670275974709840648</t>
        </is>
      </c>
      <c r="B65" s="89" t="inlineStr">
        <is>
          <t>reina_beautyy</t>
        </is>
      </c>
      <c r="C65" s="89" t="inlineStr">
        <is>
          <t>MX</t>
        </is>
      </c>
      <c r="D65" s="114" t="n">
        <v>4414.97</v>
      </c>
      <c r="E65" s="40">
        <f>D65/1.16</f>
        <v/>
      </c>
      <c r="F65" s="114">
        <f>D65/J65</f>
        <v/>
      </c>
      <c r="G65" s="40">
        <f>F65/1.16</f>
        <v/>
      </c>
      <c r="H65" s="114" t="n">
        <v>0</v>
      </c>
      <c r="I65" s="115" t="n">
        <v>3.69</v>
      </c>
      <c r="J65" s="89">
        <f>LET(dec, I65-INT(I65), IF(dec&lt;0.1, INT(I65), IF(dec&lt;=0.7, INT(I65)+0.5, INT(I65)+1)))</f>
        <v/>
      </c>
      <c r="K65" s="116" t="n">
        <v>46238</v>
      </c>
      <c r="L65" s="38" t="inlineStr">
        <is>
          <t>KARIM</t>
        </is>
      </c>
      <c r="M65" s="38" t="n"/>
      <c r="N65" s="89" t="n"/>
    </row>
    <row r="66">
      <c r="A66" s="96" t="inlineStr">
        <is>
          <t>7670640044482923282</t>
        </is>
      </c>
      <c r="B66" s="89" t="inlineStr">
        <is>
          <t>reina_beautyy</t>
        </is>
      </c>
      <c r="C66" s="89" t="inlineStr">
        <is>
          <t>MX</t>
        </is>
      </c>
      <c r="D66" s="114" t="n">
        <v>1114.89</v>
      </c>
      <c r="E66" s="40">
        <f>D66/1.16</f>
        <v/>
      </c>
      <c r="F66" s="114">
        <f>D66/J66</f>
        <v/>
      </c>
      <c r="G66" s="40">
        <f>F66/1.16</f>
        <v/>
      </c>
      <c r="H66" s="114" t="n">
        <v>0</v>
      </c>
      <c r="I66" s="115" t="n">
        <v>3.98</v>
      </c>
      <c r="J66" s="89">
        <f>LET(dec, I66-INT(I66), IF(dec&lt;0.1, INT(I66), IF(dec&lt;=0.7, INT(I66)+0.5, INT(I66)+1)))</f>
        <v/>
      </c>
      <c r="K66" s="116" t="n">
        <v>46239</v>
      </c>
      <c r="L66" s="38" t="inlineStr">
        <is>
          <t>KARIM</t>
        </is>
      </c>
      <c r="M66" s="38" t="n"/>
      <c r="N66" s="89" t="n"/>
    </row>
    <row r="67">
      <c r="A67" s="96" t="inlineStr">
        <is>
          <t>7671045075590122247</t>
        </is>
      </c>
      <c r="B67" s="89" t="inlineStr">
        <is>
          <t>reina_beautyy</t>
        </is>
      </c>
      <c r="C67" s="89" t="inlineStr">
        <is>
          <t>MX</t>
        </is>
      </c>
      <c r="D67" s="114" t="n">
        <v>1526.21</v>
      </c>
      <c r="E67" s="40">
        <f>D67/1.16</f>
        <v/>
      </c>
      <c r="F67" s="114">
        <f>D67/J67</f>
        <v/>
      </c>
      <c r="G67" s="40">
        <f>F67/1.16</f>
        <v/>
      </c>
      <c r="H67" s="114" t="n">
        <v>0</v>
      </c>
      <c r="I67" s="115" t="n">
        <v>3.01</v>
      </c>
      <c r="J67" s="89">
        <f>LET(dec, I67-INT(I67), IF(dec&lt;0.1, INT(I67), IF(dec&lt;=0.7, INT(I67)+0.5, INT(I67)+1)))</f>
        <v/>
      </c>
      <c r="K67" s="116" t="n">
        <v>46240</v>
      </c>
      <c r="L67" s="38" t="inlineStr">
        <is>
          <t>KARIM</t>
        </is>
      </c>
      <c r="M67" s="38" t="n"/>
      <c r="N67" s="89" t="n"/>
    </row>
    <row r="68">
      <c r="A68" s="96" t="inlineStr">
        <is>
          <t>7671380842938141461</t>
        </is>
      </c>
      <c r="B68" s="89" t="inlineStr">
        <is>
          <t>reina_beautyy</t>
        </is>
      </c>
      <c r="C68" s="89" t="inlineStr">
        <is>
          <t>MX</t>
        </is>
      </c>
      <c r="D68" s="114" t="n">
        <v>2308.09</v>
      </c>
      <c r="E68" s="40">
        <f>D68/1.16</f>
        <v/>
      </c>
      <c r="F68" s="114">
        <f>D68/J68</f>
        <v/>
      </c>
      <c r="G68" s="40">
        <f>F68/1.16</f>
        <v/>
      </c>
      <c r="H68" s="114" t="n">
        <v>0</v>
      </c>
      <c r="I68" s="115" t="n">
        <v>4.08</v>
      </c>
      <c r="J68" s="89">
        <f>LET(dec, I68-INT(I68), IF(dec&lt;0.1, INT(I68), IF(dec&lt;=0.7, INT(I68)+0.5, INT(I68)+1)))</f>
        <v/>
      </c>
      <c r="K68" s="116" t="n">
        <v>46241</v>
      </c>
      <c r="L68" s="38" t="inlineStr">
        <is>
          <t>KARIM</t>
        </is>
      </c>
      <c r="M68" s="38" t="n"/>
      <c r="N68" s="89" t="n"/>
    </row>
    <row r="69">
      <c r="A69" s="96" t="inlineStr">
        <is>
          <t>7672494984611941128</t>
        </is>
      </c>
      <c r="B69" s="89" t="inlineStr">
        <is>
          <t>reina_beautyy</t>
        </is>
      </c>
      <c r="C69" s="89" t="inlineStr">
        <is>
          <t>MX</t>
        </is>
      </c>
      <c r="D69" s="114" t="n">
        <v>1394.15</v>
      </c>
      <c r="E69" s="40">
        <f>D69/1.16</f>
        <v/>
      </c>
      <c r="F69" s="114">
        <f>D69/J69</f>
        <v/>
      </c>
      <c r="G69" s="40">
        <f>F69/1.16</f>
        <v/>
      </c>
      <c r="H69" s="114" t="n">
        <v>0</v>
      </c>
      <c r="I69" s="115" t="n">
        <v>4.01</v>
      </c>
      <c r="J69" s="89">
        <f>LET(dec, I69-INT(I69), IF(dec&lt;0.1, INT(I69), IF(dec&lt;=0.7, INT(I69)+0.5, INT(I69)+1)))</f>
        <v/>
      </c>
      <c r="K69" s="116" t="n">
        <v>46244</v>
      </c>
      <c r="L69" s="38" t="inlineStr">
        <is>
          <t>KARIM</t>
        </is>
      </c>
      <c r="M69" s="38" t="n"/>
      <c r="N69" s="89" t="n"/>
    </row>
    <row r="70">
      <c r="A70" s="96" t="inlineStr">
        <is>
          <t>7673252688873917205</t>
        </is>
      </c>
      <c r="B70" s="89" t="inlineStr">
        <is>
          <t>reina_beautyy</t>
        </is>
      </c>
      <c r="C70" s="89" t="inlineStr">
        <is>
          <t>MX</t>
        </is>
      </c>
      <c r="D70" s="114" t="n">
        <v>5750.91</v>
      </c>
      <c r="E70" s="40">
        <f>D70/1.16</f>
        <v/>
      </c>
      <c r="F70" s="114">
        <f>D70/J70</f>
        <v/>
      </c>
      <c r="G70" s="40">
        <f>F70/1.16</f>
        <v/>
      </c>
      <c r="H70" s="114" t="n">
        <v>0</v>
      </c>
      <c r="I70" s="115" t="n">
        <v>4.17</v>
      </c>
      <c r="J70" s="89">
        <f>LET(dec, I70-INT(I70), IF(dec&lt;0.1, INT(I70), IF(dec&lt;=0.7, INT(I70)+0.5, INT(I70)+1)))</f>
        <v/>
      </c>
      <c r="K70" s="116" t="n">
        <v>46246</v>
      </c>
      <c r="L70" s="38" t="inlineStr">
        <is>
          <t>KARIM</t>
        </is>
      </c>
      <c r="M70" s="38" t="n"/>
      <c r="N70" s="89" t="n"/>
    </row>
    <row r="71">
      <c r="A71" s="96" t="inlineStr">
        <is>
          <t>7673994179843853074</t>
        </is>
      </c>
      <c r="B71" s="89" t="inlineStr">
        <is>
          <t>reina_beautyy</t>
        </is>
      </c>
      <c r="C71" s="89" t="inlineStr">
        <is>
          <t>MX</t>
        </is>
      </c>
      <c r="D71" s="114" t="n">
        <v>1152.7</v>
      </c>
      <c r="E71" s="40">
        <f>D71/1.16</f>
        <v/>
      </c>
      <c r="F71" s="114">
        <f>D71/J71</f>
        <v/>
      </c>
      <c r="G71" s="40">
        <f>F71/1.16</f>
        <v/>
      </c>
      <c r="H71" s="114" t="n">
        <v>0</v>
      </c>
      <c r="I71" s="115" t="n">
        <v>4.09</v>
      </c>
      <c r="J71" s="89">
        <f>LET(dec, I71-INT(I71), IF(dec&lt;0.1, INT(I71), IF(dec&lt;=0.7, INT(I71)+0.5, INT(I71)+1)))</f>
        <v/>
      </c>
      <c r="K71" s="116" t="n">
        <v>46248</v>
      </c>
      <c r="L71" s="38" t="inlineStr">
        <is>
          <t>KARIM</t>
        </is>
      </c>
      <c r="M71" s="38" t="n"/>
      <c r="N71" s="89" t="n"/>
    </row>
    <row r="72">
      <c r="A72" s="96" t="inlineStr">
        <is>
          <t>7674721937005120277</t>
        </is>
      </c>
      <c r="B72" s="89" t="inlineStr">
        <is>
          <t>reina_beautyy</t>
        </is>
      </c>
      <c r="C72" s="89" t="inlineStr">
        <is>
          <t>MX</t>
        </is>
      </c>
      <c r="D72" s="114" t="n">
        <v>0</v>
      </c>
      <c r="E72" s="40">
        <f>D72/1.16</f>
        <v/>
      </c>
      <c r="F72" s="114">
        <f>D72/J72</f>
        <v/>
      </c>
      <c r="G72" s="40">
        <f>F72/1.16</f>
        <v/>
      </c>
      <c r="H72" s="114" t="n">
        <v>0</v>
      </c>
      <c r="I72" s="115" t="n">
        <v>0.11</v>
      </c>
      <c r="J72" s="89">
        <f>LET(dec, I72-INT(I72), IF(dec&lt;0.1, INT(I72), IF(dec&lt;=0.7, INT(I72)+0.5, INT(I72)+1)))</f>
        <v/>
      </c>
      <c r="K72" s="116" t="n">
        <v>46250</v>
      </c>
      <c r="L72" s="38" t="inlineStr">
        <is>
          <t>KARIM</t>
        </is>
      </c>
      <c r="M72" s="38" t="n"/>
      <c r="N72" s="89" t="n"/>
    </row>
    <row r="73">
      <c r="A73" s="96" t="inlineStr">
        <is>
          <t>7674724049708010261</t>
        </is>
      </c>
      <c r="B73" s="89" t="inlineStr">
        <is>
          <t>reina_beautyy</t>
        </is>
      </c>
      <c r="C73" s="89" t="inlineStr">
        <is>
          <t>MX</t>
        </is>
      </c>
      <c r="D73" s="114" t="n">
        <v>4713.86</v>
      </c>
      <c r="E73" s="40">
        <f>D73/1.16</f>
        <v/>
      </c>
      <c r="F73" s="114">
        <f>D73/J73</f>
        <v/>
      </c>
      <c r="G73" s="40">
        <f>F73/1.16</f>
        <v/>
      </c>
      <c r="H73" s="114" t="n">
        <v>0</v>
      </c>
      <c r="I73" s="115" t="n">
        <v>4.11</v>
      </c>
      <c r="J73" s="89">
        <f>LET(dec, I73-INT(I73), IF(dec&lt;0.1, INT(I73), IF(dec&lt;=0.7, INT(I73)+0.5, INT(I73)+1)))</f>
        <v/>
      </c>
      <c r="K73" s="116" t="n">
        <v>46250</v>
      </c>
      <c r="L73" s="38" t="inlineStr">
        <is>
          <t>KARIM</t>
        </is>
      </c>
      <c r="M73" s="38" t="n"/>
      <c r="N73" s="89" t="n"/>
    </row>
    <row r="74">
      <c r="A74" s="96" t="inlineStr">
        <is>
          <t>7675114716368997128</t>
        </is>
      </c>
      <c r="B74" s="89" t="inlineStr">
        <is>
          <t>reina_beautyy</t>
        </is>
      </c>
      <c r="C74" s="89" t="inlineStr">
        <is>
          <t>MX</t>
        </is>
      </c>
      <c r="D74" s="114" t="n">
        <v>1855.89</v>
      </c>
      <c r="E74" s="40">
        <f>D74/1.16</f>
        <v/>
      </c>
      <c r="F74" s="114">
        <f>D74/J74</f>
        <v/>
      </c>
      <c r="G74" s="40">
        <f>F74/1.16</f>
        <v/>
      </c>
      <c r="H74" s="114" t="n">
        <v>0</v>
      </c>
      <c r="I74" s="115" t="n">
        <v>4.02</v>
      </c>
      <c r="J74" s="89">
        <f>LET(dec, I74-INT(I74), IF(dec&lt;0.1, INT(I74), IF(dec&lt;=0.7, INT(I74)+0.5, INT(I74)+1)))</f>
        <v/>
      </c>
      <c r="K74" s="116" t="n">
        <v>46251</v>
      </c>
      <c r="L74" s="38" t="inlineStr">
        <is>
          <t>KARIM</t>
        </is>
      </c>
      <c r="M74" s="38" t="n"/>
      <c r="N74" s="89" t="n"/>
    </row>
    <row r="75">
      <c r="K75" s="84" t="n"/>
    </row>
    <row r="76">
      <c r="K76" s="84" t="n"/>
    </row>
    <row r="77">
      <c r="K77" s="84" t="n"/>
    </row>
    <row r="78">
      <c r="K78" s="84" t="n"/>
    </row>
    <row r="79">
      <c r="K79" s="84" t="n"/>
    </row>
    <row r="80">
      <c r="K80" s="84" t="n"/>
    </row>
    <row r="81">
      <c r="K81" s="84" t="n"/>
    </row>
    <row r="82">
      <c r="K82" s="84" t="n"/>
    </row>
    <row r="83">
      <c r="K83" s="84" t="n"/>
    </row>
    <row r="84">
      <c r="K84" s="84" t="n"/>
    </row>
    <row r="85">
      <c r="K85" s="84" t="n"/>
    </row>
    <row r="86">
      <c r="K86" s="84" t="n"/>
    </row>
    <row r="87">
      <c r="K87" s="84" t="n"/>
    </row>
    <row r="88">
      <c r="K88" s="84" t="n"/>
    </row>
    <row r="89">
      <c r="K89" s="84" t="n"/>
    </row>
    <row r="90">
      <c r="K90" s="84" t="n"/>
    </row>
    <row r="91">
      <c r="K91" s="84" t="n"/>
    </row>
    <row r="92">
      <c r="K92" s="84" t="n"/>
    </row>
    <row r="93">
      <c r="K93" s="84" t="n"/>
    </row>
    <row r="94">
      <c r="K94" s="84" t="n"/>
    </row>
    <row r="95">
      <c r="K95" s="84" t="n"/>
    </row>
    <row r="96">
      <c r="K96" s="84" t="n"/>
    </row>
    <row r="97">
      <c r="K97" s="84" t="n"/>
    </row>
    <row r="98">
      <c r="K98" s="84" t="n"/>
    </row>
    <row r="99">
      <c r="K99" s="84" t="n"/>
    </row>
    <row r="100">
      <c r="K100" s="84" t="n"/>
    </row>
    <row r="101">
      <c r="K101" s="84" t="n"/>
    </row>
    <row r="102">
      <c r="K102" s="84" t="n"/>
    </row>
    <row r="103">
      <c r="K103" s="84" t="n"/>
    </row>
    <row r="104">
      <c r="K104" s="84" t="n"/>
    </row>
    <row r="105">
      <c r="K105" s="84" t="n"/>
    </row>
    <row r="106">
      <c r="K106" s="84" t="n"/>
    </row>
    <row r="107">
      <c r="K107" s="84" t="n"/>
    </row>
    <row r="108">
      <c r="K108" s="84" t="n"/>
    </row>
    <row r="109">
      <c r="K109" s="84" t="n"/>
    </row>
    <row r="110">
      <c r="K110" s="84" t="n"/>
    </row>
    <row r="111">
      <c r="K111" s="84" t="n"/>
    </row>
    <row r="112">
      <c r="K112" s="84" t="n"/>
    </row>
    <row r="113">
      <c r="K113" s="84" t="n"/>
    </row>
    <row r="114">
      <c r="K114" s="84" t="n"/>
    </row>
    <row r="115">
      <c r="K115" s="84" t="n"/>
    </row>
    <row r="116">
      <c r="K116" s="84" t="n"/>
    </row>
    <row r="117">
      <c r="K117" s="84" t="n"/>
    </row>
    <row r="118">
      <c r="K118" s="84" t="n"/>
    </row>
    <row r="119">
      <c r="K119" s="84" t="n"/>
    </row>
    <row r="120">
      <c r="K120" s="84" t="n"/>
    </row>
    <row r="121">
      <c r="K121" s="84" t="n"/>
    </row>
    <row r="122">
      <c r="K122" s="84" t="n"/>
    </row>
    <row r="123">
      <c r="K123" s="84" t="n"/>
    </row>
    <row r="124">
      <c r="K124" s="84" t="n"/>
    </row>
    <row r="125">
      <c r="K125" s="84" t="n"/>
    </row>
    <row r="126">
      <c r="K126" s="84" t="n"/>
    </row>
    <row r="127">
      <c r="K127" s="84" t="n"/>
    </row>
    <row r="128">
      <c r="K128" s="84" t="n"/>
    </row>
    <row r="129">
      <c r="K129" s="84" t="n"/>
    </row>
    <row r="130">
      <c r="K130" s="84" t="n"/>
    </row>
    <row r="131">
      <c r="K131" s="84" t="n"/>
    </row>
    <row r="132">
      <c r="K132" s="84" t="n"/>
    </row>
    <row r="133">
      <c r="K133" s="84" t="n"/>
    </row>
    <row r="134">
      <c r="K134" s="84" t="n"/>
    </row>
    <row r="135">
      <c r="K135" s="84" t="n"/>
    </row>
    <row r="136">
      <c r="K136" s="84" t="n"/>
    </row>
    <row r="137">
      <c r="K137" s="84" t="n"/>
    </row>
    <row r="138">
      <c r="K138" s="84" t="n"/>
    </row>
    <row r="139">
      <c r="K139" s="84" t="n"/>
    </row>
    <row r="140">
      <c r="K140" s="84" t="n"/>
    </row>
    <row r="141">
      <c r="K141" s="84" t="n"/>
    </row>
    <row r="142">
      <c r="K142" s="84" t="n"/>
    </row>
    <row r="143">
      <c r="K143" s="84" t="n"/>
    </row>
    <row r="144">
      <c r="K144" s="84" t="n"/>
    </row>
    <row r="145">
      <c r="K145" s="84" t="n"/>
    </row>
    <row r="146">
      <c r="K146" s="84" t="n"/>
    </row>
    <row r="147">
      <c r="K147" s="84" t="n"/>
    </row>
    <row r="148">
      <c r="K148" s="84" t="n"/>
    </row>
    <row r="149">
      <c r="K149" s="84" t="n"/>
    </row>
    <row r="150">
      <c r="K150" s="84" t="n"/>
    </row>
    <row r="151">
      <c r="K151" s="84" t="n"/>
    </row>
    <row r="152">
      <c r="K152" s="84" t="n"/>
    </row>
    <row r="153">
      <c r="K153" s="84" t="n"/>
    </row>
    <row r="154">
      <c r="K154" s="84" t="n"/>
    </row>
    <row r="155">
      <c r="K155" s="84" t="n"/>
    </row>
    <row r="156">
      <c r="K156" s="84" t="n"/>
    </row>
    <row r="157">
      <c r="K157" s="84" t="n"/>
    </row>
    <row r="158">
      <c r="K158" s="84" t="n"/>
    </row>
    <row r="159">
      <c r="K159" s="84" t="n"/>
    </row>
    <row r="160">
      <c r="K160" s="84" t="n"/>
    </row>
    <row r="161">
      <c r="K161" s="84" t="n"/>
    </row>
    <row r="162">
      <c r="K162" s="84" t="n"/>
    </row>
    <row r="163">
      <c r="K163" s="84" t="n"/>
    </row>
    <row r="164">
      <c r="K164" s="84" t="n"/>
    </row>
    <row r="165">
      <c r="K165" s="84" t="n"/>
    </row>
    <row r="166">
      <c r="K166" s="84" t="n"/>
    </row>
    <row r="167">
      <c r="K167" s="84" t="n"/>
    </row>
    <row r="168">
      <c r="K168" s="84" t="n"/>
    </row>
    <row r="169">
      <c r="K169" s="84" t="n"/>
    </row>
    <row r="170">
      <c r="K170" s="84" t="n"/>
    </row>
    <row r="171">
      <c r="K171" s="84" t="n"/>
    </row>
    <row r="172">
      <c r="K172" s="84" t="n"/>
    </row>
    <row r="173">
      <c r="K173" s="84" t="n"/>
    </row>
    <row r="174">
      <c r="K174" s="84" t="n"/>
    </row>
    <row r="175">
      <c r="K175" s="84" t="n"/>
    </row>
    <row r="176">
      <c r="K176" s="84" t="n"/>
    </row>
    <row r="177">
      <c r="K177" s="84" t="n"/>
    </row>
    <row r="178">
      <c r="K178" s="84" t="n"/>
    </row>
    <row r="179">
      <c r="K179" s="84" t="n"/>
    </row>
    <row r="180">
      <c r="K180" s="84" t="n"/>
    </row>
    <row r="181">
      <c r="K181" s="84" t="n"/>
    </row>
    <row r="182">
      <c r="K182" s="84" t="n"/>
    </row>
    <row r="183">
      <c r="K183" s="84" t="n"/>
    </row>
    <row r="184">
      <c r="K184" s="84" t="n"/>
    </row>
    <row r="185">
      <c r="K185" s="84" t="n"/>
    </row>
    <row r="186">
      <c r="K186" s="84" t="n"/>
    </row>
    <row r="187">
      <c r="K187" s="84" t="n"/>
    </row>
    <row r="188">
      <c r="K188" s="84" t="n"/>
    </row>
    <row r="189">
      <c r="K189" s="84" t="n"/>
    </row>
    <row r="190">
      <c r="K190" s="84" t="n"/>
    </row>
    <row r="191">
      <c r="K191" s="84" t="n"/>
    </row>
    <row r="192">
      <c r="K192" s="84" t="n"/>
    </row>
    <row r="193">
      <c r="K193" s="84" t="n"/>
    </row>
    <row r="194">
      <c r="K194" s="84" t="n"/>
    </row>
    <row r="195">
      <c r="K195" s="84" t="n"/>
    </row>
    <row r="196">
      <c r="K196" s="84" t="n"/>
    </row>
    <row r="197">
      <c r="K197" s="84" t="n"/>
    </row>
    <row r="198">
      <c r="K198" s="84" t="n"/>
    </row>
    <row r="199">
      <c r="K199" s="84" t="n"/>
    </row>
    <row r="200">
      <c r="K200" s="84" t="n"/>
    </row>
    <row r="201">
      <c r="K201" s="84" t="n"/>
    </row>
    <row r="202">
      <c r="K202" s="84" t="n"/>
    </row>
    <row r="203">
      <c r="K203" s="84" t="n"/>
    </row>
    <row r="204">
      <c r="K204" s="84" t="n"/>
    </row>
    <row r="205">
      <c r="K205" s="84" t="n"/>
    </row>
    <row r="206">
      <c r="K206" s="84" t="n"/>
    </row>
    <row r="207">
      <c r="K207" s="84" t="n"/>
    </row>
    <row r="208">
      <c r="K208" s="84" t="n"/>
    </row>
    <row r="209">
      <c r="K209" s="84" t="n"/>
    </row>
    <row r="210">
      <c r="K210" s="84" t="n"/>
    </row>
    <row r="211">
      <c r="K211" s="84" t="n"/>
    </row>
    <row r="212">
      <c r="K212" s="84" t="n"/>
    </row>
    <row r="213">
      <c r="K213" s="84" t="n"/>
    </row>
    <row r="214">
      <c r="K214" s="84" t="n"/>
    </row>
    <row r="215">
      <c r="K215" s="84" t="n"/>
    </row>
    <row r="216">
      <c r="K216" s="84" t="n"/>
    </row>
    <row r="217">
      <c r="K217" s="84" t="n"/>
    </row>
    <row r="218">
      <c r="K218" s="84" t="n"/>
    </row>
    <row r="219">
      <c r="K219" s="84" t="n"/>
    </row>
    <row r="220">
      <c r="K220" s="84" t="n"/>
    </row>
    <row r="221">
      <c r="K221" s="84" t="n"/>
    </row>
    <row r="222">
      <c r="K222" s="84" t="n"/>
    </row>
    <row r="223">
      <c r="K223" s="84" t="n"/>
    </row>
    <row r="224">
      <c r="K224" s="84" t="n"/>
    </row>
    <row r="225">
      <c r="K225" s="84" t="n"/>
    </row>
    <row r="226">
      <c r="K226" s="84" t="n"/>
    </row>
    <row r="227">
      <c r="K227" s="84" t="n"/>
    </row>
    <row r="228">
      <c r="K228" s="84" t="n"/>
    </row>
    <row r="229">
      <c r="K229" s="84" t="n"/>
    </row>
    <row r="230">
      <c r="K230" s="84" t="n"/>
    </row>
    <row r="231">
      <c r="K231" s="84" t="n"/>
    </row>
    <row r="232">
      <c r="K232" s="84" t="n"/>
    </row>
    <row r="233">
      <c r="K233" s="84" t="n"/>
    </row>
    <row r="234">
      <c r="K234" s="84" t="n"/>
    </row>
    <row r="235">
      <c r="K235" s="84" t="n"/>
    </row>
    <row r="236">
      <c r="K236" s="84" t="n"/>
    </row>
    <row r="237">
      <c r="K237" s="84" t="n"/>
    </row>
    <row r="238">
      <c r="K238" s="84" t="n"/>
    </row>
    <row r="239">
      <c r="K239" s="84" t="n"/>
    </row>
    <row r="240">
      <c r="K240" s="84" t="n"/>
    </row>
    <row r="241">
      <c r="K241" s="84" t="n"/>
    </row>
    <row r="242">
      <c r="K242" s="84" t="n"/>
    </row>
    <row r="243">
      <c r="K243" s="84" t="n"/>
    </row>
    <row r="244">
      <c r="K244" s="84" t="n"/>
    </row>
    <row r="245">
      <c r="K245" s="84" t="n"/>
    </row>
    <row r="246">
      <c r="K246" s="84" t="n"/>
    </row>
    <row r="247">
      <c r="K247" s="84" t="n"/>
    </row>
    <row r="248">
      <c r="K248" s="84" t="n"/>
    </row>
    <row r="249">
      <c r="K249" s="84" t="n"/>
    </row>
    <row r="250">
      <c r="K250" s="84" t="n"/>
    </row>
    <row r="251">
      <c r="K251" s="84" t="n"/>
    </row>
    <row r="252">
      <c r="K252" s="84" t="n"/>
    </row>
    <row r="253">
      <c r="K253" s="84" t="n"/>
    </row>
    <row r="254">
      <c r="K254" s="84" t="n"/>
    </row>
    <row r="255">
      <c r="K255" s="84" t="n"/>
    </row>
    <row r="256">
      <c r="K256" s="84" t="n"/>
    </row>
    <row r="257">
      <c r="K257" s="84" t="n"/>
    </row>
    <row r="258">
      <c r="K258" s="84" t="n"/>
    </row>
    <row r="259">
      <c r="K259" s="84" t="n"/>
    </row>
    <row r="260">
      <c r="K260" s="84" t="n"/>
    </row>
    <row r="261">
      <c r="K261" s="84" t="n"/>
    </row>
    <row r="262">
      <c r="K262" s="84" t="n"/>
    </row>
    <row r="263">
      <c r="K263" s="84" t="n"/>
    </row>
    <row r="264">
      <c r="K264" s="84" t="n"/>
    </row>
    <row r="265">
      <c r="K265" s="84" t="n"/>
    </row>
    <row r="266">
      <c r="K266" s="84" t="n"/>
    </row>
    <row r="267">
      <c r="K267" s="84" t="n"/>
    </row>
    <row r="268">
      <c r="K268" s="84" t="n"/>
    </row>
    <row r="269">
      <c r="K269" s="84" t="n"/>
    </row>
    <row r="270">
      <c r="K270" s="84" t="n"/>
    </row>
    <row r="271">
      <c r="K271" s="84" t="n"/>
    </row>
    <row r="272">
      <c r="K272" s="84" t="n"/>
    </row>
    <row r="273">
      <c r="K273" s="84" t="n"/>
    </row>
    <row r="274">
      <c r="K274" s="84" t="n"/>
    </row>
    <row r="275">
      <c r="K275" s="84" t="n"/>
    </row>
    <row r="276">
      <c r="K276" s="84" t="n"/>
    </row>
    <row r="277">
      <c r="K277" s="84" t="n"/>
    </row>
    <row r="278">
      <c r="K278" s="84" t="n"/>
    </row>
    <row r="279">
      <c r="K279" s="84" t="n"/>
    </row>
    <row r="280">
      <c r="K280" s="84" t="n"/>
    </row>
    <row r="281">
      <c r="K281" s="84" t="n"/>
    </row>
    <row r="282">
      <c r="K282" s="84" t="n"/>
    </row>
    <row r="283">
      <c r="K283" s="84" t="n"/>
    </row>
    <row r="284">
      <c r="K284" s="84" t="n"/>
    </row>
    <row r="285">
      <c r="K285" s="84" t="n"/>
    </row>
    <row r="286">
      <c r="K286" s="84" t="n"/>
    </row>
    <row r="287">
      <c r="K287" s="84" t="n"/>
    </row>
    <row r="288">
      <c r="K288" s="84" t="n"/>
    </row>
    <row r="289">
      <c r="K289" s="84" t="n"/>
    </row>
    <row r="290">
      <c r="K290" s="84" t="n"/>
    </row>
    <row r="291">
      <c r="K291" s="84" t="n"/>
    </row>
    <row r="292">
      <c r="K292" s="84" t="n"/>
    </row>
    <row r="293">
      <c r="K293" s="84" t="n"/>
    </row>
    <row r="294">
      <c r="K294" s="84" t="n"/>
    </row>
    <row r="295">
      <c r="K295" s="84" t="n"/>
    </row>
    <row r="296">
      <c r="K296" s="84" t="n"/>
    </row>
    <row r="297">
      <c r="K297" s="84" t="n"/>
    </row>
    <row r="298">
      <c r="K298" s="84" t="n"/>
    </row>
    <row r="299">
      <c r="K299" s="84" t="n"/>
    </row>
    <row r="300">
      <c r="K300" s="84" t="n"/>
    </row>
    <row r="301">
      <c r="K301" s="84" t="n"/>
    </row>
    <row r="302">
      <c r="K302" s="84" t="n"/>
    </row>
    <row r="303">
      <c r="K303" s="84" t="n"/>
    </row>
    <row r="304">
      <c r="K304" s="84" t="n"/>
    </row>
    <row r="305">
      <c r="K305" s="84" t="n"/>
    </row>
    <row r="306">
      <c r="K306" s="84" t="n"/>
    </row>
    <row r="307">
      <c r="K307" s="84" t="n"/>
    </row>
    <row r="308">
      <c r="K308" s="84" t="n"/>
    </row>
    <row r="309">
      <c r="K309" s="84" t="n"/>
    </row>
    <row r="310">
      <c r="K310" s="84" t="n"/>
    </row>
    <row r="311">
      <c r="K311" s="84" t="n"/>
    </row>
    <row r="312">
      <c r="K312" s="84" t="n"/>
    </row>
    <row r="313">
      <c r="K313" s="84" t="n"/>
    </row>
    <row r="314">
      <c r="K314" s="84" t="n"/>
    </row>
    <row r="315">
      <c r="K315" s="84" t="n"/>
    </row>
    <row r="316">
      <c r="K316" s="84" t="n"/>
    </row>
    <row r="317">
      <c r="K317" s="84" t="n"/>
    </row>
    <row r="318">
      <c r="K318" s="84" t="n"/>
    </row>
    <row r="319">
      <c r="K319" s="84" t="n"/>
    </row>
    <row r="320">
      <c r="K320" s="84" t="n"/>
    </row>
    <row r="321">
      <c r="K321" s="84" t="n"/>
    </row>
    <row r="322">
      <c r="K322" s="84" t="n"/>
    </row>
    <row r="323">
      <c r="K323" s="84" t="n"/>
    </row>
    <row r="324">
      <c r="K324" s="84" t="n"/>
    </row>
    <row r="325">
      <c r="K325" s="84" t="n"/>
    </row>
    <row r="326">
      <c r="K326" s="84" t="n"/>
    </row>
    <row r="327">
      <c r="K327" s="84" t="n"/>
    </row>
    <row r="328">
      <c r="K328" s="84" t="n"/>
    </row>
    <row r="329">
      <c r="K329" s="84" t="n"/>
    </row>
    <row r="330">
      <c r="K330" s="84" t="n"/>
    </row>
    <row r="331">
      <c r="K331" s="84" t="n"/>
    </row>
    <row r="332">
      <c r="K332" s="84" t="n"/>
    </row>
    <row r="333">
      <c r="K333" s="84" t="n"/>
    </row>
    <row r="334">
      <c r="K334" s="84" t="n"/>
    </row>
    <row r="335">
      <c r="K335" s="84" t="n"/>
    </row>
    <row r="336">
      <c r="K336" s="84" t="n"/>
    </row>
    <row r="337">
      <c r="K337" s="84" t="n"/>
    </row>
    <row r="338">
      <c r="K338" s="84" t="n"/>
    </row>
    <row r="339">
      <c r="K339" s="84" t="n"/>
    </row>
    <row r="340">
      <c r="K340" s="84" t="n"/>
    </row>
    <row r="341">
      <c r="K341" s="84" t="n"/>
    </row>
    <row r="342">
      <c r="K342" s="84" t="n"/>
    </row>
    <row r="343">
      <c r="K343" s="84" t="n"/>
    </row>
    <row r="344">
      <c r="K344" s="84" t="n"/>
    </row>
    <row r="345">
      <c r="K345" s="84" t="n"/>
    </row>
    <row r="346">
      <c r="K346" s="84" t="n"/>
    </row>
    <row r="347">
      <c r="K347" s="84" t="n"/>
    </row>
    <row r="348">
      <c r="K348" s="84" t="n"/>
    </row>
    <row r="349">
      <c r="K349" s="84" t="n"/>
    </row>
    <row r="350">
      <c r="K350" s="84" t="n"/>
    </row>
    <row r="351">
      <c r="K351" s="84" t="n"/>
    </row>
    <row r="352">
      <c r="K352" s="84" t="n"/>
    </row>
    <row r="353">
      <c r="K353" s="84" t="n"/>
    </row>
    <row r="354">
      <c r="K354" s="84" t="n"/>
    </row>
    <row r="355">
      <c r="K355" s="84" t="n"/>
    </row>
    <row r="356">
      <c r="K356" s="84" t="n"/>
    </row>
    <row r="357">
      <c r="K357" s="84" t="n"/>
    </row>
    <row r="358">
      <c r="K358" s="84" t="n"/>
    </row>
    <row r="359">
      <c r="K359" s="84" t="n"/>
    </row>
    <row r="360">
      <c r="K360" s="84" t="n"/>
    </row>
    <row r="361">
      <c r="K361" s="84" t="n"/>
    </row>
    <row r="362">
      <c r="K362" s="84" t="n"/>
    </row>
    <row r="363">
      <c r="K363" s="84" t="n"/>
    </row>
    <row r="364">
      <c r="K364" s="84" t="n"/>
    </row>
    <row r="365">
      <c r="K365" s="84" t="n"/>
    </row>
    <row r="366">
      <c r="K366" s="84" t="n"/>
    </row>
    <row r="367">
      <c r="K367" s="84" t="n"/>
    </row>
    <row r="368">
      <c r="K368" s="84" t="n"/>
    </row>
    <row r="369">
      <c r="K369" s="84" t="n"/>
    </row>
    <row r="370">
      <c r="K370" s="84" t="n"/>
    </row>
    <row r="371">
      <c r="K371" s="84" t="n"/>
    </row>
    <row r="372">
      <c r="K372" s="84" t="n"/>
    </row>
    <row r="373">
      <c r="K373" s="84" t="n"/>
    </row>
    <row r="374">
      <c r="K374" s="84" t="n"/>
    </row>
    <row r="375">
      <c r="K375" s="84" t="n"/>
    </row>
    <row r="376">
      <c r="K376" s="84" t="n"/>
    </row>
    <row r="377">
      <c r="K377" s="84" t="n"/>
    </row>
    <row r="378">
      <c r="K378" s="84" t="n"/>
    </row>
    <row r="379">
      <c r="K379" s="84" t="n"/>
    </row>
    <row r="380">
      <c r="K380" s="84" t="n"/>
    </row>
    <row r="381">
      <c r="K381" s="84" t="n"/>
    </row>
    <row r="382">
      <c r="K382" s="84" t="n"/>
    </row>
    <row r="383">
      <c r="K383" s="84" t="n"/>
    </row>
    <row r="384">
      <c r="K384" s="84" t="n"/>
    </row>
    <row r="385">
      <c r="K385" s="84" t="n"/>
    </row>
    <row r="386">
      <c r="K386" s="84" t="n"/>
    </row>
    <row r="387">
      <c r="K387" s="84" t="n"/>
    </row>
    <row r="388">
      <c r="K388" s="84" t="n"/>
    </row>
    <row r="389">
      <c r="K389" s="84" t="n"/>
    </row>
    <row r="390">
      <c r="K390" s="84" t="n"/>
    </row>
    <row r="391">
      <c r="K391" s="84" t="n"/>
    </row>
    <row r="392">
      <c r="K392" s="84" t="n"/>
    </row>
    <row r="393">
      <c r="K393" s="84" t="n"/>
    </row>
    <row r="394">
      <c r="K394" s="84" t="n"/>
    </row>
    <row r="395">
      <c r="K395" s="84" t="n"/>
    </row>
    <row r="396">
      <c r="K396" s="84" t="n"/>
    </row>
    <row r="397">
      <c r="K397" s="84" t="n"/>
    </row>
    <row r="398">
      <c r="K398" s="84" t="n"/>
    </row>
    <row r="399">
      <c r="K399" s="84" t="n"/>
    </row>
    <row r="400">
      <c r="K400" s="84" t="n"/>
    </row>
    <row r="401">
      <c r="K401" s="84" t="n"/>
    </row>
    <row r="402">
      <c r="K402" s="84" t="n"/>
    </row>
    <row r="403">
      <c r="K403" s="84" t="n"/>
    </row>
    <row r="404">
      <c r="K404" s="84" t="n"/>
    </row>
    <row r="405">
      <c r="K405" s="84" t="n"/>
    </row>
    <row r="406">
      <c r="K406" s="84" t="n"/>
    </row>
    <row r="407">
      <c r="K407" s="84" t="n"/>
    </row>
    <row r="408">
      <c r="K408" s="84" t="n"/>
    </row>
    <row r="409">
      <c r="K409" s="84" t="n"/>
    </row>
    <row r="410">
      <c r="K410" s="84" t="n"/>
    </row>
    <row r="411">
      <c r="K411" s="84" t="n"/>
    </row>
    <row r="412">
      <c r="K412" s="84" t="n"/>
    </row>
    <row r="413">
      <c r="K413" s="84" t="n"/>
    </row>
    <row r="414">
      <c r="K414" s="84" t="n"/>
    </row>
    <row r="415">
      <c r="K415" s="84" t="n"/>
    </row>
    <row r="416">
      <c r="K416" s="84" t="n"/>
    </row>
    <row r="417">
      <c r="K417" s="84" t="n"/>
    </row>
    <row r="418">
      <c r="K418" s="84" t="n"/>
    </row>
    <row r="419">
      <c r="K419" s="84" t="n"/>
    </row>
    <row r="420">
      <c r="K420" s="84" t="n"/>
    </row>
    <row r="421">
      <c r="K421" s="84" t="n"/>
    </row>
    <row r="422">
      <c r="K422" s="84" t="n"/>
    </row>
    <row r="423">
      <c r="K423" s="84" t="n"/>
    </row>
    <row r="424">
      <c r="K424" s="84" t="n"/>
    </row>
    <row r="425">
      <c r="K425" s="84" t="n"/>
    </row>
    <row r="426">
      <c r="K426" s="84" t="n"/>
    </row>
    <row r="427">
      <c r="K427" s="84" t="n"/>
    </row>
    <row r="428">
      <c r="K428" s="84" t="n"/>
    </row>
    <row r="429">
      <c r="K429" s="84" t="n"/>
    </row>
    <row r="430">
      <c r="K430" s="84" t="n"/>
    </row>
    <row r="431">
      <c r="K431" s="84" t="n"/>
    </row>
    <row r="432">
      <c r="K432" s="84" t="n"/>
    </row>
    <row r="433">
      <c r="K433" s="84" t="n"/>
    </row>
    <row r="434">
      <c r="K434" s="84" t="n"/>
    </row>
    <row r="435">
      <c r="K435" s="84" t="n"/>
    </row>
    <row r="436">
      <c r="K436" s="84" t="n"/>
    </row>
    <row r="437">
      <c r="K437" s="84" t="n"/>
    </row>
    <row r="438">
      <c r="K438" s="84" t="n"/>
    </row>
    <row r="439">
      <c r="K439" s="84" t="n"/>
    </row>
    <row r="440">
      <c r="K440" s="84" t="n"/>
    </row>
    <row r="441">
      <c r="K441" s="84" t="n"/>
    </row>
    <row r="442">
      <c r="K442" s="84" t="n"/>
    </row>
    <row r="443">
      <c r="K443" s="84" t="n"/>
    </row>
    <row r="444">
      <c r="K444" s="84" t="n"/>
    </row>
    <row r="445">
      <c r="K445" s="84" t="n"/>
    </row>
    <row r="446">
      <c r="K446" s="84" t="n"/>
    </row>
    <row r="447">
      <c r="K447" s="84" t="n"/>
    </row>
    <row r="448">
      <c r="K448" s="84" t="n"/>
    </row>
    <row r="449">
      <c r="K449" s="84" t="n"/>
    </row>
    <row r="450">
      <c r="K450" s="84" t="n"/>
    </row>
    <row r="451">
      <c r="K451" s="84" t="n"/>
    </row>
    <row r="452">
      <c r="K452" s="84" t="n"/>
    </row>
    <row r="453">
      <c r="K453" s="84" t="n"/>
    </row>
    <row r="454">
      <c r="K454" s="84" t="n"/>
    </row>
    <row r="455">
      <c r="K455" s="84" t="n"/>
    </row>
    <row r="456">
      <c r="K456" s="84" t="n"/>
    </row>
    <row r="457">
      <c r="K457" s="84" t="n"/>
    </row>
    <row r="458">
      <c r="K458" s="84" t="n"/>
    </row>
    <row r="459">
      <c r="K459" s="84" t="n"/>
    </row>
    <row r="460">
      <c r="K460" s="84" t="n"/>
    </row>
    <row r="461">
      <c r="K461" s="84" t="n"/>
    </row>
    <row r="462">
      <c r="K462" s="84" t="n"/>
    </row>
    <row r="463">
      <c r="K463" s="84" t="n"/>
    </row>
    <row r="464">
      <c r="K464" s="84" t="n"/>
    </row>
    <row r="465">
      <c r="K465" s="84" t="n"/>
    </row>
    <row r="466">
      <c r="K466" s="84" t="n"/>
    </row>
    <row r="467">
      <c r="K467" s="84" t="n"/>
    </row>
    <row r="468">
      <c r="K468" s="84" t="n"/>
    </row>
    <row r="469">
      <c r="K469" s="84" t="n"/>
    </row>
    <row r="470">
      <c r="K470" s="84" t="n"/>
    </row>
    <row r="471">
      <c r="K471" s="84" t="n"/>
    </row>
    <row r="472">
      <c r="K472" s="84" t="n"/>
    </row>
    <row r="473">
      <c r="K473" s="84" t="n"/>
    </row>
    <row r="474">
      <c r="K474" s="84" t="n"/>
    </row>
    <row r="475">
      <c r="K475" s="84" t="n"/>
    </row>
    <row r="476">
      <c r="K476" s="84" t="n"/>
    </row>
    <row r="477">
      <c r="K477" s="84" t="n"/>
    </row>
    <row r="478">
      <c r="K478" s="84" t="n"/>
    </row>
    <row r="479">
      <c r="K479" s="84" t="n"/>
    </row>
    <row r="480">
      <c r="K480" s="84" t="n"/>
    </row>
    <row r="481">
      <c r="K481" s="84" t="n"/>
    </row>
    <row r="482">
      <c r="K482" s="84" t="n"/>
    </row>
    <row r="483">
      <c r="K483" s="84" t="n"/>
    </row>
    <row r="484">
      <c r="K484" s="84" t="n"/>
    </row>
    <row r="485">
      <c r="K485" s="84" t="n"/>
    </row>
    <row r="486">
      <c r="K486" s="84" t="n"/>
    </row>
    <row r="487">
      <c r="K487" s="84" t="n"/>
    </row>
    <row r="488">
      <c r="K488" s="84" t="n"/>
    </row>
    <row r="489">
      <c r="K489" s="84" t="n"/>
    </row>
    <row r="490">
      <c r="K490" s="84" t="n"/>
    </row>
    <row r="491">
      <c r="K491" s="84" t="n"/>
    </row>
    <row r="492">
      <c r="K492" s="84" t="n"/>
    </row>
    <row r="493">
      <c r="K493" s="84" t="n"/>
    </row>
    <row r="494">
      <c r="K494" s="84" t="n"/>
    </row>
    <row r="495">
      <c r="K495" s="84" t="n"/>
    </row>
    <row r="496">
      <c r="K496" s="84" t="n"/>
    </row>
    <row r="497">
      <c r="K497" s="84" t="n"/>
    </row>
    <row r="498">
      <c r="K498" s="84" t="n"/>
    </row>
    <row r="499">
      <c r="K499" s="84" t="n"/>
    </row>
    <row r="500">
      <c r="K500" s="84" t="n"/>
    </row>
    <row r="501">
      <c r="K501" s="84" t="n"/>
    </row>
    <row r="502">
      <c r="K502" s="84" t="n"/>
    </row>
    <row r="503">
      <c r="K503" s="84" t="n"/>
    </row>
    <row r="504">
      <c r="K504" s="84" t="n"/>
    </row>
    <row r="505">
      <c r="K505" s="84" t="n"/>
    </row>
    <row r="506">
      <c r="K506" s="84" t="n"/>
    </row>
    <row r="507">
      <c r="K507" s="84" t="n"/>
    </row>
    <row r="508">
      <c r="K508" s="84" t="n"/>
    </row>
    <row r="509">
      <c r="K509" s="84" t="n"/>
    </row>
    <row r="510">
      <c r="K510" s="84" t="n"/>
    </row>
    <row r="511">
      <c r="K511" s="84" t="n"/>
    </row>
    <row r="512">
      <c r="K512" s="84" t="n"/>
    </row>
    <row r="513">
      <c r="K513" s="84" t="n"/>
    </row>
    <row r="514">
      <c r="K514" s="84" t="n"/>
    </row>
    <row r="515">
      <c r="K515" s="84" t="n"/>
    </row>
    <row r="516">
      <c r="K516" s="84" t="n"/>
    </row>
    <row r="517">
      <c r="K517" s="84" t="n"/>
    </row>
    <row r="518">
      <c r="K518" s="84" t="n"/>
    </row>
    <row r="519">
      <c r="K519" s="84" t="n"/>
    </row>
    <row r="520">
      <c r="K520" s="84" t="n"/>
    </row>
    <row r="521">
      <c r="K521" s="84" t="n"/>
    </row>
    <row r="522">
      <c r="K522" s="84" t="n"/>
    </row>
    <row r="523">
      <c r="K523" s="84" t="n"/>
    </row>
    <row r="524">
      <c r="K524" s="84" t="n"/>
    </row>
    <row r="525">
      <c r="K525" s="84" t="n"/>
    </row>
    <row r="526">
      <c r="K526" s="84" t="n"/>
    </row>
    <row r="527">
      <c r="K527" s="84" t="n"/>
    </row>
    <row r="528">
      <c r="K528" s="84" t="n"/>
    </row>
    <row r="529">
      <c r="K529" s="84" t="n"/>
    </row>
    <row r="530">
      <c r="K530" s="84" t="n"/>
    </row>
    <row r="531">
      <c r="K531" s="84" t="n"/>
    </row>
    <row r="532">
      <c r="K532" s="84" t="n"/>
    </row>
    <row r="533">
      <c r="K533" s="84" t="n"/>
    </row>
    <row r="534">
      <c r="K534" s="84" t="n"/>
    </row>
    <row r="535">
      <c r="K535" s="84" t="n"/>
    </row>
    <row r="536">
      <c r="K536" s="84" t="n"/>
    </row>
    <row r="537">
      <c r="K537" s="84" t="n"/>
    </row>
    <row r="538">
      <c r="K538" s="84" t="n"/>
    </row>
    <row r="539">
      <c r="K539" s="84" t="n"/>
    </row>
    <row r="540">
      <c r="K540" s="84" t="n"/>
    </row>
    <row r="541">
      <c r="K541" s="84" t="n"/>
    </row>
    <row r="542">
      <c r="K542" s="84" t="n"/>
    </row>
    <row r="543">
      <c r="K543" s="84" t="n"/>
    </row>
    <row r="544">
      <c r="K544" s="84" t="n"/>
    </row>
    <row r="545">
      <c r="K545" s="84" t="n"/>
    </row>
    <row r="546">
      <c r="K546" s="84" t="n"/>
    </row>
    <row r="547">
      <c r="K547" s="84" t="n"/>
    </row>
    <row r="548">
      <c r="K548" s="84" t="n"/>
    </row>
    <row r="549">
      <c r="K549" s="84" t="n"/>
    </row>
    <row r="550">
      <c r="K550" s="84" t="n"/>
    </row>
    <row r="551">
      <c r="K551" s="84" t="n"/>
    </row>
    <row r="552">
      <c r="K552" s="84" t="n"/>
    </row>
    <row r="553">
      <c r="K553" s="84" t="n"/>
    </row>
    <row r="554">
      <c r="K554" s="84" t="n"/>
    </row>
    <row r="555">
      <c r="K555" s="84" t="n"/>
    </row>
    <row r="556">
      <c r="K556" s="84" t="n"/>
    </row>
    <row r="557">
      <c r="K557" s="84" t="n"/>
    </row>
    <row r="558">
      <c r="K558" s="84" t="n"/>
    </row>
    <row r="559">
      <c r="K559" s="84" t="n"/>
    </row>
    <row r="560">
      <c r="K560" s="84" t="n"/>
    </row>
    <row r="561">
      <c r="K561" s="84" t="n"/>
    </row>
    <row r="562">
      <c r="K562" s="84" t="n"/>
    </row>
    <row r="563">
      <c r="K563" s="84" t="n"/>
    </row>
    <row r="564">
      <c r="K564" s="84" t="n"/>
    </row>
    <row r="565">
      <c r="K565" s="84" t="n"/>
    </row>
    <row r="566">
      <c r="K566" s="84" t="n"/>
    </row>
    <row r="567">
      <c r="K567" s="84" t="n"/>
    </row>
    <row r="568">
      <c r="K568" s="84" t="n"/>
    </row>
    <row r="569">
      <c r="K569" s="84" t="n"/>
    </row>
    <row r="570">
      <c r="K570" s="84" t="n"/>
    </row>
    <row r="571">
      <c r="K571" s="84" t="n"/>
    </row>
    <row r="572">
      <c r="K572" s="84" t="n"/>
    </row>
    <row r="573">
      <c r="K573" s="84" t="n"/>
    </row>
    <row r="574">
      <c r="K574" s="84" t="n"/>
    </row>
    <row r="575">
      <c r="K575" s="84" t="n"/>
    </row>
    <row r="576">
      <c r="K576" s="84" t="n"/>
    </row>
    <row r="577">
      <c r="K577" s="84" t="n"/>
    </row>
    <row r="578">
      <c r="K578" s="84" t="n"/>
    </row>
    <row r="579">
      <c r="K579" s="84" t="n"/>
    </row>
    <row r="580">
      <c r="K580" s="84" t="n"/>
    </row>
    <row r="581">
      <c r="K581" s="84" t="n"/>
    </row>
    <row r="582">
      <c r="K582" s="84" t="n"/>
    </row>
    <row r="583">
      <c r="K583" s="84" t="n"/>
    </row>
    <row r="584">
      <c r="K584" s="84" t="n"/>
    </row>
    <row r="585">
      <c r="K585" s="84" t="n"/>
    </row>
    <row r="586">
      <c r="K586" s="84" t="n"/>
    </row>
    <row r="587">
      <c r="K587" s="84" t="n"/>
    </row>
    <row r="588">
      <c r="K588" s="84" t="n"/>
    </row>
    <row r="589">
      <c r="K589" s="84" t="n"/>
    </row>
    <row r="590">
      <c r="K590" s="84" t="n"/>
    </row>
    <row r="591">
      <c r="K591" s="84" t="n"/>
    </row>
    <row r="592">
      <c r="K592" s="84" t="n"/>
    </row>
    <row r="593">
      <c r="K593" s="84" t="n"/>
    </row>
    <row r="594">
      <c r="K594" s="84" t="n"/>
    </row>
    <row r="595">
      <c r="K595" s="84" t="n"/>
    </row>
    <row r="596">
      <c r="K596" s="84" t="n"/>
    </row>
    <row r="597">
      <c r="K597" s="84" t="n"/>
    </row>
    <row r="598">
      <c r="K598" s="84" t="n"/>
    </row>
    <row r="599">
      <c r="K599" s="84" t="n"/>
    </row>
    <row r="600">
      <c r="K600" s="84" t="n"/>
    </row>
    <row r="601">
      <c r="K601" s="84" t="n"/>
    </row>
    <row r="602">
      <c r="K602" s="84" t="n"/>
    </row>
    <row r="603">
      <c r="K603" s="84" t="n"/>
    </row>
    <row r="604">
      <c r="K604" s="84" t="n"/>
    </row>
    <row r="605">
      <c r="K605" s="84" t="n"/>
    </row>
    <row r="606">
      <c r="K606" s="84" t="n"/>
    </row>
    <row r="607">
      <c r="K607" s="84" t="n"/>
    </row>
    <row r="608">
      <c r="K608" s="84" t="n"/>
    </row>
    <row r="609">
      <c r="K609" s="84" t="n"/>
    </row>
    <row r="610">
      <c r="K610" s="84" t="n"/>
    </row>
    <row r="611">
      <c r="K611" s="84" t="n"/>
    </row>
    <row r="612">
      <c r="K612" s="84" t="n"/>
    </row>
    <row r="613">
      <c r="K613" s="84" t="n"/>
    </row>
    <row r="614">
      <c r="K614" s="84" t="n"/>
    </row>
    <row r="615">
      <c r="K615" s="84" t="n"/>
    </row>
    <row r="616">
      <c r="K616" s="84" t="n"/>
    </row>
    <row r="617">
      <c r="K617" s="84" t="n"/>
    </row>
    <row r="618">
      <c r="K618" s="84" t="n"/>
    </row>
    <row r="619">
      <c r="K619" s="84" t="n"/>
    </row>
    <row r="620">
      <c r="K620" s="84" t="n"/>
    </row>
    <row r="621">
      <c r="K621" s="84" t="n"/>
    </row>
    <row r="622">
      <c r="K622" s="84" t="n"/>
    </row>
    <row r="623">
      <c r="K623" s="84" t="n"/>
    </row>
    <row r="624">
      <c r="K624" s="84" t="n"/>
    </row>
    <row r="625">
      <c r="K625" s="84" t="n"/>
    </row>
    <row r="626">
      <c r="K626" s="84" t="n"/>
    </row>
    <row r="627">
      <c r="K627" s="84" t="n"/>
    </row>
    <row r="628">
      <c r="K628" s="84" t="n"/>
    </row>
    <row r="629">
      <c r="K629" s="84" t="n"/>
    </row>
    <row r="630">
      <c r="K630" s="84" t="n"/>
    </row>
    <row r="631">
      <c r="K631" s="84" t="n"/>
    </row>
    <row r="632">
      <c r="K632" s="84" t="n"/>
    </row>
    <row r="633">
      <c r="K633" s="84" t="n"/>
    </row>
    <row r="634">
      <c r="K634" s="84" t="n"/>
    </row>
    <row r="635">
      <c r="K635" s="84" t="n"/>
    </row>
    <row r="636">
      <c r="K636" s="84" t="n"/>
    </row>
    <row r="637">
      <c r="K637" s="84" t="n"/>
    </row>
    <row r="638">
      <c r="K638" s="84" t="n"/>
    </row>
    <row r="639">
      <c r="K639" s="84" t="n"/>
    </row>
    <row r="640">
      <c r="K640" s="84" t="n"/>
    </row>
    <row r="641">
      <c r="K641" s="84" t="n"/>
    </row>
    <row r="642">
      <c r="K642" s="84" t="n"/>
    </row>
    <row r="643">
      <c r="K643" s="84" t="n"/>
    </row>
    <row r="644">
      <c r="K644" s="84" t="n"/>
    </row>
    <row r="645">
      <c r="K645" s="84" t="n"/>
    </row>
    <row r="646">
      <c r="K646" s="84" t="n"/>
    </row>
    <row r="647">
      <c r="K647" s="84" t="n"/>
    </row>
    <row r="648">
      <c r="K648" s="84" t="n"/>
    </row>
    <row r="649">
      <c r="K649" s="84" t="n"/>
    </row>
    <row r="650">
      <c r="K650" s="84" t="n"/>
    </row>
    <row r="651">
      <c r="K651" s="84" t="n"/>
    </row>
    <row r="652">
      <c r="K652" s="84" t="n"/>
    </row>
    <row r="653">
      <c r="K653" s="84" t="n"/>
    </row>
    <row r="654">
      <c r="K654" s="84" t="n"/>
    </row>
    <row r="655">
      <c r="K655" s="84" t="n"/>
    </row>
    <row r="656">
      <c r="K656" s="84" t="n"/>
    </row>
    <row r="657">
      <c r="K657" s="84" t="n"/>
    </row>
    <row r="658">
      <c r="K658" s="84" t="n"/>
    </row>
    <row r="659">
      <c r="K659" s="84" t="n"/>
    </row>
    <row r="660">
      <c r="K660" s="84" t="n"/>
    </row>
    <row r="661">
      <c r="K661" s="84" t="n"/>
    </row>
    <row r="662">
      <c r="K662" s="84" t="n"/>
    </row>
    <row r="663">
      <c r="K663" s="84" t="n"/>
    </row>
    <row r="664">
      <c r="K664" s="84" t="n"/>
    </row>
    <row r="665">
      <c r="K665" s="84" t="n"/>
    </row>
    <row r="666">
      <c r="K666" s="84" t="n"/>
    </row>
    <row r="667">
      <c r="K667" s="84" t="n"/>
    </row>
    <row r="668">
      <c r="K668" s="84" t="n"/>
    </row>
    <row r="669">
      <c r="K669" s="84" t="n"/>
    </row>
    <row r="670">
      <c r="K670" s="84" t="n"/>
    </row>
    <row r="671">
      <c r="K671" s="84" t="n"/>
    </row>
    <row r="672">
      <c r="K672" s="84" t="n"/>
    </row>
    <row r="673">
      <c r="K673" s="84" t="n"/>
    </row>
    <row r="674">
      <c r="K674" s="84" t="n"/>
    </row>
    <row r="675">
      <c r="K675" s="84" t="n"/>
    </row>
    <row r="676">
      <c r="K676" s="84" t="n"/>
    </row>
    <row r="677">
      <c r="K677" s="84" t="n"/>
    </row>
    <row r="678">
      <c r="K678" s="84" t="n"/>
    </row>
    <row r="679">
      <c r="K679" s="84" t="n"/>
    </row>
    <row r="680">
      <c r="K680" s="84" t="n"/>
    </row>
    <row r="681">
      <c r="K681" s="84" t="n"/>
    </row>
    <row r="682">
      <c r="K682" s="84" t="n"/>
    </row>
    <row r="683">
      <c r="K683" s="84" t="n"/>
    </row>
    <row r="684">
      <c r="K684" s="84" t="n"/>
    </row>
    <row r="685">
      <c r="K685" s="84" t="n"/>
    </row>
    <row r="686">
      <c r="K686" s="84" t="n"/>
    </row>
    <row r="687">
      <c r="K687" s="84" t="n"/>
    </row>
    <row r="688">
      <c r="K688" s="84" t="n"/>
    </row>
    <row r="689">
      <c r="K689" s="84" t="n"/>
    </row>
    <row r="690">
      <c r="K690" s="84" t="n"/>
    </row>
    <row r="691">
      <c r="K691" s="84" t="n"/>
    </row>
    <row r="692">
      <c r="K692" s="84" t="n"/>
    </row>
    <row r="693">
      <c r="K693" s="84" t="n"/>
    </row>
    <row r="694">
      <c r="K694" s="84" t="n"/>
    </row>
    <row r="695">
      <c r="K695" s="84" t="n"/>
    </row>
    <row r="696">
      <c r="K696" s="84" t="n"/>
    </row>
    <row r="697">
      <c r="K697" s="84" t="n"/>
    </row>
    <row r="698">
      <c r="K698" s="84" t="n"/>
    </row>
    <row r="699">
      <c r="K699" s="84" t="n"/>
    </row>
    <row r="700">
      <c r="K700" s="84" t="n"/>
    </row>
    <row r="701">
      <c r="K701" s="84" t="n"/>
    </row>
    <row r="702">
      <c r="K702" s="84" t="n"/>
    </row>
    <row r="703">
      <c r="K703" s="84" t="n"/>
    </row>
    <row r="704">
      <c r="K704" s="84" t="n"/>
    </row>
    <row r="705">
      <c r="K705" s="84" t="n"/>
    </row>
    <row r="706">
      <c r="K706" s="84" t="n"/>
    </row>
    <row r="707">
      <c r="K707" s="84" t="n"/>
    </row>
    <row r="708">
      <c r="K708" s="84" t="n"/>
    </row>
    <row r="709">
      <c r="K709" s="84" t="n"/>
    </row>
    <row r="710">
      <c r="K710" s="84" t="n"/>
    </row>
    <row r="711">
      <c r="K711" s="84" t="n"/>
    </row>
    <row r="712">
      <c r="K712" s="84" t="n"/>
    </row>
    <row r="713">
      <c r="K713" s="84" t="n"/>
    </row>
    <row r="714">
      <c r="K714" s="84" t="n"/>
    </row>
    <row r="715">
      <c r="K715" s="84" t="n"/>
    </row>
    <row r="716">
      <c r="K716" s="84" t="n"/>
    </row>
    <row r="717">
      <c r="K717" s="84" t="n"/>
    </row>
    <row r="718">
      <c r="K718" s="84" t="n"/>
    </row>
    <row r="719">
      <c r="K719" s="84" t="n"/>
    </row>
    <row r="720">
      <c r="K720" s="84" t="n"/>
    </row>
    <row r="721">
      <c r="K721" s="84" t="n"/>
    </row>
    <row r="722">
      <c r="K722" s="84" t="n"/>
    </row>
    <row r="723">
      <c r="K723" s="84" t="n"/>
    </row>
    <row r="724">
      <c r="K724" s="84" t="n"/>
    </row>
    <row r="725">
      <c r="K725" s="84" t="n"/>
    </row>
    <row r="726">
      <c r="K726" s="84" t="n"/>
    </row>
    <row r="727">
      <c r="K727" s="84" t="n"/>
    </row>
    <row r="728">
      <c r="K728" s="84" t="n"/>
    </row>
    <row r="729">
      <c r="K729" s="84" t="n"/>
    </row>
    <row r="730">
      <c r="K730" s="84" t="n"/>
    </row>
    <row r="731">
      <c r="K731" s="84" t="n"/>
    </row>
    <row r="732">
      <c r="K732" s="84" t="n"/>
    </row>
    <row r="733">
      <c r="K733" s="84" t="n"/>
    </row>
    <row r="734">
      <c r="K734" s="84" t="n"/>
    </row>
    <row r="735">
      <c r="K735" s="84" t="n"/>
    </row>
    <row r="736">
      <c r="K736" s="84" t="n"/>
    </row>
    <row r="737">
      <c r="K737" s="84" t="n"/>
    </row>
    <row r="738">
      <c r="K738" s="84" t="n"/>
    </row>
    <row r="739">
      <c r="K739" s="84" t="n"/>
    </row>
    <row r="740">
      <c r="K740" s="84" t="n"/>
    </row>
    <row r="741">
      <c r="K741" s="84" t="n"/>
    </row>
    <row r="742">
      <c r="K742" s="84" t="n"/>
    </row>
    <row r="743">
      <c r="K743" s="84" t="n"/>
    </row>
    <row r="744">
      <c r="K744" s="84" t="n"/>
    </row>
    <row r="745">
      <c r="K745" s="84" t="n"/>
    </row>
    <row r="746">
      <c r="K746" s="84" t="n"/>
    </row>
    <row r="747">
      <c r="K747" s="84" t="n"/>
    </row>
    <row r="748">
      <c r="K748" s="84" t="n"/>
    </row>
    <row r="749">
      <c r="K749" s="84" t="n"/>
    </row>
    <row r="750">
      <c r="K750" s="84" t="n"/>
    </row>
    <row r="751">
      <c r="K751" s="84" t="n"/>
    </row>
    <row r="752">
      <c r="K752" s="84" t="n"/>
    </row>
    <row r="753">
      <c r="K753" s="84" t="n"/>
    </row>
    <row r="754">
      <c r="K754" s="84" t="n"/>
    </row>
    <row r="755">
      <c r="K755" s="84" t="n"/>
    </row>
    <row r="756">
      <c r="K756" s="84" t="n"/>
    </row>
    <row r="757">
      <c r="K757" s="84" t="n"/>
    </row>
    <row r="758">
      <c r="K758" s="84" t="n"/>
    </row>
    <row r="759">
      <c r="K759" s="84" t="n"/>
    </row>
    <row r="760">
      <c r="K760" s="84" t="n"/>
    </row>
    <row r="761">
      <c r="K761" s="84" t="n"/>
    </row>
    <row r="762">
      <c r="K762" s="84" t="n"/>
    </row>
    <row r="763">
      <c r="K763" s="84" t="n"/>
    </row>
    <row r="764">
      <c r="K764" s="84" t="n"/>
    </row>
    <row r="765">
      <c r="K765" s="84" t="n"/>
    </row>
    <row r="766">
      <c r="K766" s="84" t="n"/>
    </row>
    <row r="767">
      <c r="K767" s="84" t="n"/>
    </row>
    <row r="768">
      <c r="K768" s="84" t="n"/>
    </row>
    <row r="769">
      <c r="K769" s="84" t="n"/>
    </row>
    <row r="770">
      <c r="K770" s="84" t="n"/>
    </row>
    <row r="771">
      <c r="K771" s="84" t="n"/>
    </row>
    <row r="772">
      <c r="K772" s="84" t="n"/>
    </row>
    <row r="773">
      <c r="K773" s="84" t="n"/>
    </row>
    <row r="774">
      <c r="K774" s="84" t="n"/>
    </row>
    <row r="775">
      <c r="K775" s="84" t="n"/>
    </row>
    <row r="776">
      <c r="K776" s="84" t="n"/>
    </row>
    <row r="777">
      <c r="K777" s="84" t="n"/>
    </row>
    <row r="778">
      <c r="K778" s="84" t="n"/>
    </row>
    <row r="779">
      <c r="K779" s="84" t="n"/>
    </row>
    <row r="780">
      <c r="K780" s="84" t="n"/>
    </row>
    <row r="781">
      <c r="K781" s="84" t="n"/>
    </row>
    <row r="782">
      <c r="K782" s="84" t="n"/>
    </row>
    <row r="783">
      <c r="K783" s="84" t="n"/>
    </row>
    <row r="784">
      <c r="K784" s="84" t="n"/>
    </row>
    <row r="785">
      <c r="K785" s="84" t="n"/>
    </row>
    <row r="786">
      <c r="K786" s="84" t="n"/>
    </row>
    <row r="787">
      <c r="K787" s="84" t="n"/>
    </row>
    <row r="788">
      <c r="K788" s="84" t="n"/>
    </row>
    <row r="789">
      <c r="K789" s="84" t="n"/>
    </row>
    <row r="790">
      <c r="K790" s="84" t="n"/>
    </row>
    <row r="791">
      <c r="K791" s="84" t="n"/>
    </row>
    <row r="792">
      <c r="K792" s="84" t="n"/>
    </row>
    <row r="793">
      <c r="K793" s="84" t="n"/>
    </row>
    <row r="794">
      <c r="K794" s="84" t="n"/>
    </row>
    <row r="795">
      <c r="K795" s="84" t="n"/>
    </row>
    <row r="796">
      <c r="K796" s="84" t="n"/>
    </row>
    <row r="797">
      <c r="K797" s="84" t="n"/>
    </row>
    <row r="798">
      <c r="K798" s="84" t="n"/>
    </row>
    <row r="799">
      <c r="K799" s="84" t="n"/>
    </row>
    <row r="800">
      <c r="K800" s="84" t="n"/>
    </row>
    <row r="801">
      <c r="K801" s="84" t="n"/>
    </row>
    <row r="802">
      <c r="K802" s="84" t="n"/>
    </row>
    <row r="803">
      <c r="K803" s="84" t="n"/>
    </row>
    <row r="804">
      <c r="K804" s="84" t="n"/>
    </row>
    <row r="805">
      <c r="K805" s="84" t="n"/>
    </row>
    <row r="806">
      <c r="K806" s="84" t="n"/>
    </row>
    <row r="807">
      <c r="K807" s="84" t="n"/>
    </row>
    <row r="808">
      <c r="K808" s="84" t="n"/>
    </row>
    <row r="809">
      <c r="K809" s="84" t="n"/>
    </row>
    <row r="810">
      <c r="K810" s="84" t="n"/>
    </row>
    <row r="811">
      <c r="K811" s="84" t="n"/>
    </row>
    <row r="812">
      <c r="K812" s="84" t="n"/>
    </row>
    <row r="813">
      <c r="K813" s="84" t="n"/>
    </row>
    <row r="814">
      <c r="K814" s="84" t="n"/>
    </row>
    <row r="815">
      <c r="K815" s="84" t="n"/>
    </row>
    <row r="816">
      <c r="K816" s="84" t="n"/>
    </row>
    <row r="817">
      <c r="K817" s="84" t="n"/>
    </row>
    <row r="818">
      <c r="K818" s="84" t="n"/>
    </row>
    <row r="819">
      <c r="K819" s="84" t="n"/>
    </row>
    <row r="820">
      <c r="K820" s="84" t="n"/>
    </row>
    <row r="821">
      <c r="K821" s="84" t="n"/>
    </row>
    <row r="822">
      <c r="K822" s="84" t="n"/>
    </row>
    <row r="823">
      <c r="K823" s="84" t="n"/>
    </row>
    <row r="824">
      <c r="K824" s="84" t="n"/>
    </row>
    <row r="825">
      <c r="K825" s="84" t="n"/>
    </row>
    <row r="826">
      <c r="K826" s="84" t="n"/>
    </row>
    <row r="827">
      <c r="K827" s="84" t="n"/>
    </row>
    <row r="828">
      <c r="K828" s="84" t="n"/>
    </row>
    <row r="829">
      <c r="K829" s="84" t="n"/>
    </row>
    <row r="830">
      <c r="K830" s="84" t="n"/>
    </row>
    <row r="831">
      <c r="K831" s="84" t="n"/>
    </row>
    <row r="832">
      <c r="K832" s="84" t="n"/>
    </row>
    <row r="833">
      <c r="K833" s="84" t="n"/>
    </row>
    <row r="834">
      <c r="K834" s="84" t="n"/>
    </row>
    <row r="835">
      <c r="K835" s="84" t="n"/>
    </row>
    <row r="836">
      <c r="K836" s="84" t="n"/>
    </row>
    <row r="837">
      <c r="K837" s="84" t="n"/>
    </row>
    <row r="838">
      <c r="K838" s="84" t="n"/>
    </row>
    <row r="839">
      <c r="K839" s="84" t="n"/>
    </row>
    <row r="840">
      <c r="K840" s="84" t="n"/>
    </row>
    <row r="841">
      <c r="K841" s="84" t="n"/>
    </row>
    <row r="842">
      <c r="K842" s="84" t="n"/>
    </row>
    <row r="843">
      <c r="K843" s="84" t="n"/>
    </row>
    <row r="844">
      <c r="K844" s="84" t="n"/>
    </row>
    <row r="845">
      <c r="K845" s="84" t="n"/>
    </row>
    <row r="846">
      <c r="K846" s="84" t="n"/>
    </row>
    <row r="847">
      <c r="K847" s="84" t="n"/>
    </row>
    <row r="848">
      <c r="K848" s="84" t="n"/>
    </row>
    <row r="849">
      <c r="K849" s="84" t="n"/>
    </row>
    <row r="850">
      <c r="K850" s="84" t="n"/>
    </row>
    <row r="851">
      <c r="K851" s="84" t="n"/>
    </row>
    <row r="852">
      <c r="K852" s="84" t="n"/>
    </row>
    <row r="853">
      <c r="K853" s="84" t="n"/>
    </row>
    <row r="854">
      <c r="K854" s="84" t="n"/>
    </row>
    <row r="855">
      <c r="K855" s="84" t="n"/>
    </row>
    <row r="856">
      <c r="K856" s="84" t="n"/>
    </row>
    <row r="857">
      <c r="K857" s="84" t="n"/>
    </row>
    <row r="858">
      <c r="K858" s="84" t="n"/>
    </row>
    <row r="859">
      <c r="K859" s="84" t="n"/>
    </row>
    <row r="860">
      <c r="K860" s="84" t="n"/>
    </row>
    <row r="861">
      <c r="K861" s="84" t="n"/>
    </row>
    <row r="862">
      <c r="K862" s="84" t="n"/>
    </row>
    <row r="863">
      <c r="K863" s="84" t="n"/>
    </row>
    <row r="864">
      <c r="K864" s="84" t="n"/>
    </row>
    <row r="865">
      <c r="K865" s="84" t="n"/>
    </row>
    <row r="866">
      <c r="K866" s="84" t="n"/>
    </row>
    <row r="867">
      <c r="K867" s="84" t="n"/>
    </row>
    <row r="868">
      <c r="K868" s="84" t="n"/>
    </row>
    <row r="869">
      <c r="K869" s="84" t="n"/>
    </row>
    <row r="870">
      <c r="K870" s="84" t="n"/>
    </row>
    <row r="871">
      <c r="K871" s="84" t="n"/>
    </row>
    <row r="872">
      <c r="K872" s="84" t="n"/>
    </row>
    <row r="873">
      <c r="K873" s="84" t="n"/>
    </row>
    <row r="874">
      <c r="K874" s="84" t="n"/>
    </row>
    <row r="875">
      <c r="K875" s="84" t="n"/>
    </row>
    <row r="876">
      <c r="K876" s="84" t="n"/>
    </row>
    <row r="877">
      <c r="K877" s="84" t="n"/>
    </row>
    <row r="878">
      <c r="K878" s="84" t="n"/>
    </row>
    <row r="879">
      <c r="K879" s="84" t="n"/>
    </row>
    <row r="880">
      <c r="K880" s="84" t="n"/>
    </row>
    <row r="881">
      <c r="K881" s="84" t="n"/>
    </row>
    <row r="882">
      <c r="K882" s="84" t="n"/>
    </row>
    <row r="883">
      <c r="K883" s="84" t="n"/>
    </row>
    <row r="884">
      <c r="K884" s="84" t="n"/>
    </row>
    <row r="885">
      <c r="K885" s="84" t="n"/>
    </row>
    <row r="886">
      <c r="K886" s="84" t="n"/>
    </row>
    <row r="887">
      <c r="K887" s="84" t="n"/>
    </row>
    <row r="888">
      <c r="K888" s="84" t="n"/>
    </row>
    <row r="889">
      <c r="K889" s="84" t="n"/>
    </row>
    <row r="890">
      <c r="K890" s="84" t="n"/>
    </row>
    <row r="891">
      <c r="K891" s="84" t="n"/>
    </row>
    <row r="892">
      <c r="K892" s="84" t="n"/>
    </row>
    <row r="893">
      <c r="K893" s="84" t="n"/>
    </row>
    <row r="894">
      <c r="K894" s="84" t="n"/>
    </row>
    <row r="895">
      <c r="K895" s="84" t="n"/>
    </row>
    <row r="896">
      <c r="K896" s="84" t="n"/>
    </row>
    <row r="897">
      <c r="K897" s="84" t="n"/>
    </row>
    <row r="898">
      <c r="K898" s="84" t="n"/>
    </row>
    <row r="899">
      <c r="K899" s="84" t="n"/>
    </row>
    <row r="900">
      <c r="K900" s="84" t="n"/>
    </row>
    <row r="901">
      <c r="K901" s="84" t="n"/>
    </row>
    <row r="902">
      <c r="K902" s="84" t="n"/>
    </row>
    <row r="903">
      <c r="K903" s="84" t="n"/>
    </row>
    <row r="904">
      <c r="K904" s="84" t="n"/>
    </row>
    <row r="905">
      <c r="K905" s="84" t="n"/>
    </row>
    <row r="906">
      <c r="K906" s="84" t="n"/>
    </row>
    <row r="907">
      <c r="K907" s="84" t="n"/>
    </row>
    <row r="908">
      <c r="K908" s="84" t="n"/>
    </row>
    <row r="909">
      <c r="K909" s="84" t="n"/>
    </row>
    <row r="910">
      <c r="K910" s="84" t="n"/>
    </row>
    <row r="911">
      <c r="K911" s="84" t="n"/>
    </row>
    <row r="912">
      <c r="K912" s="84" t="n"/>
    </row>
    <row r="913">
      <c r="K913" s="84" t="n"/>
    </row>
    <row r="914">
      <c r="K914" s="84" t="n"/>
    </row>
    <row r="915">
      <c r="K915" s="84" t="n"/>
    </row>
    <row r="916">
      <c r="K916" s="84" t="n"/>
    </row>
    <row r="917">
      <c r="K917" s="84" t="n"/>
    </row>
    <row r="918">
      <c r="K918" s="84" t="n"/>
    </row>
    <row r="919">
      <c r="K919" s="84" t="n"/>
    </row>
    <row r="920">
      <c r="K920" s="84" t="n"/>
    </row>
    <row r="921">
      <c r="K921" s="84" t="n"/>
    </row>
    <row r="922">
      <c r="K922" s="84" t="n"/>
    </row>
    <row r="923">
      <c r="K923" s="84" t="n"/>
    </row>
    <row r="924">
      <c r="K924" s="84" t="n"/>
    </row>
    <row r="925">
      <c r="K925" s="84" t="n"/>
    </row>
    <row r="926">
      <c r="K926" s="84" t="n"/>
    </row>
    <row r="927">
      <c r="K927" s="84" t="n"/>
    </row>
    <row r="928">
      <c r="K928" s="84" t="n"/>
    </row>
    <row r="929">
      <c r="K929" s="84" t="n"/>
    </row>
    <row r="930">
      <c r="K930" s="84" t="n"/>
    </row>
    <row r="931">
      <c r="K931" s="84" t="n"/>
    </row>
    <row r="932">
      <c r="K932" s="84" t="n"/>
    </row>
    <row r="933">
      <c r="K933" s="84" t="n"/>
    </row>
    <row r="934">
      <c r="K934" s="84" t="n"/>
    </row>
    <row r="935">
      <c r="K935" s="84" t="n"/>
    </row>
    <row r="936">
      <c r="K936" s="84" t="n"/>
    </row>
    <row r="937">
      <c r="K937" s="84" t="n"/>
    </row>
    <row r="938">
      <c r="K938" s="84" t="n"/>
    </row>
    <row r="939">
      <c r="K939" s="84" t="n"/>
    </row>
    <row r="940">
      <c r="K940" s="84" t="n"/>
    </row>
    <row r="941">
      <c r="K941" s="84" t="n"/>
    </row>
    <row r="942">
      <c r="K942" s="84" t="n"/>
    </row>
    <row r="943">
      <c r="K943" s="84" t="n"/>
    </row>
    <row r="944">
      <c r="K944" s="84" t="n"/>
    </row>
    <row r="945">
      <c r="K945" s="84" t="n"/>
    </row>
    <row r="946">
      <c r="K946" s="84" t="n"/>
    </row>
    <row r="947">
      <c r="K947" s="84" t="n"/>
    </row>
    <row r="948">
      <c r="K948" s="84" t="n"/>
    </row>
    <row r="949">
      <c r="K949" s="84" t="n"/>
    </row>
    <row r="950">
      <c r="K950" s="84" t="n"/>
    </row>
    <row r="951">
      <c r="K951" s="84" t="n"/>
    </row>
    <row r="952">
      <c r="K952" s="84" t="n"/>
    </row>
    <row r="953">
      <c r="K953" s="84" t="n"/>
    </row>
  </sheetData>
  <dataValidations count="1">
    <dataValidation sqref="L2:M26 L30:L56 L60:L74" showDropDown="0" showInputMessage="0" showErrorMessage="1" allowBlank="1" type="list">
      <formula1>"MARIEL,KARIM"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B989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18" min="1" max="1"/>
    <col width="13.38" customWidth="1" style="118" min="2" max="2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28" t="inlineStr">
        <is>
          <t>Duration （Formula）</t>
        </is>
      </c>
      <c r="K1" s="58" t="inlineStr">
        <is>
          <t>Start date</t>
        </is>
      </c>
      <c r="L1" s="71" t="inlineStr">
        <is>
          <t>HOST1</t>
        </is>
      </c>
      <c r="M1" s="71" t="inlineStr">
        <is>
          <t xml:space="preserve">HOST 2 </t>
        </is>
      </c>
      <c r="N1" s="71" t="inlineStr">
        <is>
          <t>Operator</t>
        </is>
      </c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>
      <c r="A2" s="96" t="inlineStr">
        <is>
          <t>7633819822739983122</t>
        </is>
      </c>
      <c r="B2" s="96" t="inlineStr">
        <is>
          <t>reyes_del_hogar</t>
        </is>
      </c>
      <c r="C2" s="89" t="inlineStr">
        <is>
          <t>MX</t>
        </is>
      </c>
      <c r="D2" s="114" t="n">
        <v>6103.5</v>
      </c>
      <c r="E2" s="40">
        <f>D2/1.16</f>
        <v/>
      </c>
      <c r="F2" s="114" t="n">
        <v>170.9825</v>
      </c>
      <c r="G2" s="40">
        <f>F2/1.16</f>
        <v/>
      </c>
      <c r="H2" s="114" t="n">
        <v>0</v>
      </c>
      <c r="I2" s="89" t="n">
        <v>4</v>
      </c>
      <c r="J2" s="89" t="n">
        <v>4</v>
      </c>
      <c r="K2" s="116" t="n">
        <v>46140</v>
      </c>
      <c r="L2" s="38" t="inlineStr">
        <is>
          <t>MILLY</t>
        </is>
      </c>
      <c r="M2" s="38" t="n"/>
      <c r="N2" s="89" t="inlineStr">
        <is>
          <t>MOISES</t>
        </is>
      </c>
    </row>
    <row r="3">
      <c r="A3" s="96" t="inlineStr">
        <is>
          <t>7633964118310980360</t>
        </is>
      </c>
      <c r="B3" s="96" t="inlineStr">
        <is>
          <t>reyes_del_hogar</t>
        </is>
      </c>
      <c r="C3" s="89" t="inlineStr">
        <is>
          <t>MX</t>
        </is>
      </c>
      <c r="D3" s="114" t="n">
        <v>45553.09</v>
      </c>
      <c r="E3" s="40">
        <f>D3/1.16</f>
        <v/>
      </c>
      <c r="F3" s="114" t="n">
        <v>269.88</v>
      </c>
      <c r="G3" s="40">
        <f>F3/1.16</f>
        <v/>
      </c>
      <c r="H3" s="114" t="n">
        <v>0</v>
      </c>
      <c r="I3" s="89" t="n">
        <v>4</v>
      </c>
      <c r="J3" s="89" t="n">
        <v>4</v>
      </c>
      <c r="K3" s="116" t="n">
        <v>46140</v>
      </c>
      <c r="L3" s="38" t="inlineStr">
        <is>
          <t>MAYTE</t>
        </is>
      </c>
      <c r="M3" s="38" t="n"/>
      <c r="N3" s="89" t="inlineStr">
        <is>
          <t>MOISES</t>
        </is>
      </c>
    </row>
    <row r="4">
      <c r="A4" s="96" t="inlineStr">
        <is>
          <t>7634190978450590471</t>
        </is>
      </c>
      <c r="B4" s="96" t="inlineStr">
        <is>
          <t>reyes_del_hogar</t>
        </is>
      </c>
      <c r="C4" s="89" t="inlineStr">
        <is>
          <t>MX</t>
        </is>
      </c>
      <c r="D4" s="114" t="n">
        <v>10943.24</v>
      </c>
      <c r="E4" s="40">
        <f>D4/1.16</f>
        <v/>
      </c>
      <c r="F4" s="114" t="n">
        <v>649.745</v>
      </c>
      <c r="G4" s="40">
        <f>F4/1.16</f>
        <v/>
      </c>
      <c r="H4" s="114" t="n">
        <v>0</v>
      </c>
      <c r="I4" s="89" t="n">
        <v>4</v>
      </c>
      <c r="J4" s="89" t="n">
        <v>4</v>
      </c>
      <c r="K4" s="116" t="n">
        <v>46141</v>
      </c>
      <c r="L4" s="38" t="inlineStr">
        <is>
          <t>MILLY</t>
        </is>
      </c>
      <c r="M4" s="38" t="n"/>
      <c r="N4" s="89" t="inlineStr">
        <is>
          <t>MOISES</t>
        </is>
      </c>
    </row>
    <row r="5">
      <c r="A5" s="96" t="inlineStr">
        <is>
          <t>7634335163040467730</t>
        </is>
      </c>
      <c r="B5" s="96" t="inlineStr">
        <is>
          <t>reyes_del_hogar</t>
        </is>
      </c>
      <c r="C5" s="89" t="inlineStr">
        <is>
          <t>MX</t>
        </is>
      </c>
      <c r="D5" s="114" t="n">
        <v>0</v>
      </c>
      <c r="E5" s="40">
        <f>D5/1.16</f>
        <v/>
      </c>
      <c r="F5" s="114" t="n">
        <v>606.05</v>
      </c>
      <c r="G5" s="40">
        <f>F5/1.16</f>
        <v/>
      </c>
      <c r="H5" s="114" t="n">
        <v>0</v>
      </c>
      <c r="I5" s="89" t="n">
        <v>4</v>
      </c>
      <c r="J5" s="89" t="n">
        <v>4</v>
      </c>
      <c r="K5" s="116" t="n">
        <v>46141</v>
      </c>
      <c r="L5" s="38" t="inlineStr">
        <is>
          <t>MAYTE</t>
        </is>
      </c>
      <c r="M5" s="38" t="n"/>
      <c r="N5" s="89" t="inlineStr">
        <is>
          <t>MOISES</t>
        </is>
      </c>
    </row>
    <row r="6">
      <c r="A6" s="96" t="inlineStr">
        <is>
          <t>7634567426411088647</t>
        </is>
      </c>
      <c r="B6" s="96" t="inlineStr">
        <is>
          <t>reyes_del_hogar</t>
        </is>
      </c>
      <c r="C6" s="89" t="inlineStr">
        <is>
          <t>MX</t>
        </is>
      </c>
      <c r="D6" s="114" t="n">
        <v>2880.2</v>
      </c>
      <c r="E6" s="40">
        <f>D6/1.16</f>
        <v/>
      </c>
      <c r="F6" s="114" t="n">
        <v>1086.8175</v>
      </c>
      <c r="G6" s="40">
        <f>F6/1.16</f>
        <v/>
      </c>
      <c r="H6" s="114" t="n">
        <v>0</v>
      </c>
      <c r="I6" s="89" t="n">
        <v>4</v>
      </c>
      <c r="J6" s="89" t="n">
        <v>4</v>
      </c>
      <c r="K6" s="116" t="n">
        <v>46142</v>
      </c>
      <c r="L6" s="38" t="inlineStr">
        <is>
          <t>MILLY</t>
        </is>
      </c>
      <c r="M6" s="38" t="n"/>
      <c r="N6" s="89" t="inlineStr">
        <is>
          <t>MOISES</t>
        </is>
      </c>
    </row>
    <row r="7">
      <c r="A7" s="96" t="inlineStr">
        <is>
          <t>7634706460726840071</t>
        </is>
      </c>
      <c r="B7" s="96" t="inlineStr">
        <is>
          <t>reyes_del_hogar</t>
        </is>
      </c>
      <c r="C7" s="89" t="inlineStr">
        <is>
          <t>MX</t>
        </is>
      </c>
      <c r="D7" s="114" t="n">
        <v>22945.26</v>
      </c>
      <c r="E7" s="40">
        <f>D7/1.16</f>
        <v/>
      </c>
      <c r="F7" s="114" t="n">
        <v>769.9349999999999</v>
      </c>
      <c r="G7" s="40">
        <f>F7/1.16</f>
        <v/>
      </c>
      <c r="H7" s="114" t="n">
        <v>0</v>
      </c>
      <c r="I7" s="89" t="n">
        <v>4</v>
      </c>
      <c r="J7" s="89" t="n">
        <v>4</v>
      </c>
      <c r="K7" s="116" t="n">
        <v>46142</v>
      </c>
      <c r="L7" s="38" t="inlineStr">
        <is>
          <t>MAYTE</t>
        </is>
      </c>
      <c r="M7" s="38" t="n"/>
      <c r="N7" s="89" t="inlineStr">
        <is>
          <t>MOISES</t>
        </is>
      </c>
    </row>
    <row r="8">
      <c r="A8" s="96" t="inlineStr">
        <is>
          <t>7636050943628397320</t>
        </is>
      </c>
      <c r="B8" s="96" t="inlineStr">
        <is>
          <t>reyes_del_hogar</t>
        </is>
      </c>
      <c r="C8" s="89" t="inlineStr">
        <is>
          <t>MX</t>
        </is>
      </c>
      <c r="D8" s="114" t="n">
        <v>38672.24</v>
      </c>
      <c r="E8" s="40">
        <f>D8/1.16</f>
        <v/>
      </c>
      <c r="F8" s="114" t="n">
        <v>144.735</v>
      </c>
      <c r="G8" s="40">
        <f>F8/1.16</f>
        <v/>
      </c>
      <c r="H8" s="114" t="n">
        <v>0</v>
      </c>
      <c r="I8" s="89" t="n">
        <v>4</v>
      </c>
      <c r="J8" s="89" t="n">
        <v>4</v>
      </c>
      <c r="K8" s="116" t="n">
        <v>46146</v>
      </c>
      <c r="L8" s="38" t="inlineStr">
        <is>
          <t>MILLY</t>
        </is>
      </c>
      <c r="M8" s="38" t="n"/>
      <c r="N8" s="89" t="inlineStr">
        <is>
          <t>MOISES</t>
        </is>
      </c>
    </row>
    <row r="9">
      <c r="A9" s="96" t="inlineStr">
        <is>
          <t>7636190645442464519</t>
        </is>
      </c>
      <c r="B9" s="96" t="inlineStr">
        <is>
          <t>reyes_del_hogar</t>
        </is>
      </c>
      <c r="C9" s="89" t="inlineStr">
        <is>
          <t>MX</t>
        </is>
      </c>
      <c r="D9" s="114" t="n">
        <v>19171.17</v>
      </c>
      <c r="E9" s="40">
        <f>D9/1.16</f>
        <v/>
      </c>
      <c r="F9" s="114" t="n">
        <v>0</v>
      </c>
      <c r="G9" s="40">
        <f>F9/1.16</f>
        <v/>
      </c>
      <c r="H9" s="114" t="n">
        <v>0</v>
      </c>
      <c r="I9" s="89" t="n">
        <v>4</v>
      </c>
      <c r="J9" s="89" t="n">
        <v>4</v>
      </c>
      <c r="K9" s="116" t="n">
        <v>46146</v>
      </c>
      <c r="L9" s="38" t="inlineStr">
        <is>
          <t>MAYTE</t>
        </is>
      </c>
      <c r="M9" s="38" t="n"/>
      <c r="N9" s="89" t="inlineStr">
        <is>
          <t>MOISES</t>
        </is>
      </c>
    </row>
    <row r="10">
      <c r="A10" s="96" t="inlineStr">
        <is>
          <t>7636419473738992402</t>
        </is>
      </c>
      <c r="B10" s="96" t="inlineStr">
        <is>
          <t>reyes_del_hogar</t>
        </is>
      </c>
      <c r="C10" s="89" t="inlineStr">
        <is>
          <t>MX</t>
        </is>
      </c>
      <c r="D10" s="114" t="n">
        <v>37528.36</v>
      </c>
      <c r="E10" s="40">
        <f>D10/1.16</f>
        <v/>
      </c>
      <c r="F10" s="114" t="n">
        <v>321.965</v>
      </c>
      <c r="G10" s="40">
        <f>F10/1.16</f>
        <v/>
      </c>
      <c r="H10" s="114" t="n">
        <v>0</v>
      </c>
      <c r="I10" s="89" t="n">
        <v>4</v>
      </c>
      <c r="J10" s="89" t="n">
        <v>4</v>
      </c>
      <c r="K10" s="116" t="n">
        <v>46147</v>
      </c>
      <c r="L10" s="38" t="inlineStr">
        <is>
          <t>MILLY</t>
        </is>
      </c>
      <c r="M10" s="38" t="n"/>
      <c r="N10" s="89" t="inlineStr">
        <is>
          <t>MOISES</t>
        </is>
      </c>
    </row>
    <row r="11">
      <c r="A11" s="96" t="inlineStr">
        <is>
          <t>7636561901023021831</t>
        </is>
      </c>
      <c r="B11" s="96" t="inlineStr">
        <is>
          <t>reyes_del_hogar</t>
        </is>
      </c>
      <c r="C11" s="89" t="inlineStr">
        <is>
          <t>MX</t>
        </is>
      </c>
      <c r="D11" s="114" t="n">
        <v>12453.92</v>
      </c>
      <c r="E11" s="40">
        <f>D11/1.16</f>
        <v/>
      </c>
      <c r="F11" s="114" t="n">
        <v>1738.155</v>
      </c>
      <c r="G11" s="40">
        <f>F11/1.16</f>
        <v/>
      </c>
      <c r="H11" s="114" t="n">
        <v>489.35</v>
      </c>
      <c r="I11" s="89" t="n">
        <v>4</v>
      </c>
      <c r="J11" s="89" t="n">
        <v>4</v>
      </c>
      <c r="K11" s="116" t="n">
        <v>46147</v>
      </c>
      <c r="L11" s="38" t="inlineStr">
        <is>
          <t>MAYTE</t>
        </is>
      </c>
      <c r="M11" s="38" t="n"/>
      <c r="N11" s="89" t="inlineStr">
        <is>
          <t>MOISES</t>
        </is>
      </c>
    </row>
    <row r="12">
      <c r="A12" s="96" t="inlineStr">
        <is>
          <t>7636786158518635282</t>
        </is>
      </c>
      <c r="B12" s="96" t="inlineStr">
        <is>
          <t>reyes_del_hogar</t>
        </is>
      </c>
      <c r="C12" s="89" t="inlineStr">
        <is>
          <t>MX</t>
        </is>
      </c>
      <c r="D12" s="114" t="n">
        <v>2498.45</v>
      </c>
      <c r="E12" s="40">
        <f>D12/1.16</f>
        <v/>
      </c>
      <c r="F12" s="114" t="n">
        <v>695.8049999999999</v>
      </c>
      <c r="G12" s="40">
        <f>F12/1.16</f>
        <v/>
      </c>
      <c r="H12" s="114" t="n">
        <v>596.14</v>
      </c>
      <c r="I12" s="89" t="n">
        <v>4</v>
      </c>
      <c r="J12" s="89" t="n">
        <v>4</v>
      </c>
      <c r="K12" s="116" t="n">
        <v>46148</v>
      </c>
      <c r="L12" s="38" t="inlineStr">
        <is>
          <t>MILLY</t>
        </is>
      </c>
      <c r="M12" s="38" t="n"/>
      <c r="N12" s="89" t="inlineStr">
        <is>
          <t>MEMO</t>
        </is>
      </c>
    </row>
    <row r="13">
      <c r="A13" s="96" t="inlineStr">
        <is>
          <t>7636934318316686088</t>
        </is>
      </c>
      <c r="B13" s="96" t="inlineStr">
        <is>
          <t>reyes_del_hogar</t>
        </is>
      </c>
      <c r="C13" s="89" t="inlineStr">
        <is>
          <t>MX</t>
        </is>
      </c>
      <c r="D13" s="114" t="n">
        <v>3932.53</v>
      </c>
      <c r="E13" s="40">
        <f>D13/1.16</f>
        <v/>
      </c>
      <c r="F13" s="114" t="n">
        <v>1540.7375</v>
      </c>
      <c r="G13" s="40">
        <f>F13/1.16</f>
        <v/>
      </c>
      <c r="H13" s="114" t="n">
        <v>520.87</v>
      </c>
      <c r="I13" s="89" t="n">
        <v>4</v>
      </c>
      <c r="J13" s="89" t="n">
        <v>4</v>
      </c>
      <c r="K13" s="116" t="n">
        <v>46148</v>
      </c>
      <c r="L13" s="38" t="inlineStr">
        <is>
          <t>MAYTE</t>
        </is>
      </c>
      <c r="M13" s="38" t="n"/>
      <c r="N13" s="89" t="inlineStr">
        <is>
          <t>MOISES</t>
        </is>
      </c>
    </row>
    <row r="14">
      <c r="A14" s="96" t="inlineStr">
        <is>
          <t>7637157301413071623</t>
        </is>
      </c>
      <c r="B14" s="96" t="inlineStr">
        <is>
          <t>reyes_del_hogar</t>
        </is>
      </c>
      <c r="C14" s="89" t="inlineStr">
        <is>
          <t>MX</t>
        </is>
      </c>
      <c r="D14" s="114" t="n">
        <v>2300.13</v>
      </c>
      <c r="E14" s="40">
        <f>D14/1.16</f>
        <v/>
      </c>
      <c r="F14" s="114" t="n">
        <v>675.4575</v>
      </c>
      <c r="G14" s="40">
        <f>F14/1.16</f>
        <v/>
      </c>
      <c r="H14" s="114" t="n">
        <v>0</v>
      </c>
      <c r="I14" s="89" t="n">
        <v>4</v>
      </c>
      <c r="J14" s="89" t="n">
        <v>4</v>
      </c>
      <c r="K14" s="116" t="n">
        <v>46149</v>
      </c>
      <c r="L14" s="38" t="inlineStr">
        <is>
          <t>MILLY</t>
        </is>
      </c>
      <c r="M14" s="38" t="n"/>
      <c r="N14" s="89" t="inlineStr">
        <is>
          <t>MEMO</t>
        </is>
      </c>
    </row>
    <row r="15">
      <c r="A15" s="96" t="inlineStr">
        <is>
          <t>7637304137134426887</t>
        </is>
      </c>
      <c r="B15" s="96" t="inlineStr">
        <is>
          <t>reyes_del_hogar</t>
        </is>
      </c>
      <c r="C15" s="89" t="inlineStr">
        <is>
          <t>MX</t>
        </is>
      </c>
      <c r="D15" s="114" t="n">
        <v>58324.87</v>
      </c>
      <c r="E15" s="40">
        <f>D15/1.16</f>
        <v/>
      </c>
      <c r="F15" s="114" t="n">
        <v>64.31999999999999</v>
      </c>
      <c r="G15" s="40">
        <f>F15/1.16</f>
        <v/>
      </c>
      <c r="H15" s="114" t="n">
        <v>0</v>
      </c>
      <c r="I15" s="89" t="n">
        <v>4</v>
      </c>
      <c r="J15" s="89" t="n">
        <v>4</v>
      </c>
      <c r="K15" s="116" t="n">
        <v>46149</v>
      </c>
      <c r="L15" s="38" t="inlineStr">
        <is>
          <t>MAYTE</t>
        </is>
      </c>
      <c r="M15" s="38" t="n"/>
      <c r="N15" s="89" t="inlineStr">
        <is>
          <t>MOISES</t>
        </is>
      </c>
    </row>
    <row r="16">
      <c r="A16" s="96" t="inlineStr">
        <is>
          <t>7637528685012142856</t>
        </is>
      </c>
      <c r="B16" s="96" t="inlineStr">
        <is>
          <t>reyes_del_hogar</t>
        </is>
      </c>
      <c r="C16" s="89" t="inlineStr">
        <is>
          <t>MX</t>
        </is>
      </c>
      <c r="D16" s="114" t="n">
        <v>14852.49</v>
      </c>
      <c r="E16" s="40">
        <f>D16/1.16</f>
        <v/>
      </c>
      <c r="F16" s="114" t="n">
        <v>3333.017142857143</v>
      </c>
      <c r="G16" s="40">
        <f>F16/1.16</f>
        <v/>
      </c>
      <c r="H16" s="114" t="n">
        <v>0</v>
      </c>
      <c r="I16" s="89" t="n">
        <v>7</v>
      </c>
      <c r="J16" s="89" t="n">
        <v>7</v>
      </c>
      <c r="K16" s="116" t="n">
        <v>46150</v>
      </c>
      <c r="L16" s="38" t="inlineStr">
        <is>
          <t>MILLY</t>
        </is>
      </c>
      <c r="M16" s="38" t="n"/>
      <c r="N16" s="89" t="inlineStr">
        <is>
          <t>MOISES</t>
        </is>
      </c>
    </row>
    <row r="17">
      <c r="A17" s="96" t="inlineStr">
        <is>
          <t>7638741767240207122</t>
        </is>
      </c>
      <c r="B17" s="96" t="inlineStr">
        <is>
          <t>reyes_del_hogar</t>
        </is>
      </c>
      <c r="C17" s="89" t="inlineStr">
        <is>
          <t>MX</t>
        </is>
      </c>
      <c r="D17" s="114" t="n">
        <v>4962.46</v>
      </c>
      <c r="E17" s="40">
        <f>D17/1.16</f>
        <v/>
      </c>
      <c r="F17" s="114" t="n">
        <v>1364.064285714286</v>
      </c>
      <c r="G17" s="40">
        <f>F17/1.16</f>
        <v/>
      </c>
      <c r="H17" s="114" t="n">
        <v>0</v>
      </c>
      <c r="I17" s="89" t="n">
        <v>7</v>
      </c>
      <c r="J17" s="89" t="n">
        <v>7</v>
      </c>
      <c r="K17" s="116" t="n">
        <v>46153</v>
      </c>
      <c r="L17" s="38" t="inlineStr">
        <is>
          <t>MILLY</t>
        </is>
      </c>
      <c r="M17" s="38" t="inlineStr">
        <is>
          <t>MAYTE</t>
        </is>
      </c>
      <c r="N17" s="89" t="inlineStr">
        <is>
          <t>MOISES</t>
        </is>
      </c>
    </row>
    <row r="18">
      <c r="A18" s="96" t="inlineStr">
        <is>
          <t>7639113175803218709</t>
        </is>
      </c>
      <c r="B18" s="96" t="inlineStr">
        <is>
          <t>reyes_del_hogar</t>
        </is>
      </c>
      <c r="C18" s="89" t="inlineStr">
        <is>
          <t>MX</t>
        </is>
      </c>
      <c r="D18" s="114" t="n">
        <v>9548.450000000001</v>
      </c>
      <c r="E18" s="40">
        <f>D18/1.16</f>
        <v/>
      </c>
      <c r="F18" s="114" t="n">
        <v>4962.46</v>
      </c>
      <c r="G18" s="40">
        <f>F18/1.16</f>
        <v/>
      </c>
      <c r="H18" s="114" t="n">
        <v>0</v>
      </c>
      <c r="I18" s="89" t="n">
        <v>1</v>
      </c>
      <c r="J18" s="89" t="n">
        <v>1</v>
      </c>
      <c r="K18" s="116" t="n">
        <v>46154</v>
      </c>
      <c r="L18" s="38" t="inlineStr">
        <is>
          <t>MILLY</t>
        </is>
      </c>
      <c r="M18" s="38" t="n"/>
      <c r="N18" s="89" t="inlineStr">
        <is>
          <t>MOISES</t>
        </is>
      </c>
    </row>
    <row r="19">
      <c r="A19" s="96" t="inlineStr">
        <is>
          <t>7639141065005599506</t>
        </is>
      </c>
      <c r="B19" s="96" t="inlineStr">
        <is>
          <t>reyes_del_hogar</t>
        </is>
      </c>
      <c r="C19" s="89" t="inlineStr">
        <is>
          <t>MX</t>
        </is>
      </c>
      <c r="D19" s="114" t="n">
        <v>23331.12</v>
      </c>
      <c r="E19" s="40">
        <f>D19/1.16</f>
        <v/>
      </c>
      <c r="F19" s="114" t="n">
        <v>2970.498</v>
      </c>
      <c r="G19" s="40">
        <f>F19/1.16</f>
        <v/>
      </c>
      <c r="H19" s="114" t="n">
        <v>0</v>
      </c>
      <c r="I19" s="89" t="n">
        <v>5</v>
      </c>
      <c r="J19" s="89" t="n">
        <v>5</v>
      </c>
      <c r="K19" s="116" t="n">
        <v>46154</v>
      </c>
      <c r="L19" s="38" t="inlineStr">
        <is>
          <t>MILLY</t>
        </is>
      </c>
      <c r="M19" s="38" t="inlineStr">
        <is>
          <t>MAYTE</t>
        </is>
      </c>
      <c r="N19" s="89" t="inlineStr">
        <is>
          <t>MOISES</t>
        </is>
      </c>
    </row>
    <row r="20">
      <c r="A20" s="96" t="inlineStr">
        <is>
          <t>7639483998901324562</t>
        </is>
      </c>
      <c r="B20" s="96" t="inlineStr">
        <is>
          <t>reyes_del_hogar</t>
        </is>
      </c>
      <c r="C20" s="89" t="inlineStr">
        <is>
          <t>MX</t>
        </is>
      </c>
      <c r="D20" s="114" t="n">
        <v>257.28</v>
      </c>
      <c r="E20" s="40">
        <f>D20/1.16</f>
        <v/>
      </c>
      <c r="F20" s="114" t="n">
        <v>8332.124285714286</v>
      </c>
      <c r="G20" s="40">
        <f>F20/1.16</f>
        <v/>
      </c>
      <c r="H20" s="114" t="n">
        <v>0</v>
      </c>
      <c r="I20" s="89" t="n">
        <v>7</v>
      </c>
      <c r="J20" s="89" t="n">
        <v>7</v>
      </c>
      <c r="K20" s="116" t="n">
        <v>46155</v>
      </c>
      <c r="L20" s="38" t="inlineStr">
        <is>
          <t>MILLY</t>
        </is>
      </c>
      <c r="M20" s="38" t="inlineStr">
        <is>
          <t>MAYTE</t>
        </is>
      </c>
      <c r="N20" s="89" t="inlineStr">
        <is>
          <t>MOISES</t>
        </is>
      </c>
    </row>
    <row r="21">
      <c r="A21" s="96" t="inlineStr">
        <is>
          <t>7639855136105384712</t>
        </is>
      </c>
      <c r="B21" s="96" t="inlineStr">
        <is>
          <t>reyes_del_hogar</t>
        </is>
      </c>
      <c r="C21" s="89" t="inlineStr">
        <is>
          <t>MX</t>
        </is>
      </c>
      <c r="D21" s="114" t="n">
        <v>2701.83</v>
      </c>
      <c r="E21" s="40">
        <f>D21/1.16</f>
        <v/>
      </c>
      <c r="F21" s="114" t="n">
        <v>766.71</v>
      </c>
      <c r="G21" s="40">
        <f>F21/1.16</f>
        <v/>
      </c>
      <c r="H21" s="114" t="n">
        <v>0</v>
      </c>
      <c r="I21" s="89" t="n">
        <v>3</v>
      </c>
      <c r="J21" s="89" t="n">
        <v>3</v>
      </c>
      <c r="K21" s="116" t="n">
        <v>46156</v>
      </c>
      <c r="L21" s="38" t="inlineStr">
        <is>
          <t>MILLY</t>
        </is>
      </c>
      <c r="M21" s="38" t="inlineStr">
        <is>
          <t>MAYTE</t>
        </is>
      </c>
      <c r="N21" s="89" t="inlineStr">
        <is>
          <t>MOISES</t>
        </is>
      </c>
    </row>
    <row r="22">
      <c r="A22" s="96" t="inlineStr">
        <is>
          <t>7639906932661209864</t>
        </is>
      </c>
      <c r="B22" s="96" t="inlineStr">
        <is>
          <t>reyes_del_hogar</t>
        </is>
      </c>
      <c r="C22" s="89" t="inlineStr">
        <is>
          <t>MX</t>
        </is>
      </c>
      <c r="D22" s="114" t="n">
        <v>6162.95</v>
      </c>
      <c r="E22" s="40">
        <f>D22/1.16</f>
        <v/>
      </c>
      <c r="F22" s="114" t="n">
        <v>983.1325000000001</v>
      </c>
      <c r="G22" s="40">
        <f>F22/1.16</f>
        <v/>
      </c>
      <c r="H22" s="114" t="n">
        <v>0</v>
      </c>
      <c r="I22" s="89" t="n">
        <v>4</v>
      </c>
      <c r="J22" s="89" t="n">
        <v>4</v>
      </c>
      <c r="K22" s="116" t="n">
        <v>46156</v>
      </c>
      <c r="L22" s="38" t="inlineStr">
        <is>
          <t>MAYTE</t>
        </is>
      </c>
      <c r="M22" s="38" t="n"/>
      <c r="N22" s="89" t="inlineStr">
        <is>
          <t>MOISES</t>
        </is>
      </c>
    </row>
    <row r="23">
      <c r="A23" s="96" t="inlineStr">
        <is>
          <t>7640226471656393480</t>
        </is>
      </c>
      <c r="B23" s="96" t="inlineStr">
        <is>
          <t>reyes_del_hogar</t>
        </is>
      </c>
      <c r="C23" s="89" t="inlineStr">
        <is>
          <t>MX</t>
        </is>
      </c>
      <c r="D23" s="114" t="n">
        <v>2783.22</v>
      </c>
      <c r="E23" s="40">
        <f>D23/1.16</f>
        <v/>
      </c>
      <c r="F23" s="114" t="n">
        <v>832.8166666666666</v>
      </c>
      <c r="G23" s="40">
        <f>F23/1.16</f>
        <v/>
      </c>
      <c r="H23" s="114" t="n">
        <v>0</v>
      </c>
      <c r="I23" s="89" t="n">
        <v>3</v>
      </c>
      <c r="J23" s="89" t="n">
        <v>3</v>
      </c>
      <c r="K23" s="116" t="n">
        <v>46157</v>
      </c>
      <c r="L23" s="38" t="inlineStr">
        <is>
          <t>MILLY</t>
        </is>
      </c>
      <c r="M23" s="38" t="n"/>
      <c r="N23" s="89" t="inlineStr">
        <is>
          <t>MOISES</t>
        </is>
      </c>
    </row>
    <row r="24">
      <c r="A24" s="96" t="inlineStr">
        <is>
          <t>7640281161520220936</t>
        </is>
      </c>
      <c r="B24" s="96" t="inlineStr">
        <is>
          <t>reyes_del_hogar</t>
        </is>
      </c>
      <c r="C24" s="89" t="inlineStr">
        <is>
          <t>MX</t>
        </is>
      </c>
      <c r="D24" s="114" t="n">
        <v>6952.62</v>
      </c>
      <c r="E24" s="40">
        <f>D24/1.16</f>
        <v/>
      </c>
      <c r="F24" s="114" t="n">
        <v>4151.306666666666</v>
      </c>
      <c r="G24" s="40">
        <f>F24/1.16</f>
        <v/>
      </c>
      <c r="H24" s="114" t="n">
        <v>600.3200000000001</v>
      </c>
      <c r="I24" s="89" t="n">
        <v>3</v>
      </c>
      <c r="J24" s="89" t="n">
        <v>3</v>
      </c>
      <c r="K24" s="116" t="n">
        <v>46157</v>
      </c>
      <c r="L24" s="38" t="inlineStr">
        <is>
          <t>MAYTE</t>
        </is>
      </c>
      <c r="M24" s="38" t="n"/>
      <c r="N24" s="89" t="inlineStr">
        <is>
          <t>MOISES</t>
        </is>
      </c>
    </row>
    <row r="25">
      <c r="A25" s="96" t="inlineStr">
        <is>
          <t>7640497037426838279</t>
        </is>
      </c>
      <c r="B25" s="96" t="inlineStr">
        <is>
          <t>reyes_del_hogar</t>
        </is>
      </c>
      <c r="C25" s="89" t="inlineStr">
        <is>
          <t>MX</t>
        </is>
      </c>
      <c r="D25" s="114" t="n">
        <v>1287.86</v>
      </c>
      <c r="E25" s="40">
        <f>D25/1.16</f>
        <v/>
      </c>
      <c r="F25" s="114" t="n">
        <v>5361.194285714286</v>
      </c>
      <c r="G25" s="40">
        <f>F25/1.16</f>
        <v/>
      </c>
      <c r="H25" s="114" t="n">
        <v>1008.27</v>
      </c>
      <c r="I25" s="89" t="n">
        <v>7</v>
      </c>
      <c r="J25" s="89" t="n">
        <v>7</v>
      </c>
      <c r="K25" s="116" t="n">
        <v>46158</v>
      </c>
      <c r="L25" s="38" t="inlineStr">
        <is>
          <t>MAYTE</t>
        </is>
      </c>
      <c r="M25" s="38" t="n"/>
      <c r="N25" s="89" t="inlineStr">
        <is>
          <t>MOISES</t>
        </is>
      </c>
    </row>
    <row r="26">
      <c r="A26" s="96" t="inlineStr">
        <is>
          <t>7641339344355085064</t>
        </is>
      </c>
      <c r="B26" s="96" t="inlineStr">
        <is>
          <t>reyes_del_hogar</t>
        </is>
      </c>
      <c r="C26" s="89" t="inlineStr">
        <is>
          <t>MX</t>
        </is>
      </c>
      <c r="D26" s="114" t="n">
        <v>0</v>
      </c>
      <c r="E26" s="40">
        <f>D26/1.16</f>
        <v/>
      </c>
      <c r="F26" s="114" t="n">
        <v>3195.195</v>
      </c>
      <c r="G26" s="40">
        <f>F26/1.16</f>
        <v/>
      </c>
      <c r="H26" s="114" t="n">
        <v>1441.32</v>
      </c>
      <c r="I26" s="89" t="n">
        <v>6</v>
      </c>
      <c r="J26" s="89" t="n">
        <v>6</v>
      </c>
      <c r="K26" s="116" t="n">
        <v>46160</v>
      </c>
      <c r="L26" s="38" t="inlineStr">
        <is>
          <t>MILLY</t>
        </is>
      </c>
      <c r="M26" s="38" t="n"/>
      <c r="N26" s="89" t="inlineStr">
        <is>
          <t>MOISES</t>
        </is>
      </c>
    </row>
    <row r="27">
      <c r="A27" s="96" t="inlineStr">
        <is>
          <t>7641710556604418834</t>
        </is>
      </c>
      <c r="B27" s="96" t="inlineStr">
        <is>
          <t>reyes_del_hogar</t>
        </is>
      </c>
      <c r="C27" s="89" t="inlineStr">
        <is>
          <t>MX</t>
        </is>
      </c>
      <c r="D27" s="114" t="n">
        <v>578.9400000000001</v>
      </c>
      <c r="E27" s="40">
        <f>D27/1.16</f>
        <v/>
      </c>
      <c r="F27" s="114" t="n">
        <v>6445.373333333333</v>
      </c>
      <c r="G27" s="40">
        <f>F27/1.16</f>
        <v/>
      </c>
      <c r="H27" s="114" t="n">
        <v>298.19</v>
      </c>
      <c r="I27" s="89" t="n">
        <v>6</v>
      </c>
      <c r="J27" s="89" t="n">
        <v>6</v>
      </c>
      <c r="K27" s="116" t="n">
        <v>46161</v>
      </c>
      <c r="L27" s="38" t="inlineStr">
        <is>
          <t>MAYTE</t>
        </is>
      </c>
      <c r="M27" s="38" t="n"/>
      <c r="N27" s="89" t="inlineStr">
        <is>
          <t>MOISES</t>
        </is>
      </c>
    </row>
    <row r="28">
      <c r="A28" s="96" t="inlineStr">
        <is>
          <t>7642081823812094738</t>
        </is>
      </c>
      <c r="B28" s="96" t="inlineStr">
        <is>
          <t>reyes_del_hogar</t>
        </is>
      </c>
      <c r="C28" s="89" t="inlineStr">
        <is>
          <t>MX</t>
        </is>
      </c>
      <c r="D28" s="114" t="n">
        <v>3079.74</v>
      </c>
      <c r="E28" s="40">
        <f>D28/1.16</f>
        <v/>
      </c>
      <c r="F28" s="114" t="n">
        <v>3277.894285714286</v>
      </c>
      <c r="G28" s="40">
        <f>F28/1.16</f>
        <v/>
      </c>
      <c r="H28" s="114" t="n">
        <v>454.62</v>
      </c>
      <c r="I28" s="89" t="n">
        <v>7</v>
      </c>
      <c r="J28" s="89" t="n">
        <v>7</v>
      </c>
      <c r="K28" s="116" t="n">
        <v>46162</v>
      </c>
      <c r="L28" s="38" t="inlineStr">
        <is>
          <t>MILLY</t>
        </is>
      </c>
      <c r="M28" s="38" t="n"/>
      <c r="N28" s="89" t="inlineStr">
        <is>
          <t>MOISES</t>
        </is>
      </c>
    </row>
    <row r="29">
      <c r="A29" s="96" t="inlineStr">
        <is>
          <t>7642452890202163975</t>
        </is>
      </c>
      <c r="B29" s="96" t="inlineStr">
        <is>
          <t>reyes_del_hogar</t>
        </is>
      </c>
      <c r="C29" s="89" t="inlineStr">
        <is>
          <t>MX</t>
        </is>
      </c>
      <c r="D29" s="114" t="n">
        <v>4347.27</v>
      </c>
      <c r="E29" s="40">
        <f>D29/1.16</f>
        <v/>
      </c>
      <c r="F29" s="114" t="n">
        <v>576.04</v>
      </c>
      <c r="G29" s="40">
        <f>F29/1.16</f>
        <v/>
      </c>
      <c r="H29" s="114" t="n">
        <v>418.25</v>
      </c>
      <c r="I29" s="89" t="n">
        <v>5</v>
      </c>
      <c r="J29" s="89" t="n">
        <v>5</v>
      </c>
      <c r="K29" s="116" t="n">
        <v>46163</v>
      </c>
      <c r="L29" s="38" t="inlineStr">
        <is>
          <t>MAYTE</t>
        </is>
      </c>
      <c r="M29" s="38" t="n"/>
      <c r="N29" s="89" t="inlineStr">
        <is>
          <t>MOISES</t>
        </is>
      </c>
    </row>
    <row r="30">
      <c r="A30" s="96" t="inlineStr">
        <is>
          <t>7642823988015581960</t>
        </is>
      </c>
      <c r="B30" s="96" t="inlineStr">
        <is>
          <t>reyes_del_hogar</t>
        </is>
      </c>
      <c r="C30" s="89" t="inlineStr">
        <is>
          <t>MX</t>
        </is>
      </c>
      <c r="D30" s="114" t="n">
        <v>2424.2</v>
      </c>
      <c r="E30" s="40">
        <f>D30/1.16</f>
        <v/>
      </c>
      <c r="F30" s="114" t="n">
        <v>0</v>
      </c>
      <c r="G30" s="40">
        <f>F30/1.16</f>
        <v/>
      </c>
      <c r="H30" s="114" t="n">
        <v>0</v>
      </c>
      <c r="I30" s="89" t="n">
        <v>2</v>
      </c>
      <c r="J30" s="89" t="n">
        <v>2</v>
      </c>
      <c r="K30" s="116" t="n">
        <v>46164</v>
      </c>
      <c r="L30" s="38" t="inlineStr">
        <is>
          <t>MILLY</t>
        </is>
      </c>
      <c r="M30" s="38" t="n"/>
      <c r="N30" s="89" t="inlineStr">
        <is>
          <t>MOISES</t>
        </is>
      </c>
    </row>
    <row r="31">
      <c r="A31" s="96" t="inlineStr">
        <is>
          <t>7643937032855292679</t>
        </is>
      </c>
      <c r="B31" s="96" t="inlineStr">
        <is>
          <t>reyes_del_hogar</t>
        </is>
      </c>
      <c r="C31" s="89" t="inlineStr">
        <is>
          <t>MX</t>
        </is>
      </c>
      <c r="D31" s="114" t="n">
        <v>2598.98</v>
      </c>
      <c r="E31" s="40">
        <f>D31/1.16</f>
        <v/>
      </c>
      <c r="F31" s="114" t="n">
        <v>1563.32</v>
      </c>
      <c r="G31" s="40">
        <f>F31/1.16</f>
        <v/>
      </c>
      <c r="H31" s="114" t="n">
        <v>0</v>
      </c>
      <c r="I31" s="89" t="n">
        <v>7</v>
      </c>
      <c r="J31" s="89" t="n">
        <v>7</v>
      </c>
      <c r="K31" s="116" t="n">
        <v>46167</v>
      </c>
      <c r="L31" s="38" t="inlineStr">
        <is>
          <t>MAYTE</t>
        </is>
      </c>
      <c r="M31" s="38" t="n"/>
      <c r="N31" s="89" t="inlineStr">
        <is>
          <t>MOISES</t>
        </is>
      </c>
    </row>
    <row r="32">
      <c r="A32" s="96" t="inlineStr">
        <is>
          <t>7644308181816134418</t>
        </is>
      </c>
      <c r="B32" s="96" t="inlineStr">
        <is>
          <t>reyes_del_hogar</t>
        </is>
      </c>
      <c r="C32" s="89" t="inlineStr">
        <is>
          <t>MX</t>
        </is>
      </c>
      <c r="D32" s="114" t="n">
        <v>1079.52</v>
      </c>
      <c r="E32" s="40">
        <f>D32/1.16</f>
        <v/>
      </c>
      <c r="F32" s="114" t="n">
        <v>6507.584285714285</v>
      </c>
      <c r="G32" s="40">
        <f>F32/1.16</f>
        <v/>
      </c>
      <c r="H32" s="114" t="n">
        <v>0</v>
      </c>
      <c r="I32" s="89" t="n">
        <v>7</v>
      </c>
      <c r="J32" s="89" t="n">
        <v>7</v>
      </c>
      <c r="K32" s="116" t="n">
        <v>46168</v>
      </c>
      <c r="L32" s="38" t="inlineStr">
        <is>
          <t>MILLY</t>
        </is>
      </c>
      <c r="M32" s="38" t="inlineStr">
        <is>
          <t>MAYTE</t>
        </is>
      </c>
      <c r="N32" s="89" t="inlineStr">
        <is>
          <t>MOISES</t>
        </is>
      </c>
    </row>
    <row r="33">
      <c r="A33" s="96" t="inlineStr">
        <is>
          <t>7644679152406252306</t>
        </is>
      </c>
      <c r="B33" s="96" t="inlineStr">
        <is>
          <t>reyes_del_hogar</t>
        </is>
      </c>
      <c r="C33" s="89" t="inlineStr">
        <is>
          <t>MX</t>
        </is>
      </c>
      <c r="D33" s="114" t="n">
        <v>683.9299999999999</v>
      </c>
      <c r="E33" s="40">
        <f>D33/1.16</f>
        <v/>
      </c>
      <c r="F33" s="114" t="n">
        <v>871.9285714285714</v>
      </c>
      <c r="G33" s="40">
        <f>F33/1.16</f>
        <v/>
      </c>
      <c r="H33" s="114" t="n">
        <v>0</v>
      </c>
      <c r="I33" s="89" t="n">
        <v>7</v>
      </c>
      <c r="J33" s="89" t="n">
        <v>7</v>
      </c>
      <c r="K33" s="116" t="n">
        <v>46169</v>
      </c>
      <c r="L33" s="38" t="inlineStr">
        <is>
          <t>MILLY</t>
        </is>
      </c>
      <c r="M33" s="38" t="inlineStr">
        <is>
          <t>MAYTE</t>
        </is>
      </c>
      <c r="N33" s="89" t="inlineStr">
        <is>
          <t>MOISES</t>
        </is>
      </c>
    </row>
    <row r="34">
      <c r="K34" s="84" t="n"/>
    </row>
    <row r="35">
      <c r="A35" s="7" t="inlineStr">
        <is>
          <t>Room ID</t>
        </is>
      </c>
      <c r="B35" s="7" t="inlineStr">
        <is>
          <t>TT Handle</t>
        </is>
      </c>
      <c r="C35" s="7" t="inlineStr">
        <is>
          <t>Country</t>
        </is>
      </c>
      <c r="D35" s="7" t="inlineStr">
        <is>
          <t>GMV</t>
        </is>
      </c>
      <c r="E35" s="7" t="inlineStr">
        <is>
          <t>GMV/sin EVA</t>
        </is>
      </c>
      <c r="F35" s="7" t="inlineStr">
        <is>
          <t>GMV PER HOUR</t>
        </is>
      </c>
      <c r="G35" s="7" t="inlineStr">
        <is>
          <t>GMV PER HOUR/sin EVA</t>
        </is>
      </c>
      <c r="H35" s="7" t="inlineStr">
        <is>
          <t>Ads Cost</t>
        </is>
      </c>
      <c r="I35" s="7" t="inlineStr">
        <is>
          <t>Duration (H)</t>
        </is>
      </c>
      <c r="J35" s="28" t="inlineStr">
        <is>
          <t>Duration （Formula）</t>
        </is>
      </c>
      <c r="K35" s="58" t="inlineStr">
        <is>
          <t>Start date</t>
        </is>
      </c>
      <c r="L35" s="71" t="inlineStr">
        <is>
          <t>HOST1</t>
        </is>
      </c>
      <c r="M35" s="71" t="inlineStr">
        <is>
          <t xml:space="preserve">HOST 2 </t>
        </is>
      </c>
      <c r="N35" s="71" t="inlineStr">
        <is>
          <t>Operator</t>
        </is>
      </c>
    </row>
    <row r="36">
      <c r="A36" s="96" t="inlineStr">
        <is>
          <t>7644973027607743250</t>
        </is>
      </c>
      <c r="B36" s="96" t="inlineStr">
        <is>
          <t>reyes_del_hogar</t>
        </is>
      </c>
      <c r="C36" s="89" t="inlineStr">
        <is>
          <t>MX</t>
        </is>
      </c>
      <c r="D36" s="114" t="n">
        <v>11676.31</v>
      </c>
      <c r="E36" s="40">
        <f>D36/1.16</f>
        <v/>
      </c>
      <c r="F36" s="114">
        <f>D36/I36</f>
        <v/>
      </c>
      <c r="G36" s="40">
        <f>F36/1.16</f>
        <v/>
      </c>
      <c r="H36" s="114" t="n">
        <v>0</v>
      </c>
      <c r="I36" s="115" t="n">
        <v>7</v>
      </c>
      <c r="J36" s="89" t="n">
        <v>7</v>
      </c>
      <c r="K36" s="116" t="n">
        <v>46170</v>
      </c>
      <c r="L36" s="38" t="inlineStr">
        <is>
          <t>MILLY</t>
        </is>
      </c>
      <c r="M36" s="38" t="n"/>
      <c r="N36" s="89" t="inlineStr">
        <is>
          <t>MOISES</t>
        </is>
      </c>
    </row>
    <row r="37">
      <c r="A37" s="96" t="inlineStr">
        <is>
          <t>7645421380007791378</t>
        </is>
      </c>
      <c r="B37" s="96" t="inlineStr">
        <is>
          <t>reyes_del_hogar</t>
        </is>
      </c>
      <c r="C37" s="89" t="inlineStr">
        <is>
          <t>MX</t>
        </is>
      </c>
      <c r="D37" s="114" t="n">
        <v>609</v>
      </c>
      <c r="E37" s="40">
        <f>D37/1.16</f>
        <v/>
      </c>
      <c r="F37" s="114">
        <f>D37/I37</f>
        <v/>
      </c>
      <c r="G37" s="40">
        <f>F37/1.16</f>
        <v/>
      </c>
      <c r="H37" s="114" t="n">
        <v>0</v>
      </c>
      <c r="I37" s="115" t="n">
        <v>3</v>
      </c>
      <c r="J37" s="89" t="n">
        <v>3</v>
      </c>
      <c r="K37" s="116" t="n">
        <v>46171</v>
      </c>
      <c r="L37" s="38" t="inlineStr">
        <is>
          <t>MILLY</t>
        </is>
      </c>
      <c r="M37" s="38" t="n"/>
      <c r="N37" s="89" t="inlineStr">
        <is>
          <t>MOISES</t>
        </is>
      </c>
    </row>
    <row r="38">
      <c r="A38" s="96" t="inlineStr">
        <is>
          <t>7645482336369642258</t>
        </is>
      </c>
      <c r="B38" s="96" t="inlineStr">
        <is>
          <t>reyes_del_hogar</t>
        </is>
      </c>
      <c r="C38" s="89" t="inlineStr">
        <is>
          <t>MX</t>
        </is>
      </c>
      <c r="D38" s="114" t="n">
        <v>343.15</v>
      </c>
      <c r="E38" s="40">
        <f>D38/1.16</f>
        <v/>
      </c>
      <c r="F38" s="114">
        <f>D38/I38</f>
        <v/>
      </c>
      <c r="G38" s="40">
        <f>F38/1.16</f>
        <v/>
      </c>
      <c r="H38" s="114" t="n">
        <v>0</v>
      </c>
      <c r="I38" s="115" t="n">
        <v>3</v>
      </c>
      <c r="J38" s="89" t="n">
        <v>3</v>
      </c>
      <c r="K38" s="116" t="n">
        <v>46171</v>
      </c>
      <c r="L38" s="38" t="inlineStr">
        <is>
          <t>MILLY</t>
        </is>
      </c>
      <c r="M38" s="38" t="n"/>
      <c r="N38" s="89" t="inlineStr">
        <is>
          <t>MOISES</t>
        </is>
      </c>
    </row>
    <row r="39">
      <c r="A39" s="96" t="inlineStr">
        <is>
          <t>7646535019796286215</t>
        </is>
      </c>
      <c r="B39" s="96" t="inlineStr">
        <is>
          <t>reyes_del_hogar</t>
        </is>
      </c>
      <c r="C39" s="89" t="inlineStr">
        <is>
          <t>MX</t>
        </is>
      </c>
      <c r="D39" s="114" t="n">
        <v>0</v>
      </c>
      <c r="E39" s="40">
        <f>D39/1.16</f>
        <v/>
      </c>
      <c r="F39" s="114">
        <f>D39/I39</f>
        <v/>
      </c>
      <c r="G39" s="40">
        <f>F39/1.16</f>
        <v/>
      </c>
      <c r="H39" s="114" t="n">
        <v>0</v>
      </c>
      <c r="I39" s="115" t="n">
        <v>3</v>
      </c>
      <c r="J39" s="89" t="n">
        <v>3</v>
      </c>
      <c r="K39" s="116" t="n">
        <v>46174</v>
      </c>
      <c r="L39" s="38" t="inlineStr">
        <is>
          <t>MILLY</t>
        </is>
      </c>
      <c r="M39" s="38" t="n"/>
      <c r="N39" s="89" t="inlineStr">
        <is>
          <t>MOISES</t>
        </is>
      </c>
    </row>
    <row r="40">
      <c r="A40" s="96" t="inlineStr">
        <is>
          <t>7646562438998346503</t>
        </is>
      </c>
      <c r="B40" s="96" t="inlineStr">
        <is>
          <t>reyes_del_hogar</t>
        </is>
      </c>
      <c r="C40" s="89" t="inlineStr">
        <is>
          <t>MX</t>
        </is>
      </c>
      <c r="D40" s="114" t="n">
        <v>1007.88</v>
      </c>
      <c r="E40" s="40">
        <f>D40/1.16</f>
        <v/>
      </c>
      <c r="F40" s="114">
        <f>D40/I40</f>
        <v/>
      </c>
      <c r="G40" s="40">
        <f>F40/1.16</f>
        <v/>
      </c>
      <c r="H40" s="114" t="n">
        <v>0</v>
      </c>
      <c r="I40" s="115" t="n">
        <v>3</v>
      </c>
      <c r="J40" s="89" t="n">
        <v>3</v>
      </c>
      <c r="K40" s="116" t="n">
        <v>46174</v>
      </c>
      <c r="L40" s="38" t="inlineStr">
        <is>
          <t>MILLY</t>
        </is>
      </c>
      <c r="M40" s="38" t="n"/>
      <c r="N40" s="89" t="inlineStr">
        <is>
          <t>MOISES</t>
        </is>
      </c>
    </row>
    <row r="41">
      <c r="A41" s="96" t="inlineStr">
        <is>
          <t>7646905682163452679</t>
        </is>
      </c>
      <c r="B41" s="96" t="inlineStr">
        <is>
          <t>reyes_del_hogar</t>
        </is>
      </c>
      <c r="C41" s="89" t="inlineStr">
        <is>
          <t>MX</t>
        </is>
      </c>
      <c r="D41" s="114" t="n">
        <v>11619.85</v>
      </c>
      <c r="E41" s="40">
        <f>D41/1.16</f>
        <v/>
      </c>
      <c r="F41" s="114">
        <f>D41/I41</f>
        <v/>
      </c>
      <c r="G41" s="40">
        <f>F41/1.16</f>
        <v/>
      </c>
      <c r="H41" s="114" t="n">
        <v>0</v>
      </c>
      <c r="I41" s="115" t="n">
        <v>3</v>
      </c>
      <c r="J41" s="89" t="n">
        <v>3</v>
      </c>
      <c r="K41" s="116" t="n">
        <v>46175</v>
      </c>
      <c r="L41" s="38" t="inlineStr">
        <is>
          <t>MILLY</t>
        </is>
      </c>
      <c r="M41" s="38" t="n"/>
      <c r="N41" s="89" t="inlineStr">
        <is>
          <t>MOISES</t>
        </is>
      </c>
    </row>
    <row r="42">
      <c r="A42" s="96" t="inlineStr">
        <is>
          <t>7647323246722845448</t>
        </is>
      </c>
      <c r="B42" s="96" t="inlineStr">
        <is>
          <t>reyes_del_hogar</t>
        </is>
      </c>
      <c r="C42" s="89" t="inlineStr">
        <is>
          <t>MX</t>
        </is>
      </c>
      <c r="D42" s="114" t="n">
        <v>595.0599999999999</v>
      </c>
      <c r="E42" s="40">
        <f>D42/1.16</f>
        <v/>
      </c>
      <c r="F42" s="114">
        <f>D42/I42</f>
        <v/>
      </c>
      <c r="G42" s="40">
        <f>F42/1.16</f>
        <v/>
      </c>
      <c r="H42" s="114" t="n">
        <v>0</v>
      </c>
      <c r="I42" s="115" t="n">
        <v>3</v>
      </c>
      <c r="J42" s="89" t="n">
        <v>3</v>
      </c>
      <c r="K42" s="116" t="n">
        <v>46176</v>
      </c>
      <c r="L42" s="38" t="inlineStr">
        <is>
          <t>MILLY</t>
        </is>
      </c>
      <c r="M42" s="38" t="n"/>
      <c r="N42" s="89" t="inlineStr">
        <is>
          <t>MOISES</t>
        </is>
      </c>
    </row>
    <row r="43">
      <c r="A43" s="96" t="inlineStr">
        <is>
          <t>7647694167665101576</t>
        </is>
      </c>
      <c r="B43" s="96" t="inlineStr">
        <is>
          <t>reyes_del_hogar</t>
        </is>
      </c>
      <c r="C43" s="89" t="inlineStr">
        <is>
          <t>MX</t>
        </is>
      </c>
      <c r="D43" s="114" t="n">
        <v>3271.77</v>
      </c>
      <c r="E43" s="40">
        <f>D43/1.16</f>
        <v/>
      </c>
      <c r="F43" s="114">
        <f>D43/I43</f>
        <v/>
      </c>
      <c r="G43" s="40">
        <f>F43/1.16</f>
        <v/>
      </c>
      <c r="H43" s="114" t="n">
        <v>0</v>
      </c>
      <c r="I43" s="115" t="n">
        <v>3</v>
      </c>
      <c r="J43" s="89" t="n">
        <v>3</v>
      </c>
      <c r="K43" s="116" t="n">
        <v>46177</v>
      </c>
      <c r="L43" s="38" t="inlineStr">
        <is>
          <t>MILLY</t>
        </is>
      </c>
      <c r="M43" s="38" t="n"/>
      <c r="N43" s="89" t="inlineStr">
        <is>
          <t>MOISES</t>
        </is>
      </c>
    </row>
    <row r="44">
      <c r="A44" s="96" t="inlineStr">
        <is>
          <t>7648065337979620117</t>
        </is>
      </c>
      <c r="B44" s="96" t="inlineStr">
        <is>
          <t>reyes_del_hogar</t>
        </is>
      </c>
      <c r="C44" s="89" t="inlineStr">
        <is>
          <t>MX</t>
        </is>
      </c>
      <c r="D44" s="114" t="n">
        <v>1157</v>
      </c>
      <c r="E44" s="40">
        <f>D44/1.16</f>
        <v/>
      </c>
      <c r="F44" s="114">
        <f>D44/I44</f>
        <v/>
      </c>
      <c r="G44" s="40">
        <f>F44/1.16</f>
        <v/>
      </c>
      <c r="H44" s="114" t="n">
        <v>0</v>
      </c>
      <c r="I44" s="115" t="n">
        <v>3</v>
      </c>
      <c r="J44" s="89" t="n">
        <v>3</v>
      </c>
      <c r="K44" s="116" t="n">
        <v>46178</v>
      </c>
      <c r="L44" s="38" t="inlineStr">
        <is>
          <t>MILLY</t>
        </is>
      </c>
      <c r="M44" s="38" t="n"/>
      <c r="N44" s="89" t="inlineStr">
        <is>
          <t>MOISES</t>
        </is>
      </c>
    </row>
    <row r="45">
      <c r="A45" s="96" t="inlineStr">
        <is>
          <t>7649178503867091732</t>
        </is>
      </c>
      <c r="B45" s="96" t="inlineStr">
        <is>
          <t>reyes_del_hogar</t>
        </is>
      </c>
      <c r="C45" s="89" t="inlineStr">
        <is>
          <t>MX</t>
        </is>
      </c>
      <c r="D45" s="114" t="n">
        <v>9770.540000000001</v>
      </c>
      <c r="E45" s="40">
        <f>D45/1.16</f>
        <v/>
      </c>
      <c r="F45" s="114">
        <f>D45/I45</f>
        <v/>
      </c>
      <c r="G45" s="40">
        <f>F45/1.16</f>
        <v/>
      </c>
      <c r="H45" s="114" t="n">
        <v>0</v>
      </c>
      <c r="I45" s="115" t="n">
        <v>3</v>
      </c>
      <c r="J45" s="89" t="n">
        <v>3</v>
      </c>
      <c r="K45" s="116" t="n">
        <v>46181</v>
      </c>
      <c r="L45" s="38" t="inlineStr">
        <is>
          <t>MILLY</t>
        </is>
      </c>
      <c r="M45" s="38" t="n"/>
      <c r="N45" s="89" t="inlineStr">
        <is>
          <t>MOISES</t>
        </is>
      </c>
    </row>
    <row r="46">
      <c r="A46" s="96" t="inlineStr">
        <is>
          <t>7649921177259035399</t>
        </is>
      </c>
      <c r="B46" s="96" t="inlineStr">
        <is>
          <t>reyes_del_hogar</t>
        </is>
      </c>
      <c r="C46" s="89" t="inlineStr">
        <is>
          <t>MX</t>
        </is>
      </c>
      <c r="D46" s="114" t="n">
        <v>3433.88</v>
      </c>
      <c r="E46" s="40">
        <f>D46/1.16</f>
        <v/>
      </c>
      <c r="F46" s="114">
        <f>D46/I46</f>
        <v/>
      </c>
      <c r="G46" s="40">
        <f>F46/1.16</f>
        <v/>
      </c>
      <c r="H46" s="114" t="n">
        <v>0</v>
      </c>
      <c r="I46" s="115" t="n">
        <v>3</v>
      </c>
      <c r="J46" s="89" t="n">
        <v>3</v>
      </c>
      <c r="K46" s="116" t="n">
        <v>46183</v>
      </c>
      <c r="L46" s="38" t="inlineStr">
        <is>
          <t>MILLY</t>
        </is>
      </c>
      <c r="M46" s="38" t="n"/>
      <c r="N46" s="89" t="inlineStr">
        <is>
          <t>MOISES</t>
        </is>
      </c>
    </row>
    <row r="47">
      <c r="A47" s="96" t="inlineStr">
        <is>
          <t>7650662995260869383</t>
        </is>
      </c>
      <c r="B47" s="96" t="inlineStr">
        <is>
          <t>reyes_del_hogar</t>
        </is>
      </c>
      <c r="C47" s="89" t="inlineStr">
        <is>
          <t>MX</t>
        </is>
      </c>
      <c r="D47" s="114" t="n">
        <v>4002.96</v>
      </c>
      <c r="E47" s="40">
        <f>D47/1.16</f>
        <v/>
      </c>
      <c r="F47" s="114">
        <f>D47/I47</f>
        <v/>
      </c>
      <c r="G47" s="40">
        <f>F47/1.16</f>
        <v/>
      </c>
      <c r="H47" s="114" t="n">
        <v>0</v>
      </c>
      <c r="I47" s="115" t="n">
        <v>3</v>
      </c>
      <c r="J47" s="89" t="n">
        <v>3</v>
      </c>
      <c r="K47" s="116" t="n">
        <v>46185</v>
      </c>
      <c r="L47" s="38" t="inlineStr">
        <is>
          <t>MILLY</t>
        </is>
      </c>
      <c r="M47" s="38" t="n"/>
      <c r="N47" s="89" t="inlineStr">
        <is>
          <t>MOISES</t>
        </is>
      </c>
    </row>
    <row r="48">
      <c r="A48" s="96" t="inlineStr">
        <is>
          <t>7651776207754660616</t>
        </is>
      </c>
      <c r="B48" s="96" t="inlineStr">
        <is>
          <t>reyes_del_hogar</t>
        </is>
      </c>
      <c r="C48" s="89" t="inlineStr">
        <is>
          <t>MX</t>
        </is>
      </c>
      <c r="D48" s="114" t="n">
        <v>4104.77</v>
      </c>
      <c r="E48" s="40">
        <f>D48/1.16</f>
        <v/>
      </c>
      <c r="F48" s="114">
        <f>D48/I48</f>
        <v/>
      </c>
      <c r="G48" s="40">
        <f>F48/1.16</f>
        <v/>
      </c>
      <c r="H48" s="114" t="n">
        <v>0</v>
      </c>
      <c r="I48" s="115" t="n">
        <v>3</v>
      </c>
      <c r="J48" s="89" t="n">
        <v>3</v>
      </c>
      <c r="K48" s="116" t="n">
        <v>46188</v>
      </c>
      <c r="L48" s="38" t="inlineStr">
        <is>
          <t>MILLY</t>
        </is>
      </c>
      <c r="M48" s="38" t="n"/>
      <c r="N48" s="89" t="inlineStr">
        <is>
          <t>MOISES</t>
        </is>
      </c>
    </row>
    <row r="49">
      <c r="A49" s="96" t="inlineStr">
        <is>
          <t>7652131761443883784</t>
        </is>
      </c>
      <c r="B49" s="96" t="inlineStr">
        <is>
          <t>reyes_del_hogar</t>
        </is>
      </c>
      <c r="C49" s="89" t="inlineStr">
        <is>
          <t>MX</t>
        </is>
      </c>
      <c r="D49" s="114" t="n">
        <v>5615.13</v>
      </c>
      <c r="E49" s="40">
        <f>D49/1.16</f>
        <v/>
      </c>
      <c r="F49" s="114">
        <f>D49/I49</f>
        <v/>
      </c>
      <c r="G49" s="40">
        <f>F49/1.16</f>
        <v/>
      </c>
      <c r="H49" s="114" t="n">
        <v>0</v>
      </c>
      <c r="I49" s="115" t="n">
        <v>3</v>
      </c>
      <c r="J49" s="89" t="n">
        <v>3</v>
      </c>
      <c r="K49" s="116" t="n">
        <v>46189</v>
      </c>
      <c r="L49" s="38" t="inlineStr">
        <is>
          <t>MILLY</t>
        </is>
      </c>
      <c r="M49" s="38" t="n"/>
      <c r="N49" s="89" t="inlineStr">
        <is>
          <t>MOISES</t>
        </is>
      </c>
    </row>
    <row r="50">
      <c r="A50" s="96" t="inlineStr">
        <is>
          <t>7652502842389728018</t>
        </is>
      </c>
      <c r="B50" s="96" t="inlineStr">
        <is>
          <t>reyes_del_hogar</t>
        </is>
      </c>
      <c r="C50" s="89" t="inlineStr">
        <is>
          <t>MX</t>
        </is>
      </c>
      <c r="D50" s="114" t="n">
        <v>3119.78</v>
      </c>
      <c r="E50" s="40">
        <f>D50/1.16</f>
        <v/>
      </c>
      <c r="F50" s="114">
        <f>D50/I50</f>
        <v/>
      </c>
      <c r="G50" s="40">
        <f>F50/1.16</f>
        <v/>
      </c>
      <c r="H50" s="114" t="n">
        <v>0</v>
      </c>
      <c r="I50" s="115" t="n">
        <v>3</v>
      </c>
      <c r="J50" s="89" t="n">
        <v>3</v>
      </c>
      <c r="K50" s="116" t="n">
        <v>46190</v>
      </c>
      <c r="L50" s="38" t="inlineStr">
        <is>
          <t>MILLY</t>
        </is>
      </c>
      <c r="M50" s="38" t="n"/>
      <c r="N50" s="89" t="inlineStr">
        <is>
          <t>MOISES</t>
        </is>
      </c>
    </row>
    <row r="51">
      <c r="A51" s="96" t="inlineStr">
        <is>
          <t>7652750317385288455</t>
        </is>
      </c>
      <c r="B51" s="96" t="inlineStr">
        <is>
          <t>reyes_del_hogar</t>
        </is>
      </c>
      <c r="C51" s="89" t="inlineStr">
        <is>
          <t>MX</t>
        </is>
      </c>
      <c r="D51" s="114" t="n">
        <v>2530.59</v>
      </c>
      <c r="E51" s="40">
        <f>D51/1.16</f>
        <v/>
      </c>
      <c r="F51" s="114">
        <f>D51/I51</f>
        <v/>
      </c>
      <c r="G51" s="40">
        <f>F51/1.16</f>
        <v/>
      </c>
      <c r="H51" s="114" t="n">
        <v>0</v>
      </c>
      <c r="I51" s="115" t="n">
        <v>3</v>
      </c>
      <c r="J51" s="89" t="n">
        <v>3</v>
      </c>
      <c r="K51" s="116" t="n">
        <v>46191</v>
      </c>
      <c r="L51" s="38" t="inlineStr">
        <is>
          <t>MILLY</t>
        </is>
      </c>
      <c r="M51" s="38" t="n"/>
      <c r="N51" s="89" t="inlineStr">
        <is>
          <t>MOISES</t>
        </is>
      </c>
    </row>
    <row r="52">
      <c r="A52" s="96" t="inlineStr">
        <is>
          <t>7653260638931749653</t>
        </is>
      </c>
      <c r="B52" s="96" t="inlineStr">
        <is>
          <t>reyes_del_hogar</t>
        </is>
      </c>
      <c r="C52" s="89" t="inlineStr">
        <is>
          <t>MX</t>
        </is>
      </c>
      <c r="D52" s="114" t="n">
        <v>1311.53</v>
      </c>
      <c r="E52" s="40">
        <f>D52/1.16</f>
        <v/>
      </c>
      <c r="F52" s="114">
        <f>D52/I52</f>
        <v/>
      </c>
      <c r="G52" s="40">
        <f>F52/1.16</f>
        <v/>
      </c>
      <c r="H52" s="114" t="n">
        <v>0</v>
      </c>
      <c r="I52" s="115" t="n">
        <v>3</v>
      </c>
      <c r="J52" s="89" t="n">
        <v>3</v>
      </c>
      <c r="K52" s="116" t="n">
        <v>46192</v>
      </c>
      <c r="L52" s="38" t="inlineStr">
        <is>
          <t>MILLY</t>
        </is>
      </c>
      <c r="M52" s="38" t="n"/>
      <c r="N52" s="89" t="inlineStr">
        <is>
          <t>MOISES</t>
        </is>
      </c>
    </row>
    <row r="53">
      <c r="A53" s="96" t="inlineStr">
        <is>
          <t>7654373588540820242</t>
        </is>
      </c>
      <c r="B53" s="96" t="inlineStr">
        <is>
          <t>reyes_del_hogar</t>
        </is>
      </c>
      <c r="C53" s="89" t="inlineStr">
        <is>
          <t>MX</t>
        </is>
      </c>
      <c r="D53" s="114" t="n">
        <v>2554.6</v>
      </c>
      <c r="E53" s="40">
        <f>D53/1.16</f>
        <v/>
      </c>
      <c r="F53" s="114">
        <f>D53/I53</f>
        <v/>
      </c>
      <c r="G53" s="40">
        <f>F53/1.16</f>
        <v/>
      </c>
      <c r="H53" s="114" t="n">
        <v>0</v>
      </c>
      <c r="I53" s="115" t="n">
        <v>3</v>
      </c>
      <c r="J53" s="89" t="n">
        <v>3</v>
      </c>
      <c r="K53" s="116" t="n">
        <v>46195</v>
      </c>
      <c r="L53" s="38" t="inlineStr">
        <is>
          <t>MILLY</t>
        </is>
      </c>
      <c r="M53" s="38" t="n"/>
      <c r="N53" s="89" t="inlineStr">
        <is>
          <t>MOISES</t>
        </is>
      </c>
    </row>
    <row r="54">
      <c r="A54" s="96" t="inlineStr">
        <is>
          <t>7654981005222497044</t>
        </is>
      </c>
      <c r="B54" s="96" t="inlineStr">
        <is>
          <t>reyes_del_hogar</t>
        </is>
      </c>
      <c r="C54" s="89" t="inlineStr">
        <is>
          <t>MX</t>
        </is>
      </c>
      <c r="D54" s="114" t="n">
        <v>1825.2</v>
      </c>
      <c r="E54" s="40">
        <f>D54/1.16</f>
        <v/>
      </c>
      <c r="F54" s="114">
        <f>D54/I54</f>
        <v/>
      </c>
      <c r="G54" s="40">
        <f>F54/1.16</f>
        <v/>
      </c>
      <c r="H54" s="114" t="n">
        <v>0</v>
      </c>
      <c r="I54" s="115" t="n">
        <v>3</v>
      </c>
      <c r="J54" s="89" t="n">
        <v>3</v>
      </c>
      <c r="K54" s="116" t="n">
        <v>46197</v>
      </c>
      <c r="L54" s="38" t="inlineStr">
        <is>
          <t>MAYTE</t>
        </is>
      </c>
      <c r="M54" s="38" t="n"/>
      <c r="N54" s="89" t="inlineStr">
        <is>
          <t>MOISES</t>
        </is>
      </c>
    </row>
    <row r="55">
      <c r="A55" s="96" t="inlineStr">
        <is>
          <t>7655487118168312596</t>
        </is>
      </c>
      <c r="B55" s="96" t="inlineStr">
        <is>
          <t>reyes_del_hogar</t>
        </is>
      </c>
      <c r="C55" s="89" t="inlineStr">
        <is>
          <t>MX</t>
        </is>
      </c>
      <c r="D55" s="114" t="n">
        <v>3588.1</v>
      </c>
      <c r="E55" s="40">
        <f>D55/1.16</f>
        <v/>
      </c>
      <c r="F55" s="114">
        <f>D55/I55</f>
        <v/>
      </c>
      <c r="G55" s="40">
        <f>F55/1.16</f>
        <v/>
      </c>
      <c r="H55" s="114" t="n">
        <v>0</v>
      </c>
      <c r="I55" s="115" t="n">
        <v>3</v>
      </c>
      <c r="J55" s="89" t="n">
        <v>3</v>
      </c>
      <c r="K55" s="116" t="n">
        <v>46198</v>
      </c>
      <c r="L55" s="38" t="inlineStr">
        <is>
          <t>MILLY</t>
        </is>
      </c>
      <c r="M55" s="38" t="n"/>
      <c r="N55" s="89" t="inlineStr">
        <is>
          <t>MOISES</t>
        </is>
      </c>
    </row>
    <row r="56">
      <c r="A56" s="96" t="inlineStr">
        <is>
          <t>7655858222394886932</t>
        </is>
      </c>
      <c r="B56" s="96" t="inlineStr">
        <is>
          <t>reyes_del_hogar</t>
        </is>
      </c>
      <c r="C56" s="89" t="inlineStr">
        <is>
          <t>MX</t>
        </is>
      </c>
      <c r="D56" s="114" t="n">
        <v>4222.74</v>
      </c>
      <c r="E56" s="40">
        <f>D56/1.16</f>
        <v/>
      </c>
      <c r="F56" s="114">
        <f>D56/I56</f>
        <v/>
      </c>
      <c r="G56" s="40">
        <f>F56/1.16</f>
        <v/>
      </c>
      <c r="H56" s="114" t="n">
        <v>0</v>
      </c>
      <c r="I56" s="115" t="n">
        <v>3</v>
      </c>
      <c r="J56" s="89" t="n">
        <v>3</v>
      </c>
      <c r="K56" s="116" t="n">
        <v>46199</v>
      </c>
      <c r="L56" s="38" t="inlineStr">
        <is>
          <t>MILLY</t>
        </is>
      </c>
      <c r="M56" s="38" t="n"/>
      <c r="N56" s="89" t="inlineStr">
        <is>
          <t>MOISES</t>
        </is>
      </c>
    </row>
    <row r="57">
      <c r="K57" s="84" t="n"/>
    </row>
    <row r="58">
      <c r="K58" s="84" t="n"/>
    </row>
    <row r="59">
      <c r="A59" s="7" t="inlineStr">
        <is>
          <t>Room ID</t>
        </is>
      </c>
      <c r="B59" s="7" t="inlineStr">
        <is>
          <t>TT Handle</t>
        </is>
      </c>
      <c r="C59" s="7" t="inlineStr">
        <is>
          <t>Country</t>
        </is>
      </c>
      <c r="D59" s="7" t="inlineStr">
        <is>
          <t>GMV</t>
        </is>
      </c>
      <c r="E59" s="7" t="inlineStr">
        <is>
          <t>GMV/sin EVA</t>
        </is>
      </c>
      <c r="F59" s="7" t="inlineStr">
        <is>
          <t>GMV PER HOUR</t>
        </is>
      </c>
      <c r="G59" s="7" t="inlineStr">
        <is>
          <t>GMV PER HOUR/sin EVA</t>
        </is>
      </c>
      <c r="H59" s="7" t="inlineStr">
        <is>
          <t>Ads Cost</t>
        </is>
      </c>
      <c r="I59" s="7" t="inlineStr">
        <is>
          <t>Duration (H)</t>
        </is>
      </c>
      <c r="J59" s="28" t="inlineStr">
        <is>
          <t>Duration （Formula）</t>
        </is>
      </c>
      <c r="K59" s="58" t="inlineStr">
        <is>
          <t>Start date</t>
        </is>
      </c>
      <c r="L59" s="71" t="inlineStr">
        <is>
          <t>HOST1</t>
        </is>
      </c>
      <c r="M59" s="71" t="inlineStr">
        <is>
          <t xml:space="preserve">HOST 2 </t>
        </is>
      </c>
      <c r="N59" s="71" t="inlineStr">
        <is>
          <t>Operator</t>
        </is>
      </c>
    </row>
    <row r="60">
      <c r="A60" s="96" t="inlineStr">
        <is>
          <t>7656972042207447828</t>
        </is>
      </c>
      <c r="B60" s="96" t="inlineStr">
        <is>
          <t>reyes_del_hogar</t>
        </is>
      </c>
      <c r="C60" s="89" t="inlineStr">
        <is>
          <t>MX</t>
        </is>
      </c>
      <c r="D60" s="114" t="n">
        <v>3046.93</v>
      </c>
      <c r="E60" s="40">
        <f>D60/1.16</f>
        <v/>
      </c>
      <c r="F60" s="114">
        <f>D60/J60</f>
        <v/>
      </c>
      <c r="G60" s="40">
        <f>F60/1.16</f>
        <v/>
      </c>
      <c r="H60" s="114" t="n">
        <v>0</v>
      </c>
      <c r="I60" s="115" t="n">
        <v>3.04</v>
      </c>
      <c r="J60" s="74">
        <f>LET(dec, I60-INT(I60), IF(dec&lt;0.1, INT(I60), IF(dec&lt;=0.7, INT(I60)+0.5, INT(I60)+1)))</f>
        <v/>
      </c>
      <c r="K60" s="116" t="n">
        <v>46202</v>
      </c>
      <c r="L60" s="38" t="inlineStr">
        <is>
          <t>MILLY</t>
        </is>
      </c>
      <c r="M60" s="38" t="n"/>
      <c r="N60" s="89" t="inlineStr">
        <is>
          <t>MOISES</t>
        </is>
      </c>
    </row>
    <row r="61">
      <c r="A61" s="96" t="inlineStr">
        <is>
          <t>7657220549825301268</t>
        </is>
      </c>
      <c r="B61" s="96" t="inlineStr">
        <is>
          <t>reyes_del_hogar</t>
        </is>
      </c>
      <c r="C61" s="89" t="inlineStr">
        <is>
          <t>MX</t>
        </is>
      </c>
      <c r="D61" s="114" t="n">
        <v>2969.52</v>
      </c>
      <c r="E61" s="40">
        <f>D61/1.16</f>
        <v/>
      </c>
      <c r="F61" s="114">
        <f>D61/J61</f>
        <v/>
      </c>
      <c r="G61" s="40">
        <f>F61/1.16</f>
        <v/>
      </c>
      <c r="H61" s="114" t="n">
        <v>0</v>
      </c>
      <c r="I61" s="115" t="n">
        <v>3.12</v>
      </c>
      <c r="J61" s="74">
        <f>LET(dec, I61-INT(I61), IF(dec&lt;0.1, INT(I61), IF(dec&lt;=0.7, INT(I61)+0.5, INT(I61)+1)))</f>
        <v/>
      </c>
      <c r="K61" s="116" t="n">
        <v>46203</v>
      </c>
      <c r="L61" s="38" t="inlineStr">
        <is>
          <t>MILLY</t>
        </is>
      </c>
      <c r="M61" s="38" t="n"/>
      <c r="N61" s="89" t="inlineStr">
        <is>
          <t>MOISES</t>
        </is>
      </c>
    </row>
    <row r="62">
      <c r="A62" s="96" t="inlineStr">
        <is>
          <t>7660303424386976532</t>
        </is>
      </c>
      <c r="B62" s="96" t="inlineStr">
        <is>
          <t>reyes_del_hogar</t>
        </is>
      </c>
      <c r="C62" s="89" t="inlineStr">
        <is>
          <t>MX</t>
        </is>
      </c>
      <c r="D62" s="114" t="n">
        <v>6516.74</v>
      </c>
      <c r="E62" s="40">
        <f>D62/1.16</f>
        <v/>
      </c>
      <c r="F62" s="114">
        <f>D62/J62</f>
        <v/>
      </c>
      <c r="G62" s="40">
        <f>F62/1.16</f>
        <v/>
      </c>
      <c r="H62" s="114" t="n">
        <v>0</v>
      </c>
      <c r="I62" s="115" t="n">
        <v>4.56</v>
      </c>
      <c r="J62" s="74">
        <f>LET(dec, I62-INT(I62), IF(dec&lt;0.1, INT(I62), IF(dec&lt;=0.7, INT(I62)+0.5, INT(I62)+1)))</f>
        <v/>
      </c>
      <c r="K62" s="116" t="n">
        <v>46211</v>
      </c>
      <c r="L62" s="38" t="inlineStr">
        <is>
          <t>MILLY</t>
        </is>
      </c>
      <c r="M62" s="38" t="n"/>
      <c r="N62" s="89" t="inlineStr">
        <is>
          <t>MOISES</t>
        </is>
      </c>
    </row>
    <row r="63">
      <c r="A63" s="96" t="inlineStr">
        <is>
          <t>7660667042321222421</t>
        </is>
      </c>
      <c r="B63" s="96" t="inlineStr">
        <is>
          <t>reyes_del_hogar</t>
        </is>
      </c>
      <c r="C63" s="89" t="inlineStr">
        <is>
          <t>MX</t>
        </is>
      </c>
      <c r="D63" s="114" t="n">
        <v>12020.74</v>
      </c>
      <c r="E63" s="40">
        <f>D63/1.16</f>
        <v/>
      </c>
      <c r="F63" s="114">
        <f>D63/J63</f>
        <v/>
      </c>
      <c r="G63" s="40">
        <f>F63/1.16</f>
        <v/>
      </c>
      <c r="H63" s="114" t="n">
        <v>0</v>
      </c>
      <c r="I63" s="115" t="n">
        <v>5.02</v>
      </c>
      <c r="J63" s="74">
        <f>LET(dec, I63-INT(I63), IF(dec&lt;0.1, INT(I63), IF(dec&lt;=0.7, INT(I63)+0.5, INT(I63)+1)))</f>
        <v/>
      </c>
      <c r="K63" s="116" t="n">
        <v>46212</v>
      </c>
      <c r="L63" s="38" t="inlineStr">
        <is>
          <t>MILLY</t>
        </is>
      </c>
      <c r="M63" s="38" t="n"/>
      <c r="N63" s="89" t="inlineStr">
        <is>
          <t>MOISES</t>
        </is>
      </c>
    </row>
    <row r="64">
      <c r="A64" s="96" t="inlineStr">
        <is>
          <t>7661014639509097237</t>
        </is>
      </c>
      <c r="B64" s="96" t="inlineStr">
        <is>
          <t>reyes_del_hogar</t>
        </is>
      </c>
      <c r="C64" s="89" t="inlineStr">
        <is>
          <t>MX</t>
        </is>
      </c>
      <c r="D64" s="114" t="n">
        <v>2103.86</v>
      </c>
      <c r="E64" s="40">
        <f>D64/1.16</f>
        <v/>
      </c>
      <c r="F64" s="114">
        <f>D64/J64</f>
        <v/>
      </c>
      <c r="G64" s="40">
        <f>F64/1.16</f>
        <v/>
      </c>
      <c r="H64" s="114" t="n">
        <v>0</v>
      </c>
      <c r="I64" s="115" t="n">
        <v>5.01</v>
      </c>
      <c r="J64" s="74">
        <f>LET(dec, I64-INT(I64), IF(dec&lt;0.1, INT(I64), IF(dec&lt;=0.7, INT(I64)+0.5, INT(I64)+1)))</f>
        <v/>
      </c>
      <c r="K64" s="116" t="n">
        <v>46213</v>
      </c>
      <c r="L64" s="38" t="inlineStr">
        <is>
          <t>MILLY</t>
        </is>
      </c>
      <c r="M64" s="38" t="n"/>
      <c r="N64" s="89" t="inlineStr">
        <is>
          <t>MOISES</t>
        </is>
      </c>
    </row>
    <row r="65">
      <c r="A65" s="96" t="inlineStr">
        <is>
          <t>7662151309478431496</t>
        </is>
      </c>
      <c r="B65" s="96" t="inlineStr">
        <is>
          <t>reyes_del_hogar</t>
        </is>
      </c>
      <c r="C65" s="89" t="inlineStr">
        <is>
          <t>MX</t>
        </is>
      </c>
      <c r="D65" s="114" t="n">
        <v>4506.19</v>
      </c>
      <c r="E65" s="40">
        <f>D65/1.16</f>
        <v/>
      </c>
      <c r="F65" s="114">
        <f>D65/J65</f>
        <v/>
      </c>
      <c r="G65" s="40">
        <f>F65/1.16</f>
        <v/>
      </c>
      <c r="H65" s="114" t="n">
        <v>0</v>
      </c>
      <c r="I65" s="115" t="n">
        <v>5.05</v>
      </c>
      <c r="J65" s="74">
        <f>LET(dec, I65-INT(I65), IF(dec&lt;0.1, INT(I65), IF(dec&lt;=0.7, INT(I65)+0.5, INT(I65)+1)))</f>
        <v/>
      </c>
      <c r="K65" s="116" t="n">
        <v>46216</v>
      </c>
      <c r="L65" s="38" t="inlineStr">
        <is>
          <t>MILLY</t>
        </is>
      </c>
      <c r="M65" s="38" t="n"/>
      <c r="N65" s="89" t="inlineStr">
        <is>
          <t>MOISES</t>
        </is>
      </c>
    </row>
    <row r="66">
      <c r="A66" s="96" t="inlineStr">
        <is>
          <t>7662522072837327623</t>
        </is>
      </c>
      <c r="B66" s="96" t="inlineStr">
        <is>
          <t>reyes_del_hogar</t>
        </is>
      </c>
      <c r="C66" s="89" t="inlineStr">
        <is>
          <t>MX</t>
        </is>
      </c>
      <c r="D66" s="114" t="n">
        <v>268.92</v>
      </c>
      <c r="E66" s="40">
        <f>D66/1.16</f>
        <v/>
      </c>
      <c r="F66" s="114">
        <f>D66/J66</f>
        <v/>
      </c>
      <c r="G66" s="40">
        <f>F66/1.16</f>
        <v/>
      </c>
      <c r="H66" s="114" t="n">
        <v>0</v>
      </c>
      <c r="I66" s="115" t="n">
        <v>1.86</v>
      </c>
      <c r="J66" s="74">
        <f>LET(dec, I66-INT(I66), IF(dec&lt;0.1, INT(I66), IF(dec&lt;=0.7, INT(I66)+0.5, INT(I66)+1)))</f>
        <v/>
      </c>
      <c r="K66" s="116" t="n">
        <v>46217</v>
      </c>
      <c r="L66" s="38" t="inlineStr">
        <is>
          <t>MILLY</t>
        </is>
      </c>
      <c r="M66" s="38" t="n"/>
      <c r="N66" s="89" t="inlineStr">
        <is>
          <t>MOISES</t>
        </is>
      </c>
    </row>
    <row r="67">
      <c r="A67" s="96" t="inlineStr">
        <is>
          <t>7662553364736346888</t>
        </is>
      </c>
      <c r="B67" s="96" t="inlineStr">
        <is>
          <t>reyes_del_hogar</t>
        </is>
      </c>
      <c r="C67" s="89" t="inlineStr">
        <is>
          <t>MX</t>
        </is>
      </c>
      <c r="D67" s="114" t="n">
        <v>719.59</v>
      </c>
      <c r="E67" s="40">
        <f>D67/1.16</f>
        <v/>
      </c>
      <c r="F67" s="114">
        <f>D67/J67</f>
        <v/>
      </c>
      <c r="G67" s="40">
        <f>F67/1.16</f>
        <v/>
      </c>
      <c r="H67" s="114" t="n">
        <v>0</v>
      </c>
      <c r="I67" s="115" t="n">
        <v>2.02</v>
      </c>
      <c r="J67" s="74">
        <f>LET(dec, I67-INT(I67), IF(dec&lt;0.1, INT(I67), IF(dec&lt;=0.7, INT(I67)+0.5, INT(I67)+1)))</f>
        <v/>
      </c>
      <c r="K67" s="116" t="n">
        <v>46217</v>
      </c>
      <c r="L67" s="38" t="inlineStr">
        <is>
          <t>MILLY</t>
        </is>
      </c>
      <c r="M67" s="38" t="n"/>
      <c r="N67" s="89" t="inlineStr">
        <is>
          <t>MOISES</t>
        </is>
      </c>
    </row>
    <row r="68">
      <c r="A68" s="96" t="inlineStr">
        <is>
          <t>7662898019188198152</t>
        </is>
      </c>
      <c r="B68" s="96" t="inlineStr">
        <is>
          <t>reyes_del_hogar</t>
        </is>
      </c>
      <c r="C68" s="89" t="inlineStr">
        <is>
          <t>MX</t>
        </is>
      </c>
      <c r="D68" s="114" t="n">
        <v>2578.6</v>
      </c>
      <c r="E68" s="40">
        <f>D68/1.16</f>
        <v/>
      </c>
      <c r="F68" s="114">
        <f>D68/J68</f>
        <v/>
      </c>
      <c r="G68" s="40">
        <f>F68/1.16</f>
        <v/>
      </c>
      <c r="H68" s="114" t="n">
        <v>0</v>
      </c>
      <c r="I68" s="115" t="n">
        <v>4.78</v>
      </c>
      <c r="J68" s="74">
        <f>LET(dec, I68-INT(I68), IF(dec&lt;0.1, INT(I68), IF(dec&lt;=0.7, INT(I68)+0.5, INT(I68)+1)))</f>
        <v/>
      </c>
      <c r="K68" s="116" t="n">
        <v>46218</v>
      </c>
      <c r="L68" s="38" t="inlineStr">
        <is>
          <t>MILLY</t>
        </is>
      </c>
      <c r="M68" s="38" t="n"/>
      <c r="N68" s="89" t="inlineStr">
        <is>
          <t>MOISES</t>
        </is>
      </c>
    </row>
    <row r="69">
      <c r="A69" s="96" t="inlineStr">
        <is>
          <t>7663263475477302024</t>
        </is>
      </c>
      <c r="B69" s="96" t="inlineStr">
        <is>
          <t>reyes_del_hogar</t>
        </is>
      </c>
      <c r="C69" s="89" t="inlineStr">
        <is>
          <t>MX</t>
        </is>
      </c>
      <c r="D69" s="114" t="n">
        <v>0</v>
      </c>
      <c r="E69" s="40">
        <f>D69/1.16</f>
        <v/>
      </c>
      <c r="F69" s="114" t="n">
        <v>0</v>
      </c>
      <c r="G69" s="40">
        <f>F69/1.16</f>
        <v/>
      </c>
      <c r="H69" s="114" t="n">
        <v>0</v>
      </c>
      <c r="I69" s="115" t="n">
        <v>0</v>
      </c>
      <c r="J69" s="74">
        <f>LET(dec, I69-INT(I69), IF(dec&lt;0.1, INT(I69), IF(dec&lt;=0.7, INT(I69)+0.5, INT(I69)+1)))</f>
        <v/>
      </c>
      <c r="K69" s="116" t="n">
        <v>46219</v>
      </c>
      <c r="L69" s="38" t="inlineStr">
        <is>
          <t>MILLY</t>
        </is>
      </c>
      <c r="M69" s="38" t="n"/>
      <c r="N69" s="89" t="inlineStr">
        <is>
          <t>MOISES</t>
        </is>
      </c>
    </row>
    <row r="70">
      <c r="A70" s="96" t="inlineStr">
        <is>
          <t>7663264225524910855</t>
        </is>
      </c>
      <c r="B70" s="96" t="inlineStr">
        <is>
          <t>reyes_del_hogar</t>
        </is>
      </c>
      <c r="C70" s="89" t="inlineStr">
        <is>
          <t>MX</t>
        </is>
      </c>
      <c r="D70" s="114" t="n">
        <v>2457.65</v>
      </c>
      <c r="E70" s="40">
        <f>D70/1.16</f>
        <v/>
      </c>
      <c r="F70" s="114">
        <f>D70/J70</f>
        <v/>
      </c>
      <c r="G70" s="40">
        <f>F70/1.16</f>
        <v/>
      </c>
      <c r="H70" s="114" t="n">
        <v>0</v>
      </c>
      <c r="I70" s="115" t="n">
        <v>5.04</v>
      </c>
      <c r="J70" s="74">
        <f>LET(dec, I70-INT(I70), IF(dec&lt;0.1, INT(I70), IF(dec&lt;=0.7, INT(I70)+0.5, INT(I70)+1)))</f>
        <v/>
      </c>
      <c r="K70" s="116" t="n">
        <v>46219</v>
      </c>
      <c r="L70" s="38" t="inlineStr">
        <is>
          <t>MILLY</t>
        </is>
      </c>
      <c r="M70" s="38" t="n"/>
      <c r="N70" s="89" t="inlineStr">
        <is>
          <t>MOISES</t>
        </is>
      </c>
    </row>
    <row r="71">
      <c r="A71" s="96" t="inlineStr">
        <is>
          <t>7663635396740025096</t>
        </is>
      </c>
      <c r="B71" s="96" t="inlineStr">
        <is>
          <t>reyes_del_hogar</t>
        </is>
      </c>
      <c r="C71" s="89" t="inlineStr">
        <is>
          <t>MX</t>
        </is>
      </c>
      <c r="D71" s="114" t="n">
        <v>2619.17</v>
      </c>
      <c r="E71" s="40">
        <f>D71/1.16</f>
        <v/>
      </c>
      <c r="F71" s="114">
        <f>D71/J71</f>
        <v/>
      </c>
      <c r="G71" s="40">
        <f>F71/1.16</f>
        <v/>
      </c>
      <c r="H71" s="114" t="n">
        <v>0</v>
      </c>
      <c r="I71" s="115" t="n">
        <v>4.01</v>
      </c>
      <c r="J71" s="74">
        <f>LET(dec, I71-INT(I71), IF(dec&lt;0.1, INT(I71), IF(dec&lt;=0.7, INT(I71)+0.5, INT(I71)+1)))</f>
        <v/>
      </c>
      <c r="K71" s="116" t="n">
        <v>46220</v>
      </c>
      <c r="L71" s="38" t="inlineStr">
        <is>
          <t>MILLY</t>
        </is>
      </c>
      <c r="M71" s="38" t="n"/>
      <c r="N71" s="89" t="inlineStr">
        <is>
          <t>MOISES</t>
        </is>
      </c>
    </row>
    <row r="72">
      <c r="A72" s="96" t="inlineStr">
        <is>
          <t>7664748837541579540</t>
        </is>
      </c>
      <c r="B72" s="96" t="inlineStr">
        <is>
          <t>reyes_del_hogar</t>
        </is>
      </c>
      <c r="C72" s="89" t="inlineStr">
        <is>
          <t>MX</t>
        </is>
      </c>
      <c r="D72" s="114" t="n">
        <v>2020.93</v>
      </c>
      <c r="E72" s="40">
        <f>D72/1.16</f>
        <v/>
      </c>
      <c r="F72" s="114">
        <f>D72/J72</f>
        <v/>
      </c>
      <c r="G72" s="40">
        <f>F72/1.16</f>
        <v/>
      </c>
      <c r="H72" s="114" t="n">
        <v>0</v>
      </c>
      <c r="I72" s="115" t="n">
        <v>4.01</v>
      </c>
      <c r="J72" s="74">
        <f>LET(dec, I72-INT(I72), IF(dec&lt;0.1, INT(I72), IF(dec&lt;=0.7, INT(I72)+0.5, INT(I72)+1)))</f>
        <v/>
      </c>
      <c r="K72" s="116" t="n">
        <v>46223</v>
      </c>
      <c r="L72" s="38" t="inlineStr">
        <is>
          <t>MILLY</t>
        </is>
      </c>
      <c r="M72" s="38" t="n"/>
      <c r="N72" s="89" t="inlineStr">
        <is>
          <t>MOISES</t>
        </is>
      </c>
    </row>
    <row r="73">
      <c r="A73" s="96" t="inlineStr">
        <is>
          <t>7665104383285889800</t>
        </is>
      </c>
      <c r="B73" s="96" t="inlineStr">
        <is>
          <t>reyes_del_hogar</t>
        </is>
      </c>
      <c r="C73" s="89" t="inlineStr">
        <is>
          <t>MX</t>
        </is>
      </c>
      <c r="D73" s="114" t="n">
        <v>1675.41</v>
      </c>
      <c r="E73" s="40">
        <f>D73/1.16</f>
        <v/>
      </c>
      <c r="F73" s="114">
        <f>D73/J73</f>
        <v/>
      </c>
      <c r="G73" s="40">
        <f>F73/1.16</f>
        <v/>
      </c>
      <c r="H73" s="114" t="n">
        <v>0</v>
      </c>
      <c r="I73" s="115" t="n">
        <v>5.01</v>
      </c>
      <c r="J73" s="74">
        <f>LET(dec, I73-INT(I73), IF(dec&lt;0.1, INT(I73), IF(dec&lt;=0.7, INT(I73)+0.5, INT(I73)+1)))</f>
        <v/>
      </c>
      <c r="K73" s="116" t="n">
        <v>46224</v>
      </c>
      <c r="L73" s="38" t="inlineStr">
        <is>
          <t>MILLY</t>
        </is>
      </c>
      <c r="M73" s="38" t="n"/>
      <c r="N73" s="89" t="inlineStr">
        <is>
          <t>MOISES</t>
        </is>
      </c>
    </row>
    <row r="74">
      <c r="K74" s="84" t="n"/>
    </row>
    <row r="75">
      <c r="K75" s="84" t="n"/>
    </row>
    <row r="76">
      <c r="K76" s="84" t="n"/>
    </row>
    <row r="77">
      <c r="K77" s="84" t="n"/>
    </row>
    <row r="78">
      <c r="K78" s="84" t="n"/>
    </row>
    <row r="79">
      <c r="K79" s="84" t="n"/>
    </row>
    <row r="80">
      <c r="K80" s="84" t="n"/>
    </row>
    <row r="81">
      <c r="K81" s="84" t="n"/>
    </row>
    <row r="82">
      <c r="K82" s="84" t="n"/>
    </row>
    <row r="83">
      <c r="K83" s="84" t="n"/>
    </row>
    <row r="84">
      <c r="K84" s="84" t="n"/>
    </row>
    <row r="85">
      <c r="K85" s="84" t="n"/>
    </row>
    <row r="86">
      <c r="K86" s="84" t="n"/>
    </row>
    <row r="87">
      <c r="K87" s="84" t="n"/>
    </row>
    <row r="88">
      <c r="K88" s="84" t="n"/>
    </row>
    <row r="89">
      <c r="K89" s="84" t="n"/>
    </row>
    <row r="90">
      <c r="K90" s="84" t="n"/>
    </row>
    <row r="91">
      <c r="K91" s="84" t="n"/>
    </row>
    <row r="92">
      <c r="K92" s="84" t="n"/>
    </row>
    <row r="93">
      <c r="K93" s="84" t="n"/>
    </row>
    <row r="94">
      <c r="K94" s="84" t="n"/>
    </row>
    <row r="95">
      <c r="K95" s="84" t="n"/>
    </row>
    <row r="96">
      <c r="K96" s="84" t="n"/>
    </row>
    <row r="97">
      <c r="K97" s="84" t="n"/>
    </row>
    <row r="98">
      <c r="K98" s="84" t="n"/>
    </row>
    <row r="99">
      <c r="K99" s="84" t="n"/>
    </row>
    <row r="100">
      <c r="K100" s="84" t="n"/>
    </row>
    <row r="101">
      <c r="K101" s="84" t="n"/>
    </row>
    <row r="102">
      <c r="K102" s="84" t="n"/>
    </row>
    <row r="103">
      <c r="K103" s="84" t="n"/>
    </row>
    <row r="104">
      <c r="K104" s="84" t="n"/>
    </row>
    <row r="105">
      <c r="K105" s="84" t="n"/>
    </row>
    <row r="106">
      <c r="K106" s="84" t="n"/>
    </row>
    <row r="107">
      <c r="K107" s="84" t="n"/>
    </row>
    <row r="108">
      <c r="K108" s="84" t="n"/>
    </row>
    <row r="109">
      <c r="K109" s="84" t="n"/>
    </row>
    <row r="110">
      <c r="K110" s="84" t="n"/>
    </row>
    <row r="111">
      <c r="K111" s="84" t="n"/>
    </row>
    <row r="112">
      <c r="K112" s="84" t="n"/>
    </row>
    <row r="113">
      <c r="K113" s="84" t="n"/>
    </row>
    <row r="114">
      <c r="K114" s="84" t="n"/>
    </row>
    <row r="115">
      <c r="K115" s="84" t="n"/>
    </row>
    <row r="116">
      <c r="K116" s="84" t="n"/>
    </row>
    <row r="117">
      <c r="K117" s="84" t="n"/>
    </row>
    <row r="118">
      <c r="K118" s="84" t="n"/>
    </row>
    <row r="119">
      <c r="K119" s="84" t="n"/>
    </row>
    <row r="120">
      <c r="K120" s="84" t="n"/>
    </row>
    <row r="121">
      <c r="K121" s="84" t="n"/>
    </row>
    <row r="122">
      <c r="K122" s="84" t="n"/>
    </row>
    <row r="123">
      <c r="K123" s="84" t="n"/>
    </row>
    <row r="124">
      <c r="K124" s="84" t="n"/>
    </row>
    <row r="125">
      <c r="K125" s="84" t="n"/>
    </row>
    <row r="126">
      <c r="K126" s="84" t="n"/>
    </row>
    <row r="127">
      <c r="K127" s="84" t="n"/>
    </row>
    <row r="128">
      <c r="K128" s="84" t="n"/>
    </row>
    <row r="129">
      <c r="K129" s="84" t="n"/>
    </row>
    <row r="130">
      <c r="K130" s="84" t="n"/>
    </row>
    <row r="131">
      <c r="K131" s="84" t="n"/>
    </row>
    <row r="132">
      <c r="K132" s="84" t="n"/>
    </row>
    <row r="133">
      <c r="K133" s="84" t="n"/>
    </row>
    <row r="134">
      <c r="K134" s="84" t="n"/>
    </row>
    <row r="135">
      <c r="K135" s="84" t="n"/>
    </row>
    <row r="136">
      <c r="K136" s="84" t="n"/>
    </row>
    <row r="137">
      <c r="K137" s="84" t="n"/>
    </row>
    <row r="138">
      <c r="K138" s="84" t="n"/>
    </row>
    <row r="139">
      <c r="K139" s="84" t="n"/>
    </row>
    <row r="140">
      <c r="K140" s="84" t="n"/>
    </row>
    <row r="141">
      <c r="K141" s="84" t="n"/>
    </row>
    <row r="142">
      <c r="K142" s="84" t="n"/>
    </row>
    <row r="143">
      <c r="K143" s="84" t="n"/>
    </row>
    <row r="144">
      <c r="K144" s="84" t="n"/>
    </row>
    <row r="145">
      <c r="K145" s="84" t="n"/>
    </row>
    <row r="146">
      <c r="K146" s="84" t="n"/>
    </row>
    <row r="147">
      <c r="K147" s="84" t="n"/>
    </row>
    <row r="148">
      <c r="K148" s="84" t="n"/>
    </row>
    <row r="149">
      <c r="K149" s="84" t="n"/>
    </row>
    <row r="150">
      <c r="K150" s="84" t="n"/>
    </row>
    <row r="151">
      <c r="K151" s="84" t="n"/>
    </row>
    <row r="152">
      <c r="K152" s="84" t="n"/>
    </row>
    <row r="153">
      <c r="K153" s="84" t="n"/>
    </row>
    <row r="154">
      <c r="K154" s="84" t="n"/>
    </row>
    <row r="155">
      <c r="K155" s="84" t="n"/>
    </row>
    <row r="156">
      <c r="K156" s="84" t="n"/>
    </row>
    <row r="157">
      <c r="K157" s="84" t="n"/>
    </row>
    <row r="158">
      <c r="K158" s="84" t="n"/>
    </row>
    <row r="159">
      <c r="K159" s="84" t="n"/>
    </row>
    <row r="160">
      <c r="K160" s="84" t="n"/>
    </row>
    <row r="161">
      <c r="K161" s="84" t="n"/>
    </row>
    <row r="162">
      <c r="K162" s="84" t="n"/>
    </row>
    <row r="163">
      <c r="K163" s="84" t="n"/>
    </row>
    <row r="164">
      <c r="K164" s="84" t="n"/>
    </row>
    <row r="165">
      <c r="K165" s="84" t="n"/>
    </row>
    <row r="166">
      <c r="K166" s="84" t="n"/>
    </row>
    <row r="167">
      <c r="K167" s="84" t="n"/>
    </row>
    <row r="168">
      <c r="K168" s="84" t="n"/>
    </row>
    <row r="169">
      <c r="K169" s="84" t="n"/>
    </row>
    <row r="170">
      <c r="K170" s="84" t="n"/>
    </row>
    <row r="171">
      <c r="K171" s="84" t="n"/>
    </row>
    <row r="172">
      <c r="K172" s="84" t="n"/>
    </row>
    <row r="173">
      <c r="K173" s="84" t="n"/>
    </row>
    <row r="174">
      <c r="K174" s="84" t="n"/>
    </row>
    <row r="175">
      <c r="K175" s="84" t="n"/>
    </row>
    <row r="176">
      <c r="K176" s="84" t="n"/>
    </row>
    <row r="177">
      <c r="K177" s="84" t="n"/>
    </row>
    <row r="178">
      <c r="K178" s="84" t="n"/>
    </row>
    <row r="179">
      <c r="K179" s="84" t="n"/>
    </row>
    <row r="180">
      <c r="K180" s="84" t="n"/>
    </row>
    <row r="181">
      <c r="K181" s="84" t="n"/>
    </row>
    <row r="182">
      <c r="K182" s="84" t="n"/>
    </row>
    <row r="183">
      <c r="K183" s="84" t="n"/>
    </row>
    <row r="184">
      <c r="K184" s="84" t="n"/>
    </row>
    <row r="185">
      <c r="K185" s="84" t="n"/>
    </row>
    <row r="186">
      <c r="K186" s="84" t="n"/>
    </row>
    <row r="187">
      <c r="K187" s="84" t="n"/>
    </row>
    <row r="188">
      <c r="K188" s="84" t="n"/>
    </row>
    <row r="189">
      <c r="K189" s="84" t="n"/>
    </row>
    <row r="190">
      <c r="K190" s="84" t="n"/>
    </row>
    <row r="191">
      <c r="K191" s="84" t="n"/>
    </row>
    <row r="192">
      <c r="K192" s="84" t="n"/>
    </row>
    <row r="193">
      <c r="K193" s="84" t="n"/>
    </row>
    <row r="194">
      <c r="K194" s="84" t="n"/>
    </row>
    <row r="195">
      <c r="K195" s="84" t="n"/>
    </row>
    <row r="196">
      <c r="K196" s="84" t="n"/>
    </row>
    <row r="197">
      <c r="K197" s="84" t="n"/>
    </row>
    <row r="198">
      <c r="K198" s="84" t="n"/>
    </row>
    <row r="199">
      <c r="K199" s="84" t="n"/>
    </row>
    <row r="200">
      <c r="K200" s="84" t="n"/>
    </row>
    <row r="201">
      <c r="K201" s="84" t="n"/>
    </row>
    <row r="202">
      <c r="K202" s="84" t="n"/>
    </row>
    <row r="203">
      <c r="K203" s="84" t="n"/>
    </row>
    <row r="204">
      <c r="K204" s="84" t="n"/>
    </row>
    <row r="205">
      <c r="K205" s="84" t="n"/>
    </row>
    <row r="206">
      <c r="K206" s="84" t="n"/>
    </row>
    <row r="207">
      <c r="K207" s="84" t="n"/>
    </row>
    <row r="208">
      <c r="K208" s="84" t="n"/>
    </row>
    <row r="209">
      <c r="K209" s="84" t="n"/>
    </row>
    <row r="210">
      <c r="K210" s="84" t="n"/>
    </row>
    <row r="211">
      <c r="K211" s="84" t="n"/>
    </row>
    <row r="212">
      <c r="K212" s="84" t="n"/>
    </row>
    <row r="213">
      <c r="K213" s="84" t="n"/>
    </row>
    <row r="214">
      <c r="K214" s="84" t="n"/>
    </row>
    <row r="215">
      <c r="K215" s="84" t="n"/>
    </row>
    <row r="216">
      <c r="K216" s="84" t="n"/>
    </row>
    <row r="217">
      <c r="K217" s="84" t="n"/>
    </row>
    <row r="218">
      <c r="K218" s="84" t="n"/>
    </row>
    <row r="219">
      <c r="K219" s="84" t="n"/>
    </row>
    <row r="220">
      <c r="K220" s="84" t="n"/>
    </row>
    <row r="221">
      <c r="K221" s="84" t="n"/>
    </row>
    <row r="222">
      <c r="K222" s="84" t="n"/>
    </row>
    <row r="223">
      <c r="K223" s="84" t="n"/>
    </row>
    <row r="224">
      <c r="K224" s="84" t="n"/>
    </row>
    <row r="225">
      <c r="K225" s="84" t="n"/>
    </row>
    <row r="226">
      <c r="K226" s="84" t="n"/>
    </row>
    <row r="227">
      <c r="K227" s="84" t="n"/>
    </row>
    <row r="228">
      <c r="K228" s="84" t="n"/>
    </row>
    <row r="229">
      <c r="K229" s="84" t="n"/>
    </row>
    <row r="230">
      <c r="K230" s="84" t="n"/>
    </row>
    <row r="231">
      <c r="K231" s="84" t="n"/>
    </row>
    <row r="232">
      <c r="K232" s="84" t="n"/>
    </row>
    <row r="233">
      <c r="K233" s="84" t="n"/>
    </row>
    <row r="234">
      <c r="K234" s="84" t="n"/>
    </row>
    <row r="235">
      <c r="K235" s="84" t="n"/>
    </row>
    <row r="236">
      <c r="K236" s="84" t="n"/>
    </row>
    <row r="237">
      <c r="K237" s="84" t="n"/>
    </row>
    <row r="238">
      <c r="K238" s="84" t="n"/>
    </row>
    <row r="239">
      <c r="K239" s="84" t="n"/>
    </row>
    <row r="240">
      <c r="K240" s="84" t="n"/>
    </row>
    <row r="241">
      <c r="K241" s="84" t="n"/>
    </row>
    <row r="242">
      <c r="K242" s="84" t="n"/>
    </row>
    <row r="243">
      <c r="K243" s="84" t="n"/>
    </row>
    <row r="244">
      <c r="K244" s="84" t="n"/>
    </row>
    <row r="245">
      <c r="K245" s="84" t="n"/>
    </row>
    <row r="246">
      <c r="K246" s="84" t="n"/>
    </row>
    <row r="247">
      <c r="K247" s="84" t="n"/>
    </row>
    <row r="248">
      <c r="K248" s="84" t="n"/>
    </row>
    <row r="249">
      <c r="K249" s="84" t="n"/>
    </row>
    <row r="250">
      <c r="K250" s="84" t="n"/>
    </row>
    <row r="251">
      <c r="K251" s="84" t="n"/>
    </row>
    <row r="252">
      <c r="K252" s="84" t="n"/>
    </row>
    <row r="253">
      <c r="K253" s="84" t="n"/>
    </row>
    <row r="254">
      <c r="K254" s="84" t="n"/>
    </row>
    <row r="255">
      <c r="K255" s="84" t="n"/>
    </row>
    <row r="256">
      <c r="K256" s="84" t="n"/>
    </row>
    <row r="257">
      <c r="K257" s="84" t="n"/>
    </row>
    <row r="258">
      <c r="K258" s="84" t="n"/>
    </row>
    <row r="259">
      <c r="K259" s="84" t="n"/>
    </row>
    <row r="260">
      <c r="K260" s="84" t="n"/>
    </row>
    <row r="261">
      <c r="K261" s="84" t="n"/>
    </row>
    <row r="262">
      <c r="K262" s="84" t="n"/>
    </row>
    <row r="263">
      <c r="K263" s="84" t="n"/>
    </row>
    <row r="264">
      <c r="K264" s="84" t="n"/>
    </row>
    <row r="265">
      <c r="K265" s="84" t="n"/>
    </row>
    <row r="266">
      <c r="K266" s="84" t="n"/>
    </row>
    <row r="267">
      <c r="K267" s="84" t="n"/>
    </row>
    <row r="268">
      <c r="K268" s="84" t="n"/>
    </row>
    <row r="269">
      <c r="K269" s="84" t="n"/>
    </row>
    <row r="270">
      <c r="K270" s="84" t="n"/>
    </row>
    <row r="271">
      <c r="K271" s="84" t="n"/>
    </row>
    <row r="272">
      <c r="K272" s="84" t="n"/>
    </row>
    <row r="273">
      <c r="K273" s="84" t="n"/>
    </row>
    <row r="274">
      <c r="K274" s="84" t="n"/>
    </row>
    <row r="275">
      <c r="K275" s="84" t="n"/>
    </row>
    <row r="276">
      <c r="K276" s="84" t="n"/>
    </row>
    <row r="277">
      <c r="K277" s="84" t="n"/>
    </row>
    <row r="278">
      <c r="K278" s="84" t="n"/>
    </row>
    <row r="279">
      <c r="K279" s="84" t="n"/>
    </row>
    <row r="280">
      <c r="K280" s="84" t="n"/>
    </row>
    <row r="281">
      <c r="K281" s="84" t="n"/>
    </row>
    <row r="282">
      <c r="K282" s="84" t="n"/>
    </row>
    <row r="283">
      <c r="K283" s="84" t="n"/>
    </row>
    <row r="284">
      <c r="K284" s="84" t="n"/>
    </row>
    <row r="285">
      <c r="K285" s="84" t="n"/>
    </row>
    <row r="286">
      <c r="K286" s="84" t="n"/>
    </row>
    <row r="287">
      <c r="K287" s="84" t="n"/>
    </row>
    <row r="288">
      <c r="K288" s="84" t="n"/>
    </row>
    <row r="289">
      <c r="K289" s="84" t="n"/>
    </row>
    <row r="290">
      <c r="K290" s="84" t="n"/>
    </row>
    <row r="291">
      <c r="K291" s="84" t="n"/>
    </row>
    <row r="292">
      <c r="K292" s="84" t="n"/>
    </row>
    <row r="293">
      <c r="K293" s="84" t="n"/>
    </row>
    <row r="294">
      <c r="K294" s="84" t="n"/>
    </row>
    <row r="295">
      <c r="K295" s="84" t="n"/>
    </row>
    <row r="296">
      <c r="K296" s="84" t="n"/>
    </row>
    <row r="297">
      <c r="K297" s="84" t="n"/>
    </row>
    <row r="298">
      <c r="K298" s="84" t="n"/>
    </row>
    <row r="299">
      <c r="K299" s="84" t="n"/>
    </row>
    <row r="300">
      <c r="K300" s="84" t="n"/>
    </row>
    <row r="301">
      <c r="K301" s="84" t="n"/>
    </row>
    <row r="302">
      <c r="K302" s="84" t="n"/>
    </row>
    <row r="303">
      <c r="K303" s="84" t="n"/>
    </row>
    <row r="304">
      <c r="K304" s="84" t="n"/>
    </row>
    <row r="305">
      <c r="K305" s="84" t="n"/>
    </row>
    <row r="306">
      <c r="K306" s="84" t="n"/>
    </row>
    <row r="307">
      <c r="K307" s="84" t="n"/>
    </row>
    <row r="308">
      <c r="K308" s="84" t="n"/>
    </row>
    <row r="309">
      <c r="K309" s="84" t="n"/>
    </row>
    <row r="310">
      <c r="K310" s="84" t="n"/>
    </row>
    <row r="311">
      <c r="K311" s="84" t="n"/>
    </row>
    <row r="312">
      <c r="K312" s="84" t="n"/>
    </row>
    <row r="313">
      <c r="K313" s="84" t="n"/>
    </row>
    <row r="314">
      <c r="K314" s="84" t="n"/>
    </row>
    <row r="315">
      <c r="K315" s="84" t="n"/>
    </row>
    <row r="316">
      <c r="K316" s="84" t="n"/>
    </row>
    <row r="317">
      <c r="K317" s="84" t="n"/>
    </row>
    <row r="318">
      <c r="K318" s="84" t="n"/>
    </row>
    <row r="319">
      <c r="K319" s="84" t="n"/>
    </row>
    <row r="320">
      <c r="K320" s="84" t="n"/>
    </row>
    <row r="321">
      <c r="K321" s="84" t="n"/>
    </row>
    <row r="322">
      <c r="K322" s="84" t="n"/>
    </row>
    <row r="323">
      <c r="K323" s="84" t="n"/>
    </row>
    <row r="324">
      <c r="K324" s="84" t="n"/>
    </row>
    <row r="325">
      <c r="K325" s="84" t="n"/>
    </row>
    <row r="326">
      <c r="K326" s="84" t="n"/>
    </row>
    <row r="327">
      <c r="K327" s="84" t="n"/>
    </row>
    <row r="328">
      <c r="K328" s="84" t="n"/>
    </row>
    <row r="329">
      <c r="K329" s="84" t="n"/>
    </row>
    <row r="330">
      <c r="K330" s="84" t="n"/>
    </row>
    <row r="331">
      <c r="K331" s="84" t="n"/>
    </row>
    <row r="332">
      <c r="K332" s="84" t="n"/>
    </row>
    <row r="333">
      <c r="K333" s="84" t="n"/>
    </row>
    <row r="334">
      <c r="K334" s="84" t="n"/>
    </row>
    <row r="335">
      <c r="K335" s="84" t="n"/>
    </row>
    <row r="336">
      <c r="K336" s="84" t="n"/>
    </row>
    <row r="337">
      <c r="K337" s="84" t="n"/>
    </row>
    <row r="338">
      <c r="K338" s="84" t="n"/>
    </row>
    <row r="339">
      <c r="K339" s="84" t="n"/>
    </row>
    <row r="340">
      <c r="K340" s="84" t="n"/>
    </row>
    <row r="341">
      <c r="K341" s="84" t="n"/>
    </row>
    <row r="342">
      <c r="K342" s="84" t="n"/>
    </row>
    <row r="343">
      <c r="K343" s="84" t="n"/>
    </row>
    <row r="344">
      <c r="K344" s="84" t="n"/>
    </row>
    <row r="345">
      <c r="K345" s="84" t="n"/>
    </row>
    <row r="346">
      <c r="K346" s="84" t="n"/>
    </row>
    <row r="347">
      <c r="K347" s="84" t="n"/>
    </row>
    <row r="348">
      <c r="K348" s="84" t="n"/>
    </row>
    <row r="349">
      <c r="K349" s="84" t="n"/>
    </row>
    <row r="350">
      <c r="K350" s="84" t="n"/>
    </row>
    <row r="351">
      <c r="K351" s="84" t="n"/>
    </row>
    <row r="352">
      <c r="K352" s="84" t="n"/>
    </row>
    <row r="353">
      <c r="K353" s="84" t="n"/>
    </row>
    <row r="354">
      <c r="K354" s="84" t="n"/>
    </row>
    <row r="355">
      <c r="K355" s="84" t="n"/>
    </row>
    <row r="356">
      <c r="K356" s="84" t="n"/>
    </row>
    <row r="357">
      <c r="K357" s="84" t="n"/>
    </row>
    <row r="358">
      <c r="K358" s="84" t="n"/>
    </row>
    <row r="359">
      <c r="K359" s="84" t="n"/>
    </row>
    <row r="360">
      <c r="K360" s="84" t="n"/>
    </row>
    <row r="361">
      <c r="K361" s="84" t="n"/>
    </row>
    <row r="362">
      <c r="K362" s="84" t="n"/>
    </row>
    <row r="363">
      <c r="K363" s="84" t="n"/>
    </row>
    <row r="364">
      <c r="K364" s="84" t="n"/>
    </row>
    <row r="365">
      <c r="K365" s="84" t="n"/>
    </row>
    <row r="366">
      <c r="K366" s="84" t="n"/>
    </row>
    <row r="367">
      <c r="K367" s="84" t="n"/>
    </row>
    <row r="368">
      <c r="K368" s="84" t="n"/>
    </row>
    <row r="369">
      <c r="K369" s="84" t="n"/>
    </row>
    <row r="370">
      <c r="K370" s="84" t="n"/>
    </row>
    <row r="371">
      <c r="K371" s="84" t="n"/>
    </row>
    <row r="372">
      <c r="K372" s="84" t="n"/>
    </row>
    <row r="373">
      <c r="K373" s="84" t="n"/>
    </row>
    <row r="374">
      <c r="K374" s="84" t="n"/>
    </row>
    <row r="375">
      <c r="K375" s="84" t="n"/>
    </row>
    <row r="376">
      <c r="K376" s="84" t="n"/>
    </row>
    <row r="377">
      <c r="K377" s="84" t="n"/>
    </row>
    <row r="378">
      <c r="K378" s="84" t="n"/>
    </row>
    <row r="379">
      <c r="K379" s="84" t="n"/>
    </row>
    <row r="380">
      <c r="K380" s="84" t="n"/>
    </row>
    <row r="381">
      <c r="K381" s="84" t="n"/>
    </row>
    <row r="382">
      <c r="K382" s="84" t="n"/>
    </row>
    <row r="383">
      <c r="K383" s="84" t="n"/>
    </row>
    <row r="384">
      <c r="K384" s="84" t="n"/>
    </row>
    <row r="385">
      <c r="K385" s="84" t="n"/>
    </row>
    <row r="386">
      <c r="K386" s="84" t="n"/>
    </row>
    <row r="387">
      <c r="K387" s="84" t="n"/>
    </row>
    <row r="388">
      <c r="K388" s="84" t="n"/>
    </row>
    <row r="389">
      <c r="K389" s="84" t="n"/>
    </row>
    <row r="390">
      <c r="K390" s="84" t="n"/>
    </row>
    <row r="391">
      <c r="K391" s="84" t="n"/>
    </row>
    <row r="392">
      <c r="K392" s="84" t="n"/>
    </row>
    <row r="393">
      <c r="K393" s="84" t="n"/>
    </row>
    <row r="394">
      <c r="K394" s="84" t="n"/>
    </row>
    <row r="395">
      <c r="K395" s="84" t="n"/>
    </row>
    <row r="396">
      <c r="K396" s="84" t="n"/>
    </row>
    <row r="397">
      <c r="K397" s="84" t="n"/>
    </row>
    <row r="398">
      <c r="K398" s="84" t="n"/>
    </row>
    <row r="399">
      <c r="K399" s="84" t="n"/>
    </row>
    <row r="400">
      <c r="K400" s="84" t="n"/>
    </row>
    <row r="401">
      <c r="K401" s="84" t="n"/>
    </row>
    <row r="402">
      <c r="K402" s="84" t="n"/>
    </row>
    <row r="403">
      <c r="K403" s="84" t="n"/>
    </row>
    <row r="404">
      <c r="K404" s="84" t="n"/>
    </row>
    <row r="405">
      <c r="K405" s="84" t="n"/>
    </row>
    <row r="406">
      <c r="K406" s="84" t="n"/>
    </row>
    <row r="407">
      <c r="K407" s="84" t="n"/>
    </row>
    <row r="408">
      <c r="K408" s="84" t="n"/>
    </row>
    <row r="409">
      <c r="K409" s="84" t="n"/>
    </row>
    <row r="410">
      <c r="K410" s="84" t="n"/>
    </row>
    <row r="411">
      <c r="K411" s="84" t="n"/>
    </row>
    <row r="412">
      <c r="K412" s="84" t="n"/>
    </row>
    <row r="413">
      <c r="K413" s="84" t="n"/>
    </row>
    <row r="414">
      <c r="K414" s="84" t="n"/>
    </row>
    <row r="415">
      <c r="K415" s="84" t="n"/>
    </row>
    <row r="416">
      <c r="K416" s="84" t="n"/>
    </row>
    <row r="417">
      <c r="K417" s="84" t="n"/>
    </row>
    <row r="418">
      <c r="K418" s="84" t="n"/>
    </row>
    <row r="419">
      <c r="K419" s="84" t="n"/>
    </row>
    <row r="420">
      <c r="K420" s="84" t="n"/>
    </row>
    <row r="421">
      <c r="K421" s="84" t="n"/>
    </row>
    <row r="422">
      <c r="K422" s="84" t="n"/>
    </row>
    <row r="423">
      <c r="K423" s="84" t="n"/>
    </row>
    <row r="424">
      <c r="K424" s="84" t="n"/>
    </row>
    <row r="425">
      <c r="K425" s="84" t="n"/>
    </row>
    <row r="426">
      <c r="K426" s="84" t="n"/>
    </row>
    <row r="427">
      <c r="K427" s="84" t="n"/>
    </row>
    <row r="428">
      <c r="K428" s="84" t="n"/>
    </row>
    <row r="429">
      <c r="K429" s="84" t="n"/>
    </row>
    <row r="430">
      <c r="K430" s="84" t="n"/>
    </row>
    <row r="431">
      <c r="K431" s="84" t="n"/>
    </row>
    <row r="432">
      <c r="K432" s="84" t="n"/>
    </row>
    <row r="433">
      <c r="K433" s="84" t="n"/>
    </row>
    <row r="434">
      <c r="K434" s="84" t="n"/>
    </row>
    <row r="435">
      <c r="K435" s="84" t="n"/>
    </row>
    <row r="436">
      <c r="K436" s="84" t="n"/>
    </row>
    <row r="437">
      <c r="K437" s="84" t="n"/>
    </row>
    <row r="438">
      <c r="K438" s="84" t="n"/>
    </row>
    <row r="439">
      <c r="K439" s="84" t="n"/>
    </row>
    <row r="440">
      <c r="K440" s="84" t="n"/>
    </row>
    <row r="441">
      <c r="K441" s="84" t="n"/>
    </row>
    <row r="442">
      <c r="K442" s="84" t="n"/>
    </row>
    <row r="443">
      <c r="K443" s="84" t="n"/>
    </row>
    <row r="444">
      <c r="K444" s="84" t="n"/>
    </row>
    <row r="445">
      <c r="K445" s="84" t="n"/>
    </row>
    <row r="446">
      <c r="K446" s="84" t="n"/>
    </row>
    <row r="447">
      <c r="K447" s="84" t="n"/>
    </row>
    <row r="448">
      <c r="K448" s="84" t="n"/>
    </row>
    <row r="449">
      <c r="K449" s="84" t="n"/>
    </row>
    <row r="450">
      <c r="K450" s="84" t="n"/>
    </row>
    <row r="451">
      <c r="K451" s="84" t="n"/>
    </row>
    <row r="452">
      <c r="K452" s="84" t="n"/>
    </row>
    <row r="453">
      <c r="K453" s="84" t="n"/>
    </row>
    <row r="454">
      <c r="K454" s="84" t="n"/>
    </row>
    <row r="455">
      <c r="K455" s="84" t="n"/>
    </row>
    <row r="456">
      <c r="K456" s="84" t="n"/>
    </row>
    <row r="457">
      <c r="K457" s="84" t="n"/>
    </row>
    <row r="458">
      <c r="K458" s="84" t="n"/>
    </row>
    <row r="459">
      <c r="K459" s="84" t="n"/>
    </row>
    <row r="460">
      <c r="K460" s="84" t="n"/>
    </row>
    <row r="461">
      <c r="K461" s="84" t="n"/>
    </row>
    <row r="462">
      <c r="K462" s="84" t="n"/>
    </row>
    <row r="463">
      <c r="K463" s="84" t="n"/>
    </row>
    <row r="464">
      <c r="K464" s="84" t="n"/>
    </row>
    <row r="465">
      <c r="K465" s="84" t="n"/>
    </row>
    <row r="466">
      <c r="K466" s="84" t="n"/>
    </row>
    <row r="467">
      <c r="K467" s="84" t="n"/>
    </row>
    <row r="468">
      <c r="K468" s="84" t="n"/>
    </row>
    <row r="469">
      <c r="K469" s="84" t="n"/>
    </row>
    <row r="470">
      <c r="K470" s="84" t="n"/>
    </row>
    <row r="471">
      <c r="K471" s="84" t="n"/>
    </row>
    <row r="472">
      <c r="K472" s="84" t="n"/>
    </row>
    <row r="473">
      <c r="K473" s="84" t="n"/>
    </row>
    <row r="474">
      <c r="K474" s="84" t="n"/>
    </row>
    <row r="475">
      <c r="K475" s="84" t="n"/>
    </row>
    <row r="476">
      <c r="K476" s="84" t="n"/>
    </row>
    <row r="477">
      <c r="K477" s="84" t="n"/>
    </row>
    <row r="478">
      <c r="K478" s="84" t="n"/>
    </row>
    <row r="479">
      <c r="K479" s="84" t="n"/>
    </row>
    <row r="480">
      <c r="K480" s="84" t="n"/>
    </row>
    <row r="481">
      <c r="K481" s="84" t="n"/>
    </row>
    <row r="482">
      <c r="K482" s="84" t="n"/>
    </row>
    <row r="483">
      <c r="K483" s="84" t="n"/>
    </row>
    <row r="484">
      <c r="K484" s="84" t="n"/>
    </row>
    <row r="485">
      <c r="K485" s="84" t="n"/>
    </row>
    <row r="486">
      <c r="K486" s="84" t="n"/>
    </row>
    <row r="487">
      <c r="K487" s="84" t="n"/>
    </row>
    <row r="488">
      <c r="K488" s="84" t="n"/>
    </row>
    <row r="489">
      <c r="K489" s="84" t="n"/>
    </row>
    <row r="490">
      <c r="K490" s="84" t="n"/>
    </row>
    <row r="491">
      <c r="K491" s="84" t="n"/>
    </row>
    <row r="492">
      <c r="K492" s="84" t="n"/>
    </row>
    <row r="493">
      <c r="K493" s="84" t="n"/>
    </row>
    <row r="494">
      <c r="K494" s="84" t="n"/>
    </row>
    <row r="495">
      <c r="K495" s="84" t="n"/>
    </row>
    <row r="496">
      <c r="K496" s="84" t="n"/>
    </row>
    <row r="497">
      <c r="K497" s="84" t="n"/>
    </row>
    <row r="498">
      <c r="K498" s="84" t="n"/>
    </row>
    <row r="499">
      <c r="K499" s="84" t="n"/>
    </row>
    <row r="500">
      <c r="K500" s="84" t="n"/>
    </row>
    <row r="501">
      <c r="K501" s="84" t="n"/>
    </row>
    <row r="502">
      <c r="K502" s="84" t="n"/>
    </row>
    <row r="503">
      <c r="K503" s="84" t="n"/>
    </row>
    <row r="504">
      <c r="K504" s="84" t="n"/>
    </row>
    <row r="505">
      <c r="K505" s="84" t="n"/>
    </row>
    <row r="506">
      <c r="K506" s="84" t="n"/>
    </row>
    <row r="507">
      <c r="K507" s="84" t="n"/>
    </row>
    <row r="508">
      <c r="K508" s="84" t="n"/>
    </row>
    <row r="509">
      <c r="K509" s="84" t="n"/>
    </row>
    <row r="510">
      <c r="K510" s="84" t="n"/>
    </row>
    <row r="511">
      <c r="K511" s="84" t="n"/>
    </row>
    <row r="512">
      <c r="K512" s="84" t="n"/>
    </row>
    <row r="513">
      <c r="K513" s="84" t="n"/>
    </row>
    <row r="514">
      <c r="K514" s="84" t="n"/>
    </row>
    <row r="515">
      <c r="K515" s="84" t="n"/>
    </row>
    <row r="516">
      <c r="K516" s="84" t="n"/>
    </row>
    <row r="517">
      <c r="K517" s="84" t="n"/>
    </row>
    <row r="518">
      <c r="K518" s="84" t="n"/>
    </row>
    <row r="519">
      <c r="K519" s="84" t="n"/>
    </row>
    <row r="520">
      <c r="K520" s="84" t="n"/>
    </row>
    <row r="521">
      <c r="K521" s="84" t="n"/>
    </row>
    <row r="522">
      <c r="K522" s="84" t="n"/>
    </row>
    <row r="523">
      <c r="K523" s="84" t="n"/>
    </row>
    <row r="524">
      <c r="K524" s="84" t="n"/>
    </row>
    <row r="525">
      <c r="K525" s="84" t="n"/>
    </row>
    <row r="526">
      <c r="K526" s="84" t="n"/>
    </row>
    <row r="527">
      <c r="K527" s="84" t="n"/>
    </row>
    <row r="528">
      <c r="K528" s="84" t="n"/>
    </row>
    <row r="529">
      <c r="K529" s="84" t="n"/>
    </row>
    <row r="530">
      <c r="K530" s="84" t="n"/>
    </row>
    <row r="531">
      <c r="K531" s="84" t="n"/>
    </row>
    <row r="532">
      <c r="K532" s="84" t="n"/>
    </row>
    <row r="533">
      <c r="K533" s="84" t="n"/>
    </row>
    <row r="534">
      <c r="K534" s="84" t="n"/>
    </row>
    <row r="535">
      <c r="K535" s="84" t="n"/>
    </row>
    <row r="536">
      <c r="K536" s="84" t="n"/>
    </row>
    <row r="537">
      <c r="K537" s="84" t="n"/>
    </row>
    <row r="538">
      <c r="K538" s="84" t="n"/>
    </row>
    <row r="539">
      <c r="K539" s="84" t="n"/>
    </row>
    <row r="540">
      <c r="K540" s="84" t="n"/>
    </row>
    <row r="541">
      <c r="K541" s="84" t="n"/>
    </row>
    <row r="542">
      <c r="K542" s="84" t="n"/>
    </row>
    <row r="543">
      <c r="K543" s="84" t="n"/>
    </row>
    <row r="544">
      <c r="K544" s="84" t="n"/>
    </row>
    <row r="545">
      <c r="K545" s="84" t="n"/>
    </row>
    <row r="546">
      <c r="K546" s="84" t="n"/>
    </row>
    <row r="547">
      <c r="K547" s="84" t="n"/>
    </row>
    <row r="548">
      <c r="K548" s="84" t="n"/>
    </row>
    <row r="549">
      <c r="K549" s="84" t="n"/>
    </row>
    <row r="550">
      <c r="K550" s="84" t="n"/>
    </row>
    <row r="551">
      <c r="K551" s="84" t="n"/>
    </row>
    <row r="552">
      <c r="K552" s="84" t="n"/>
    </row>
    <row r="553">
      <c r="K553" s="84" t="n"/>
    </row>
    <row r="554">
      <c r="K554" s="84" t="n"/>
    </row>
    <row r="555">
      <c r="K555" s="84" t="n"/>
    </row>
    <row r="556">
      <c r="K556" s="84" t="n"/>
    </row>
    <row r="557">
      <c r="K557" s="84" t="n"/>
    </row>
    <row r="558">
      <c r="K558" s="84" t="n"/>
    </row>
    <row r="559">
      <c r="K559" s="84" t="n"/>
    </row>
    <row r="560">
      <c r="K560" s="84" t="n"/>
    </row>
    <row r="561">
      <c r="K561" s="84" t="n"/>
    </row>
    <row r="562">
      <c r="K562" s="84" t="n"/>
    </row>
    <row r="563">
      <c r="K563" s="84" t="n"/>
    </row>
    <row r="564">
      <c r="K564" s="84" t="n"/>
    </row>
    <row r="565">
      <c r="K565" s="84" t="n"/>
    </row>
    <row r="566">
      <c r="K566" s="84" t="n"/>
    </row>
    <row r="567">
      <c r="K567" s="84" t="n"/>
    </row>
    <row r="568">
      <c r="K568" s="84" t="n"/>
    </row>
    <row r="569">
      <c r="K569" s="84" t="n"/>
    </row>
    <row r="570">
      <c r="K570" s="84" t="n"/>
    </row>
    <row r="571">
      <c r="K571" s="84" t="n"/>
    </row>
    <row r="572">
      <c r="K572" s="84" t="n"/>
    </row>
    <row r="573">
      <c r="K573" s="84" t="n"/>
    </row>
    <row r="574">
      <c r="K574" s="84" t="n"/>
    </row>
    <row r="575">
      <c r="K575" s="84" t="n"/>
    </row>
    <row r="576">
      <c r="K576" s="84" t="n"/>
    </row>
    <row r="577">
      <c r="K577" s="84" t="n"/>
    </row>
    <row r="578">
      <c r="K578" s="84" t="n"/>
    </row>
    <row r="579">
      <c r="K579" s="84" t="n"/>
    </row>
    <row r="580">
      <c r="K580" s="84" t="n"/>
    </row>
    <row r="581">
      <c r="K581" s="84" t="n"/>
    </row>
    <row r="582">
      <c r="K582" s="84" t="n"/>
    </row>
    <row r="583">
      <c r="K583" s="84" t="n"/>
    </row>
    <row r="584">
      <c r="K584" s="84" t="n"/>
    </row>
    <row r="585">
      <c r="K585" s="84" t="n"/>
    </row>
    <row r="586">
      <c r="K586" s="84" t="n"/>
    </row>
    <row r="587">
      <c r="K587" s="84" t="n"/>
    </row>
    <row r="588">
      <c r="K588" s="84" t="n"/>
    </row>
    <row r="589">
      <c r="K589" s="84" t="n"/>
    </row>
    <row r="590">
      <c r="K590" s="84" t="n"/>
    </row>
    <row r="591">
      <c r="K591" s="84" t="n"/>
    </row>
    <row r="592">
      <c r="K592" s="84" t="n"/>
    </row>
    <row r="593">
      <c r="K593" s="84" t="n"/>
    </row>
    <row r="594">
      <c r="K594" s="84" t="n"/>
    </row>
    <row r="595">
      <c r="K595" s="84" t="n"/>
    </row>
    <row r="596">
      <c r="K596" s="84" t="n"/>
    </row>
    <row r="597">
      <c r="K597" s="84" t="n"/>
    </row>
    <row r="598">
      <c r="K598" s="84" t="n"/>
    </row>
    <row r="599">
      <c r="K599" s="84" t="n"/>
    </row>
    <row r="600">
      <c r="K600" s="84" t="n"/>
    </row>
    <row r="601">
      <c r="K601" s="84" t="n"/>
    </row>
    <row r="602">
      <c r="K602" s="84" t="n"/>
    </row>
    <row r="603">
      <c r="K603" s="84" t="n"/>
    </row>
    <row r="604">
      <c r="K604" s="84" t="n"/>
    </row>
    <row r="605">
      <c r="K605" s="84" t="n"/>
    </row>
    <row r="606">
      <c r="K606" s="84" t="n"/>
    </row>
    <row r="607">
      <c r="K607" s="84" t="n"/>
    </row>
    <row r="608">
      <c r="K608" s="84" t="n"/>
    </row>
    <row r="609">
      <c r="K609" s="84" t="n"/>
    </row>
    <row r="610">
      <c r="K610" s="84" t="n"/>
    </row>
    <row r="611">
      <c r="K611" s="84" t="n"/>
    </row>
    <row r="612">
      <c r="K612" s="84" t="n"/>
    </row>
    <row r="613">
      <c r="K613" s="84" t="n"/>
    </row>
    <row r="614">
      <c r="K614" s="84" t="n"/>
    </row>
    <row r="615">
      <c r="K615" s="84" t="n"/>
    </row>
    <row r="616">
      <c r="K616" s="84" t="n"/>
    </row>
    <row r="617">
      <c r="K617" s="84" t="n"/>
    </row>
    <row r="618">
      <c r="K618" s="84" t="n"/>
    </row>
    <row r="619">
      <c r="K619" s="84" t="n"/>
    </row>
    <row r="620">
      <c r="K620" s="84" t="n"/>
    </row>
    <row r="621">
      <c r="K621" s="84" t="n"/>
    </row>
    <row r="622">
      <c r="K622" s="84" t="n"/>
    </row>
    <row r="623">
      <c r="K623" s="84" t="n"/>
    </row>
    <row r="624">
      <c r="K624" s="84" t="n"/>
    </row>
    <row r="625">
      <c r="K625" s="84" t="n"/>
    </row>
    <row r="626">
      <c r="K626" s="84" t="n"/>
    </row>
    <row r="627">
      <c r="K627" s="84" t="n"/>
    </row>
    <row r="628">
      <c r="K628" s="84" t="n"/>
    </row>
    <row r="629">
      <c r="K629" s="84" t="n"/>
    </row>
    <row r="630">
      <c r="K630" s="84" t="n"/>
    </row>
    <row r="631">
      <c r="K631" s="84" t="n"/>
    </row>
    <row r="632">
      <c r="K632" s="84" t="n"/>
    </row>
    <row r="633">
      <c r="K633" s="84" t="n"/>
    </row>
    <row r="634">
      <c r="K634" s="84" t="n"/>
    </row>
    <row r="635">
      <c r="K635" s="84" t="n"/>
    </row>
    <row r="636">
      <c r="K636" s="84" t="n"/>
    </row>
    <row r="637">
      <c r="K637" s="84" t="n"/>
    </row>
    <row r="638">
      <c r="K638" s="84" t="n"/>
    </row>
    <row r="639">
      <c r="K639" s="84" t="n"/>
    </row>
    <row r="640">
      <c r="K640" s="84" t="n"/>
    </row>
    <row r="641">
      <c r="K641" s="84" t="n"/>
    </row>
    <row r="642">
      <c r="K642" s="84" t="n"/>
    </row>
    <row r="643">
      <c r="K643" s="84" t="n"/>
    </row>
    <row r="644">
      <c r="K644" s="84" t="n"/>
    </row>
    <row r="645">
      <c r="K645" s="84" t="n"/>
    </row>
    <row r="646">
      <c r="K646" s="84" t="n"/>
    </row>
    <row r="647">
      <c r="K647" s="84" t="n"/>
    </row>
    <row r="648">
      <c r="K648" s="84" t="n"/>
    </row>
    <row r="649">
      <c r="K649" s="84" t="n"/>
    </row>
    <row r="650">
      <c r="K650" s="84" t="n"/>
    </row>
    <row r="651">
      <c r="K651" s="84" t="n"/>
    </row>
    <row r="652">
      <c r="K652" s="84" t="n"/>
    </row>
    <row r="653">
      <c r="K653" s="84" t="n"/>
    </row>
    <row r="654">
      <c r="K654" s="84" t="n"/>
    </row>
    <row r="655">
      <c r="K655" s="84" t="n"/>
    </row>
    <row r="656">
      <c r="K656" s="84" t="n"/>
    </row>
    <row r="657">
      <c r="K657" s="84" t="n"/>
    </row>
    <row r="658">
      <c r="K658" s="84" t="n"/>
    </row>
    <row r="659">
      <c r="K659" s="84" t="n"/>
    </row>
    <row r="660">
      <c r="K660" s="84" t="n"/>
    </row>
    <row r="661">
      <c r="K661" s="84" t="n"/>
    </row>
    <row r="662">
      <c r="K662" s="84" t="n"/>
    </row>
    <row r="663">
      <c r="K663" s="84" t="n"/>
    </row>
    <row r="664">
      <c r="K664" s="84" t="n"/>
    </row>
    <row r="665">
      <c r="K665" s="84" t="n"/>
    </row>
    <row r="666">
      <c r="K666" s="84" t="n"/>
    </row>
    <row r="667">
      <c r="K667" s="84" t="n"/>
    </row>
    <row r="668">
      <c r="K668" s="84" t="n"/>
    </row>
    <row r="669">
      <c r="K669" s="84" t="n"/>
    </row>
    <row r="670">
      <c r="K670" s="84" t="n"/>
    </row>
    <row r="671">
      <c r="K671" s="84" t="n"/>
    </row>
    <row r="672">
      <c r="K672" s="84" t="n"/>
    </row>
    <row r="673">
      <c r="K673" s="84" t="n"/>
    </row>
    <row r="674">
      <c r="K674" s="84" t="n"/>
    </row>
    <row r="675">
      <c r="K675" s="84" t="n"/>
    </row>
    <row r="676">
      <c r="K676" s="84" t="n"/>
    </row>
    <row r="677">
      <c r="K677" s="84" t="n"/>
    </row>
    <row r="678">
      <c r="K678" s="84" t="n"/>
    </row>
    <row r="679">
      <c r="K679" s="84" t="n"/>
    </row>
    <row r="680">
      <c r="K680" s="84" t="n"/>
    </row>
    <row r="681">
      <c r="K681" s="84" t="n"/>
    </row>
    <row r="682">
      <c r="K682" s="84" t="n"/>
    </row>
    <row r="683">
      <c r="K683" s="84" t="n"/>
    </row>
    <row r="684">
      <c r="K684" s="84" t="n"/>
    </row>
    <row r="685">
      <c r="K685" s="84" t="n"/>
    </row>
    <row r="686">
      <c r="K686" s="84" t="n"/>
    </row>
    <row r="687">
      <c r="K687" s="84" t="n"/>
    </row>
    <row r="688">
      <c r="K688" s="84" t="n"/>
    </row>
    <row r="689">
      <c r="K689" s="84" t="n"/>
    </row>
    <row r="690">
      <c r="K690" s="84" t="n"/>
    </row>
    <row r="691">
      <c r="K691" s="84" t="n"/>
    </row>
    <row r="692">
      <c r="K692" s="84" t="n"/>
    </row>
    <row r="693">
      <c r="K693" s="84" t="n"/>
    </row>
    <row r="694">
      <c r="K694" s="84" t="n"/>
    </row>
    <row r="695">
      <c r="K695" s="84" t="n"/>
    </row>
    <row r="696">
      <c r="K696" s="84" t="n"/>
    </row>
    <row r="697">
      <c r="K697" s="84" t="n"/>
    </row>
    <row r="698">
      <c r="K698" s="84" t="n"/>
    </row>
    <row r="699">
      <c r="K699" s="84" t="n"/>
    </row>
    <row r="700">
      <c r="K700" s="84" t="n"/>
    </row>
    <row r="701">
      <c r="K701" s="84" t="n"/>
    </row>
    <row r="702">
      <c r="K702" s="84" t="n"/>
    </row>
    <row r="703">
      <c r="K703" s="84" t="n"/>
    </row>
    <row r="704">
      <c r="K704" s="84" t="n"/>
    </row>
    <row r="705">
      <c r="K705" s="84" t="n"/>
    </row>
    <row r="706">
      <c r="K706" s="84" t="n"/>
    </row>
    <row r="707">
      <c r="K707" s="84" t="n"/>
    </row>
    <row r="708">
      <c r="K708" s="84" t="n"/>
    </row>
    <row r="709">
      <c r="K709" s="84" t="n"/>
    </row>
    <row r="710">
      <c r="K710" s="84" t="n"/>
    </row>
    <row r="711">
      <c r="K711" s="84" t="n"/>
    </row>
    <row r="712">
      <c r="K712" s="84" t="n"/>
    </row>
    <row r="713">
      <c r="K713" s="84" t="n"/>
    </row>
    <row r="714">
      <c r="K714" s="84" t="n"/>
    </row>
    <row r="715">
      <c r="K715" s="84" t="n"/>
    </row>
    <row r="716">
      <c r="K716" s="84" t="n"/>
    </row>
    <row r="717">
      <c r="K717" s="84" t="n"/>
    </row>
    <row r="718">
      <c r="K718" s="84" t="n"/>
    </row>
    <row r="719">
      <c r="K719" s="84" t="n"/>
    </row>
    <row r="720">
      <c r="K720" s="84" t="n"/>
    </row>
    <row r="721">
      <c r="K721" s="84" t="n"/>
    </row>
    <row r="722">
      <c r="K722" s="84" t="n"/>
    </row>
    <row r="723">
      <c r="K723" s="84" t="n"/>
    </row>
    <row r="724">
      <c r="K724" s="84" t="n"/>
    </row>
    <row r="725">
      <c r="K725" s="84" t="n"/>
    </row>
    <row r="726">
      <c r="K726" s="84" t="n"/>
    </row>
    <row r="727">
      <c r="K727" s="84" t="n"/>
    </row>
    <row r="728">
      <c r="K728" s="84" t="n"/>
    </row>
    <row r="729">
      <c r="K729" s="84" t="n"/>
    </row>
    <row r="730">
      <c r="K730" s="84" t="n"/>
    </row>
    <row r="731">
      <c r="K731" s="84" t="n"/>
    </row>
    <row r="732">
      <c r="K732" s="84" t="n"/>
    </row>
    <row r="733">
      <c r="K733" s="84" t="n"/>
    </row>
    <row r="734">
      <c r="K734" s="84" t="n"/>
    </row>
    <row r="735">
      <c r="K735" s="84" t="n"/>
    </row>
    <row r="736">
      <c r="K736" s="84" t="n"/>
    </row>
    <row r="737">
      <c r="K737" s="84" t="n"/>
    </row>
    <row r="738">
      <c r="K738" s="84" t="n"/>
    </row>
    <row r="739">
      <c r="K739" s="84" t="n"/>
    </row>
    <row r="740">
      <c r="K740" s="84" t="n"/>
    </row>
    <row r="741">
      <c r="K741" s="84" t="n"/>
    </row>
    <row r="742">
      <c r="K742" s="84" t="n"/>
    </row>
    <row r="743">
      <c r="K743" s="84" t="n"/>
    </row>
    <row r="744">
      <c r="K744" s="84" t="n"/>
    </row>
    <row r="745">
      <c r="K745" s="84" t="n"/>
    </row>
    <row r="746">
      <c r="K746" s="84" t="n"/>
    </row>
    <row r="747">
      <c r="K747" s="84" t="n"/>
    </row>
    <row r="748">
      <c r="K748" s="84" t="n"/>
    </row>
    <row r="749">
      <c r="K749" s="84" t="n"/>
    </row>
    <row r="750">
      <c r="K750" s="84" t="n"/>
    </row>
    <row r="751">
      <c r="K751" s="84" t="n"/>
    </row>
    <row r="752">
      <c r="K752" s="84" t="n"/>
    </row>
    <row r="753">
      <c r="K753" s="84" t="n"/>
    </row>
    <row r="754">
      <c r="K754" s="84" t="n"/>
    </row>
    <row r="755">
      <c r="K755" s="84" t="n"/>
    </row>
    <row r="756">
      <c r="K756" s="84" t="n"/>
    </row>
    <row r="757">
      <c r="K757" s="84" t="n"/>
    </row>
    <row r="758">
      <c r="K758" s="84" t="n"/>
    </row>
    <row r="759">
      <c r="K759" s="84" t="n"/>
    </row>
    <row r="760">
      <c r="K760" s="84" t="n"/>
    </row>
    <row r="761">
      <c r="K761" s="84" t="n"/>
    </row>
    <row r="762">
      <c r="K762" s="84" t="n"/>
    </row>
    <row r="763">
      <c r="K763" s="84" t="n"/>
    </row>
    <row r="764">
      <c r="K764" s="84" t="n"/>
    </row>
    <row r="765">
      <c r="K765" s="84" t="n"/>
    </row>
    <row r="766">
      <c r="K766" s="84" t="n"/>
    </row>
    <row r="767">
      <c r="K767" s="84" t="n"/>
    </row>
    <row r="768">
      <c r="K768" s="84" t="n"/>
    </row>
    <row r="769">
      <c r="K769" s="84" t="n"/>
    </row>
    <row r="770">
      <c r="K770" s="84" t="n"/>
    </row>
    <row r="771">
      <c r="K771" s="84" t="n"/>
    </row>
    <row r="772">
      <c r="K772" s="84" t="n"/>
    </row>
    <row r="773">
      <c r="K773" s="84" t="n"/>
    </row>
    <row r="774">
      <c r="K774" s="84" t="n"/>
    </row>
    <row r="775">
      <c r="K775" s="84" t="n"/>
    </row>
    <row r="776">
      <c r="K776" s="84" t="n"/>
    </row>
    <row r="777">
      <c r="K777" s="84" t="n"/>
    </row>
    <row r="778">
      <c r="K778" s="84" t="n"/>
    </row>
    <row r="779">
      <c r="K779" s="84" t="n"/>
    </row>
    <row r="780">
      <c r="K780" s="84" t="n"/>
    </row>
    <row r="781">
      <c r="K781" s="84" t="n"/>
    </row>
    <row r="782">
      <c r="K782" s="84" t="n"/>
    </row>
    <row r="783">
      <c r="K783" s="84" t="n"/>
    </row>
    <row r="784">
      <c r="K784" s="84" t="n"/>
    </row>
    <row r="785">
      <c r="K785" s="84" t="n"/>
    </row>
    <row r="786">
      <c r="K786" s="84" t="n"/>
    </row>
    <row r="787">
      <c r="K787" s="84" t="n"/>
    </row>
    <row r="788">
      <c r="K788" s="84" t="n"/>
    </row>
    <row r="789">
      <c r="K789" s="84" t="n"/>
    </row>
    <row r="790">
      <c r="K790" s="84" t="n"/>
    </row>
    <row r="791">
      <c r="K791" s="84" t="n"/>
    </row>
    <row r="792">
      <c r="K792" s="84" t="n"/>
    </row>
    <row r="793">
      <c r="K793" s="84" t="n"/>
    </row>
    <row r="794">
      <c r="K794" s="84" t="n"/>
    </row>
    <row r="795">
      <c r="K795" s="84" t="n"/>
    </row>
    <row r="796">
      <c r="K796" s="84" t="n"/>
    </row>
    <row r="797">
      <c r="K797" s="84" t="n"/>
    </row>
    <row r="798">
      <c r="K798" s="84" t="n"/>
    </row>
    <row r="799">
      <c r="K799" s="84" t="n"/>
    </row>
    <row r="800">
      <c r="K800" s="84" t="n"/>
    </row>
    <row r="801">
      <c r="K801" s="84" t="n"/>
    </row>
    <row r="802">
      <c r="K802" s="84" t="n"/>
    </row>
    <row r="803">
      <c r="K803" s="84" t="n"/>
    </row>
    <row r="804">
      <c r="K804" s="84" t="n"/>
    </row>
    <row r="805">
      <c r="K805" s="84" t="n"/>
    </row>
    <row r="806">
      <c r="K806" s="84" t="n"/>
    </row>
    <row r="807">
      <c r="K807" s="84" t="n"/>
    </row>
    <row r="808">
      <c r="K808" s="84" t="n"/>
    </row>
    <row r="809">
      <c r="K809" s="84" t="n"/>
    </row>
    <row r="810">
      <c r="K810" s="84" t="n"/>
    </row>
    <row r="811">
      <c r="K811" s="84" t="n"/>
    </row>
    <row r="812">
      <c r="K812" s="84" t="n"/>
    </row>
    <row r="813">
      <c r="K813" s="84" t="n"/>
    </row>
    <row r="814">
      <c r="K814" s="84" t="n"/>
    </row>
    <row r="815">
      <c r="K815" s="84" t="n"/>
    </row>
    <row r="816">
      <c r="K816" s="84" t="n"/>
    </row>
    <row r="817">
      <c r="K817" s="84" t="n"/>
    </row>
    <row r="818">
      <c r="K818" s="84" t="n"/>
    </row>
    <row r="819">
      <c r="K819" s="84" t="n"/>
    </row>
    <row r="820">
      <c r="K820" s="84" t="n"/>
    </row>
    <row r="821">
      <c r="K821" s="84" t="n"/>
    </row>
    <row r="822">
      <c r="K822" s="84" t="n"/>
    </row>
    <row r="823">
      <c r="K823" s="84" t="n"/>
    </row>
    <row r="824">
      <c r="K824" s="84" t="n"/>
    </row>
    <row r="825">
      <c r="K825" s="84" t="n"/>
    </row>
    <row r="826">
      <c r="K826" s="84" t="n"/>
    </row>
    <row r="827">
      <c r="K827" s="84" t="n"/>
    </row>
    <row r="828">
      <c r="K828" s="84" t="n"/>
    </row>
    <row r="829">
      <c r="K829" s="84" t="n"/>
    </row>
    <row r="830">
      <c r="K830" s="84" t="n"/>
    </row>
    <row r="831">
      <c r="K831" s="84" t="n"/>
    </row>
    <row r="832">
      <c r="K832" s="84" t="n"/>
    </row>
    <row r="833">
      <c r="K833" s="84" t="n"/>
    </row>
    <row r="834">
      <c r="K834" s="84" t="n"/>
    </row>
    <row r="835">
      <c r="K835" s="84" t="n"/>
    </row>
    <row r="836">
      <c r="K836" s="84" t="n"/>
    </row>
    <row r="837">
      <c r="K837" s="84" t="n"/>
    </row>
    <row r="838">
      <c r="K838" s="84" t="n"/>
    </row>
    <row r="839">
      <c r="K839" s="84" t="n"/>
    </row>
    <row r="840">
      <c r="K840" s="84" t="n"/>
    </row>
    <row r="841">
      <c r="K841" s="84" t="n"/>
    </row>
    <row r="842">
      <c r="K842" s="84" t="n"/>
    </row>
    <row r="843">
      <c r="K843" s="84" t="n"/>
    </row>
    <row r="844">
      <c r="K844" s="84" t="n"/>
    </row>
    <row r="845">
      <c r="K845" s="84" t="n"/>
    </row>
    <row r="846">
      <c r="K846" s="84" t="n"/>
    </row>
    <row r="847">
      <c r="K847" s="84" t="n"/>
    </row>
    <row r="848">
      <c r="K848" s="84" t="n"/>
    </row>
    <row r="849">
      <c r="K849" s="84" t="n"/>
    </row>
    <row r="850">
      <c r="K850" s="84" t="n"/>
    </row>
    <row r="851">
      <c r="K851" s="84" t="n"/>
    </row>
    <row r="852">
      <c r="K852" s="84" t="n"/>
    </row>
    <row r="853">
      <c r="K853" s="84" t="n"/>
    </row>
    <row r="854">
      <c r="K854" s="84" t="n"/>
    </row>
    <row r="855">
      <c r="K855" s="84" t="n"/>
    </row>
    <row r="856">
      <c r="K856" s="84" t="n"/>
    </row>
    <row r="857">
      <c r="K857" s="84" t="n"/>
    </row>
    <row r="858">
      <c r="K858" s="84" t="n"/>
    </row>
    <row r="859">
      <c r="K859" s="84" t="n"/>
    </row>
    <row r="860">
      <c r="K860" s="84" t="n"/>
    </row>
    <row r="861">
      <c r="K861" s="84" t="n"/>
    </row>
    <row r="862">
      <c r="K862" s="84" t="n"/>
    </row>
    <row r="863">
      <c r="K863" s="84" t="n"/>
    </row>
    <row r="864">
      <c r="K864" s="84" t="n"/>
    </row>
    <row r="865">
      <c r="K865" s="84" t="n"/>
    </row>
    <row r="866">
      <c r="K866" s="84" t="n"/>
    </row>
    <row r="867">
      <c r="K867" s="84" t="n"/>
    </row>
    <row r="868">
      <c r="K868" s="84" t="n"/>
    </row>
    <row r="869">
      <c r="K869" s="84" t="n"/>
    </row>
    <row r="870">
      <c r="K870" s="84" t="n"/>
    </row>
    <row r="871">
      <c r="K871" s="84" t="n"/>
    </row>
    <row r="872">
      <c r="K872" s="84" t="n"/>
    </row>
    <row r="873">
      <c r="K873" s="84" t="n"/>
    </row>
    <row r="874">
      <c r="K874" s="84" t="n"/>
    </row>
    <row r="875">
      <c r="K875" s="84" t="n"/>
    </row>
    <row r="876">
      <c r="K876" s="84" t="n"/>
    </row>
    <row r="877">
      <c r="K877" s="84" t="n"/>
    </row>
    <row r="878">
      <c r="K878" s="84" t="n"/>
    </row>
    <row r="879">
      <c r="K879" s="84" t="n"/>
    </row>
    <row r="880">
      <c r="K880" s="84" t="n"/>
    </row>
    <row r="881">
      <c r="K881" s="84" t="n"/>
    </row>
    <row r="882">
      <c r="K882" s="84" t="n"/>
    </row>
    <row r="883">
      <c r="K883" s="84" t="n"/>
    </row>
    <row r="884">
      <c r="K884" s="84" t="n"/>
    </row>
    <row r="885">
      <c r="K885" s="84" t="n"/>
    </row>
    <row r="886">
      <c r="K886" s="84" t="n"/>
    </row>
    <row r="887">
      <c r="K887" s="84" t="n"/>
    </row>
    <row r="888">
      <c r="K888" s="84" t="n"/>
    </row>
    <row r="889">
      <c r="K889" s="84" t="n"/>
    </row>
    <row r="890">
      <c r="K890" s="84" t="n"/>
    </row>
    <row r="891">
      <c r="K891" s="84" t="n"/>
    </row>
    <row r="892">
      <c r="K892" s="84" t="n"/>
    </row>
    <row r="893">
      <c r="K893" s="84" t="n"/>
    </row>
    <row r="894">
      <c r="K894" s="84" t="n"/>
    </row>
    <row r="895">
      <c r="K895" s="84" t="n"/>
    </row>
    <row r="896">
      <c r="K896" s="84" t="n"/>
    </row>
    <row r="897">
      <c r="K897" s="84" t="n"/>
    </row>
    <row r="898">
      <c r="K898" s="84" t="n"/>
    </row>
    <row r="899">
      <c r="K899" s="84" t="n"/>
    </row>
    <row r="900">
      <c r="K900" s="84" t="n"/>
    </row>
    <row r="901">
      <c r="K901" s="84" t="n"/>
    </row>
    <row r="902">
      <c r="K902" s="84" t="n"/>
    </row>
    <row r="903">
      <c r="K903" s="84" t="n"/>
    </row>
    <row r="904">
      <c r="K904" s="84" t="n"/>
    </row>
    <row r="905">
      <c r="K905" s="84" t="n"/>
    </row>
    <row r="906">
      <c r="K906" s="84" t="n"/>
    </row>
    <row r="907">
      <c r="K907" s="84" t="n"/>
    </row>
    <row r="908">
      <c r="K908" s="84" t="n"/>
    </row>
    <row r="909">
      <c r="K909" s="84" t="n"/>
    </row>
    <row r="910">
      <c r="K910" s="84" t="n"/>
    </row>
    <row r="911">
      <c r="K911" s="84" t="n"/>
    </row>
    <row r="912">
      <c r="K912" s="84" t="n"/>
    </row>
    <row r="913">
      <c r="K913" s="84" t="n"/>
    </row>
    <row r="914">
      <c r="K914" s="84" t="n"/>
    </row>
    <row r="915">
      <c r="K915" s="84" t="n"/>
    </row>
    <row r="916">
      <c r="K916" s="84" t="n"/>
    </row>
    <row r="917">
      <c r="K917" s="84" t="n"/>
    </row>
    <row r="918">
      <c r="K918" s="84" t="n"/>
    </row>
    <row r="919">
      <c r="K919" s="84" t="n"/>
    </row>
    <row r="920">
      <c r="K920" s="84" t="n"/>
    </row>
    <row r="921">
      <c r="K921" s="84" t="n"/>
    </row>
    <row r="922">
      <c r="K922" s="84" t="n"/>
    </row>
    <row r="923">
      <c r="K923" s="84" t="n"/>
    </row>
    <row r="924">
      <c r="K924" s="84" t="n"/>
    </row>
    <row r="925">
      <c r="K925" s="84" t="n"/>
    </row>
    <row r="926">
      <c r="K926" s="84" t="n"/>
    </row>
    <row r="927">
      <c r="K927" s="84" t="n"/>
    </row>
    <row r="928">
      <c r="K928" s="84" t="n"/>
    </row>
    <row r="929">
      <c r="K929" s="84" t="n"/>
    </row>
    <row r="930">
      <c r="K930" s="84" t="n"/>
    </row>
    <row r="931">
      <c r="K931" s="84" t="n"/>
    </row>
    <row r="932">
      <c r="K932" s="84" t="n"/>
    </row>
    <row r="933">
      <c r="K933" s="84" t="n"/>
    </row>
    <row r="934">
      <c r="K934" s="84" t="n"/>
    </row>
    <row r="935">
      <c r="K935" s="84" t="n"/>
    </row>
    <row r="936">
      <c r="K936" s="84" t="n"/>
    </row>
    <row r="937">
      <c r="K937" s="84" t="n"/>
    </row>
    <row r="938">
      <c r="K938" s="84" t="n"/>
    </row>
    <row r="939">
      <c r="K939" s="84" t="n"/>
    </row>
    <row r="940">
      <c r="K940" s="84" t="n"/>
    </row>
    <row r="941">
      <c r="K941" s="84" t="n"/>
    </row>
    <row r="942">
      <c r="K942" s="84" t="n"/>
    </row>
    <row r="943">
      <c r="K943" s="84" t="n"/>
    </row>
    <row r="944">
      <c r="K944" s="84" t="n"/>
    </row>
    <row r="945">
      <c r="K945" s="84" t="n"/>
    </row>
    <row r="946">
      <c r="K946" s="84" t="n"/>
    </row>
    <row r="947">
      <c r="K947" s="84" t="n"/>
    </row>
    <row r="948">
      <c r="K948" s="84" t="n"/>
    </row>
    <row r="949">
      <c r="K949" s="84" t="n"/>
    </row>
    <row r="950">
      <c r="K950" s="84" t="n"/>
    </row>
    <row r="951">
      <c r="K951" s="84" t="n"/>
    </row>
    <row r="952">
      <c r="K952" s="84" t="n"/>
    </row>
    <row r="953">
      <c r="K953" s="84" t="n"/>
    </row>
    <row r="954">
      <c r="K954" s="84" t="n"/>
    </row>
    <row r="955">
      <c r="K955" s="84" t="n"/>
    </row>
    <row r="956">
      <c r="K956" s="84" t="n"/>
    </row>
    <row r="957">
      <c r="K957" s="84" t="n"/>
    </row>
    <row r="958">
      <c r="K958" s="84" t="n"/>
    </row>
    <row r="959">
      <c r="K959" s="84" t="n"/>
    </row>
    <row r="960">
      <c r="K960" s="84" t="n"/>
    </row>
    <row r="961">
      <c r="K961" s="84" t="n"/>
    </row>
    <row r="962">
      <c r="K962" s="84" t="n"/>
    </row>
    <row r="963">
      <c r="K963" s="84" t="n"/>
    </row>
    <row r="964">
      <c r="K964" s="84" t="n"/>
    </row>
    <row r="965">
      <c r="K965" s="84" t="n"/>
    </row>
    <row r="966">
      <c r="K966" s="84" t="n"/>
    </row>
    <row r="967">
      <c r="K967" s="84" t="n"/>
    </row>
    <row r="968">
      <c r="K968" s="84" t="n"/>
    </row>
    <row r="969">
      <c r="K969" s="84" t="n"/>
    </row>
    <row r="970">
      <c r="K970" s="84" t="n"/>
    </row>
    <row r="971">
      <c r="K971" s="84" t="n"/>
    </row>
    <row r="972">
      <c r="K972" s="84" t="n"/>
    </row>
    <row r="973">
      <c r="K973" s="84" t="n"/>
    </row>
    <row r="974">
      <c r="K974" s="84" t="n"/>
    </row>
    <row r="975">
      <c r="K975" s="84" t="n"/>
    </row>
    <row r="976">
      <c r="K976" s="84" t="n"/>
    </row>
    <row r="977">
      <c r="K977" s="84" t="n"/>
    </row>
    <row r="978">
      <c r="K978" s="84" t="n"/>
    </row>
    <row r="979">
      <c r="K979" s="84" t="n"/>
    </row>
    <row r="980">
      <c r="K980" s="84" t="n"/>
    </row>
    <row r="981">
      <c r="K981" s="84" t="n"/>
    </row>
    <row r="982">
      <c r="K982" s="84" t="n"/>
    </row>
    <row r="983">
      <c r="K983" s="84" t="n"/>
    </row>
    <row r="984">
      <c r="K984" s="84" t="n"/>
    </row>
    <row r="985">
      <c r="K985" s="84" t="n"/>
    </row>
    <row r="986">
      <c r="K986" s="84" t="n"/>
    </row>
    <row r="987">
      <c r="K987" s="84" t="n"/>
    </row>
    <row r="988">
      <c r="K988" s="84" t="n"/>
    </row>
    <row r="989">
      <c r="K989" s="84" t="n"/>
    </row>
  </sheetData>
  <dataValidations count="2">
    <dataValidation sqref="L3" showDropDown="0" showInputMessage="0" showErrorMessage="1" allowBlank="1" type="list">
      <formula1>"JIMENA,MAYTE"</formula1>
    </dataValidation>
    <dataValidation sqref="L2:M2 L4:M33 L36:M56 L60:L73 M3" showDropDown="0" showInputMessage="0" showErrorMessage="1" allowBlank="1" type="list">
      <formula1>"MAYTE,MILLY"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B995"/>
  <sheetViews>
    <sheetView workbookViewId="0">
      <selection activeCell="A1" sqref="A1"/>
    </sheetView>
  </sheetViews>
  <sheetFormatPr baseColWidth="8" defaultColWidth="12.63" defaultRowHeight="15.75" customHeight="1"/>
  <cols>
    <col width="20.38" customWidth="1" style="118" min="1" max="1"/>
    <col width="15.5" customWidth="1" style="118" min="2" max="2"/>
    <col width="16.38" customWidth="1" style="118" min="10" max="10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28" t="inlineStr">
        <is>
          <t>Duration （Formula）</t>
        </is>
      </c>
      <c r="K1" s="58" t="inlineStr">
        <is>
          <t>Start date</t>
        </is>
      </c>
      <c r="L1" s="71" t="inlineStr">
        <is>
          <t>HOST1</t>
        </is>
      </c>
      <c r="M1" s="71" t="inlineStr">
        <is>
          <t xml:space="preserve">HOST 2 </t>
        </is>
      </c>
      <c r="N1" s="71" t="inlineStr">
        <is>
          <t>Operator</t>
        </is>
      </c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>
      <c r="A2" s="96" t="inlineStr">
        <is>
          <t>7633888814750108434</t>
        </is>
      </c>
      <c r="B2" s="96" t="inlineStr">
        <is>
          <t>reyes_del_fitness</t>
        </is>
      </c>
      <c r="C2" s="89" t="inlineStr">
        <is>
          <t>MX</t>
        </is>
      </c>
      <c r="D2" s="114" t="n">
        <v>6045</v>
      </c>
      <c r="E2" s="40">
        <f>D2/1.16</f>
        <v/>
      </c>
      <c r="F2" s="114" t="n">
        <v>1206.56</v>
      </c>
      <c r="G2" s="40">
        <f>F2/1.16</f>
        <v/>
      </c>
      <c r="H2" s="114" t="n">
        <v>0</v>
      </c>
      <c r="I2" s="117" t="n">
        <v>5.01028</v>
      </c>
      <c r="J2" s="89">
        <f>LET(dec, I2-INT(I2), IF(dec&lt;0.1, INT(I2), IF(dec&lt;=0.7, INT(I2)+0.5, INT(I2)+1)))</f>
        <v/>
      </c>
      <c r="K2" s="116" t="n">
        <v>46140</v>
      </c>
      <c r="L2" s="91" t="inlineStr">
        <is>
          <t>EMILIANO</t>
        </is>
      </c>
      <c r="M2" s="96" t="n"/>
      <c r="N2" s="89" t="n"/>
    </row>
    <row r="3">
      <c r="A3" s="96" t="inlineStr">
        <is>
          <t>7634257747609651975</t>
        </is>
      </c>
      <c r="B3" s="96" t="inlineStr">
        <is>
          <t>reyes_del_fitness</t>
        </is>
      </c>
      <c r="C3" s="89" t="inlineStr">
        <is>
          <t>MX</t>
        </is>
      </c>
      <c r="D3" s="114" t="n">
        <v>6503</v>
      </c>
      <c r="E3" s="40">
        <f>D3/1.16</f>
        <v/>
      </c>
      <c r="F3" s="114" t="n">
        <v>1297.41</v>
      </c>
      <c r="G3" s="40">
        <f>F3/1.16</f>
        <v/>
      </c>
      <c r="H3" s="114" t="n">
        <v>0</v>
      </c>
      <c r="I3" s="117" t="n">
        <v>5.0125</v>
      </c>
      <c r="J3" s="89">
        <f>LET(dec, I3-INT(I3), IF(dec&lt;0.1, INT(I3), IF(dec&lt;=0.7, INT(I3)+0.5, INT(I3)+1)))</f>
        <v/>
      </c>
      <c r="K3" s="116" t="n">
        <v>46141</v>
      </c>
      <c r="L3" s="91" t="inlineStr">
        <is>
          <t>EMILIANO</t>
        </is>
      </c>
      <c r="M3" s="96" t="n"/>
      <c r="N3" s="89" t="n"/>
    </row>
    <row r="4">
      <c r="A4" s="96" t="inlineStr">
        <is>
          <t>7634628972206770951</t>
        </is>
      </c>
      <c r="B4" s="96" t="inlineStr">
        <is>
          <t>reyes_del_fitness</t>
        </is>
      </c>
      <c r="C4" s="89" t="inlineStr">
        <is>
          <t>MX</t>
        </is>
      </c>
      <c r="D4" s="114" t="n">
        <v>8539</v>
      </c>
      <c r="E4" s="40">
        <f>D4/1.16</f>
        <v/>
      </c>
      <c r="F4" s="114" t="n">
        <v>1718.47</v>
      </c>
      <c r="G4" s="40">
        <f>F4/1.16</f>
        <v/>
      </c>
      <c r="H4" s="114" t="n">
        <v>0</v>
      </c>
      <c r="I4" s="117" t="n">
        <v>5</v>
      </c>
      <c r="J4" s="89">
        <f>LET(dec, I4-INT(I4), IF(dec&lt;0.1, INT(I4), IF(dec&lt;=0.7, INT(I4)+0.5, INT(I4)+1)))</f>
        <v/>
      </c>
      <c r="K4" s="116" t="n">
        <v>46142</v>
      </c>
      <c r="L4" s="91" t="inlineStr">
        <is>
          <t>JORGE</t>
        </is>
      </c>
      <c r="M4" s="96" t="n"/>
      <c r="N4" s="89" t="n"/>
    </row>
    <row r="5">
      <c r="A5" s="96" t="inlineStr">
        <is>
          <t>7636176731115621138</t>
        </is>
      </c>
      <c r="B5" s="96" t="inlineStr">
        <is>
          <t>reyes_del_fitness</t>
        </is>
      </c>
      <c r="C5" s="89" t="inlineStr">
        <is>
          <t>MX</t>
        </is>
      </c>
      <c r="D5" s="114" t="n">
        <v>2382.02</v>
      </c>
      <c r="E5" s="40">
        <f>D5/1.16</f>
        <v/>
      </c>
      <c r="F5" s="114" t="n">
        <v>593.53</v>
      </c>
      <c r="G5" s="40">
        <f>F5/1.16</f>
        <v/>
      </c>
      <c r="H5" s="114" t="n">
        <v>0</v>
      </c>
      <c r="I5" s="117" t="n">
        <v>4.02167</v>
      </c>
      <c r="J5" s="89">
        <f>LET(dec, I5-INT(I5), IF(dec&lt;0.1, INT(I5), IF(dec&lt;=0.7, INT(I5)+0.5, INT(I5)+1)))</f>
        <v/>
      </c>
      <c r="K5" s="116" t="n">
        <v>46146</v>
      </c>
      <c r="L5" s="91" t="inlineStr">
        <is>
          <t>JORGE</t>
        </is>
      </c>
      <c r="M5" s="96" t="n"/>
      <c r="N5" s="89" t="n"/>
    </row>
    <row r="6">
      <c r="A6" s="96" t="inlineStr">
        <is>
          <t>7636113379564423943</t>
        </is>
      </c>
      <c r="B6" s="96" t="inlineStr">
        <is>
          <t>reyes_del_fitness</t>
        </is>
      </c>
      <c r="C6" s="89" t="inlineStr">
        <is>
          <t>MX</t>
        </is>
      </c>
      <c r="D6" s="114" t="n">
        <v>1329.17</v>
      </c>
      <c r="E6" s="40">
        <f>D6/1.16</f>
        <v/>
      </c>
      <c r="F6" s="114" t="n">
        <v>1272.26</v>
      </c>
      <c r="G6" s="40">
        <f>F6/1.16</f>
        <v/>
      </c>
      <c r="H6" s="114" t="n">
        <v>0</v>
      </c>
      <c r="I6" s="117" t="n">
        <v>1.05</v>
      </c>
      <c r="J6" s="89">
        <f>LET(dec, I6-INT(I6), IF(dec&lt;0.1, INT(I6), IF(dec&lt;=0.7, INT(I6)+0.5, INT(I6)+1)))</f>
        <v/>
      </c>
      <c r="K6" s="116" t="n">
        <v>46146</v>
      </c>
      <c r="L6" s="91" t="inlineStr">
        <is>
          <t>JORGE</t>
        </is>
      </c>
      <c r="M6" s="96" t="n"/>
      <c r="N6" s="89" t="n"/>
    </row>
    <row r="7">
      <c r="A7" s="96" t="inlineStr">
        <is>
          <t>7636484297625242375</t>
        </is>
      </c>
      <c r="B7" s="96" t="inlineStr">
        <is>
          <t>reyes_del_fitness</t>
        </is>
      </c>
      <c r="C7" s="89" t="inlineStr">
        <is>
          <t>MX</t>
        </is>
      </c>
      <c r="D7" s="114" t="n">
        <v>3248.95</v>
      </c>
      <c r="E7" s="40">
        <f>D7/1.16</f>
        <v/>
      </c>
      <c r="F7" s="114" t="n">
        <v>727.33</v>
      </c>
      <c r="G7" s="40">
        <f>F7/1.16</f>
        <v/>
      </c>
      <c r="H7" s="114" t="n">
        <v>0</v>
      </c>
      <c r="I7" s="117" t="n">
        <v>3.99889</v>
      </c>
      <c r="J7" s="89">
        <f>LET(dec, I7-INT(I7), IF(dec&lt;0.1, INT(I7), IF(dec&lt;=0.7, INT(I7)+0.5, INT(I7)+1)))</f>
        <v/>
      </c>
      <c r="K7" s="116" t="n">
        <v>46147</v>
      </c>
      <c r="L7" s="91" t="inlineStr">
        <is>
          <t>JORGE</t>
        </is>
      </c>
      <c r="M7" s="96" t="n"/>
      <c r="N7" s="89" t="n"/>
    </row>
    <row r="8">
      <c r="A8" s="96" t="inlineStr">
        <is>
          <t>7636886625817611015</t>
        </is>
      </c>
      <c r="B8" s="96" t="inlineStr">
        <is>
          <t>reyes_del_fitness</t>
        </is>
      </c>
      <c r="C8" s="89" t="inlineStr">
        <is>
          <t>MX</t>
        </is>
      </c>
      <c r="D8" s="114" t="n">
        <v>9672.43</v>
      </c>
      <c r="E8" s="40">
        <f>D8/1.16</f>
        <v/>
      </c>
      <c r="F8" s="114" t="n">
        <v>1668.54</v>
      </c>
      <c r="G8" s="40">
        <f>F8/1.16</f>
        <v/>
      </c>
      <c r="H8" s="114" t="n">
        <v>0</v>
      </c>
      <c r="I8" s="117" t="n">
        <v>6.02528</v>
      </c>
      <c r="J8" s="89">
        <f>LET(dec, I8-INT(I8), IF(dec&lt;0.1, INT(I8), IF(dec&lt;=0.7, INT(I8)+0.5, INT(I8)+1)))</f>
        <v/>
      </c>
      <c r="K8" s="116" t="n">
        <v>46148</v>
      </c>
      <c r="L8" s="91" t="inlineStr">
        <is>
          <t>EMILIANO</t>
        </is>
      </c>
      <c r="M8" s="96" t="n"/>
      <c r="N8" s="89" t="n"/>
    </row>
    <row r="9">
      <c r="A9" s="96" t="inlineStr">
        <is>
          <t>7637242958795066119</t>
        </is>
      </c>
      <c r="B9" s="96" t="inlineStr">
        <is>
          <t>reyes_del_fitness</t>
        </is>
      </c>
      <c r="C9" s="89" t="inlineStr">
        <is>
          <t>MX</t>
        </is>
      </c>
      <c r="D9" s="114" t="n">
        <v>2878.32</v>
      </c>
      <c r="E9" s="40">
        <f>D9/1.16</f>
        <v/>
      </c>
      <c r="F9" s="114" t="n">
        <v>753.42</v>
      </c>
      <c r="G9" s="40">
        <f>F9/1.16</f>
        <v/>
      </c>
      <c r="H9" s="114" t="n">
        <v>0</v>
      </c>
      <c r="I9" s="117" t="n">
        <v>4.08361</v>
      </c>
      <c r="J9" s="89">
        <f>LET(dec, I9-INT(I9), IF(dec&lt;0.1, INT(I9), IF(dec&lt;=0.7, INT(I9)+0.5, INT(I9)+1)))</f>
        <v/>
      </c>
      <c r="K9" s="116" t="n">
        <v>46149</v>
      </c>
      <c r="L9" s="91" t="inlineStr">
        <is>
          <t>EMILIANO</t>
        </is>
      </c>
      <c r="M9" s="96" t="n"/>
      <c r="N9" s="89" t="n"/>
    </row>
    <row r="10">
      <c r="A10" s="96" t="inlineStr">
        <is>
          <t>7637597609003207432</t>
        </is>
      </c>
      <c r="B10" s="96" t="inlineStr">
        <is>
          <t>reyes_del_fitness</t>
        </is>
      </c>
      <c r="C10" s="89" t="inlineStr">
        <is>
          <t>MX</t>
        </is>
      </c>
      <c r="D10" s="114" t="n">
        <v>4495</v>
      </c>
      <c r="E10" s="40">
        <f>D10/1.16</f>
        <v/>
      </c>
      <c r="F10" s="114" t="n">
        <v>896.6900000000001</v>
      </c>
      <c r="G10" s="40">
        <f>F10/1.16</f>
        <v/>
      </c>
      <c r="H10" s="114" t="n">
        <v>0</v>
      </c>
      <c r="I10" s="117" t="n">
        <v>5.01278</v>
      </c>
      <c r="J10" s="89">
        <f>LET(dec, I10-INT(I10), IF(dec&lt;0.1, INT(I10), IF(dec&lt;=0.7, INT(I10)+0.5, INT(I10)+1)))</f>
        <v/>
      </c>
      <c r="K10" s="116" t="n">
        <v>46150</v>
      </c>
      <c r="L10" s="91" t="inlineStr">
        <is>
          <t>EMILIANO</t>
        </is>
      </c>
      <c r="M10" s="96" t="n"/>
      <c r="N10" s="89" t="n"/>
    </row>
    <row r="11">
      <c r="A11" s="96" t="inlineStr">
        <is>
          <t>7638727019190864658</t>
        </is>
      </c>
      <c r="B11" s="96" t="inlineStr">
        <is>
          <t>reyes_del_fitness</t>
        </is>
      </c>
      <c r="C11" s="89" t="inlineStr">
        <is>
          <t>MX</t>
        </is>
      </c>
      <c r="D11" s="114" t="n">
        <v>3617</v>
      </c>
      <c r="E11" s="40">
        <f>D11/1.16</f>
        <v/>
      </c>
      <c r="F11" s="114" t="n">
        <v>720.15</v>
      </c>
      <c r="G11" s="40">
        <f>F11/1.16</f>
        <v/>
      </c>
      <c r="H11" s="114" t="n">
        <v>0</v>
      </c>
      <c r="I11" s="117" t="n">
        <v>4.99167</v>
      </c>
      <c r="J11" s="89">
        <f>LET(dec, I11-INT(I11), IF(dec&lt;0.1, INT(I11), IF(dec&lt;=0.7, INT(I11)+0.5, INT(I11)+1)))</f>
        <v/>
      </c>
      <c r="K11" s="116" t="n">
        <v>46153</v>
      </c>
      <c r="L11" s="91" t="inlineStr">
        <is>
          <t>EMILIANO</t>
        </is>
      </c>
      <c r="M11" s="96" t="n"/>
      <c r="N11" s="89" t="n"/>
    </row>
    <row r="12">
      <c r="A12" s="96" t="inlineStr">
        <is>
          <t>7639082408301759250</t>
        </is>
      </c>
      <c r="B12" s="96" t="inlineStr">
        <is>
          <t>reyes_del_fitness</t>
        </is>
      </c>
      <c r="C12" s="89" t="inlineStr">
        <is>
          <t>MX</t>
        </is>
      </c>
      <c r="D12" s="114" t="n">
        <v>2705</v>
      </c>
      <c r="E12" s="40">
        <f>D12/1.16</f>
        <v/>
      </c>
      <c r="F12" s="114" t="n">
        <v>540.05</v>
      </c>
      <c r="G12" s="40">
        <f>F12/1.16</f>
        <v/>
      </c>
      <c r="H12" s="114" t="n">
        <v>0</v>
      </c>
      <c r="I12" s="89" t="n">
        <v>5</v>
      </c>
      <c r="J12" s="89">
        <f>LET(dec, I12-INT(I12), IF(dec&lt;0.1, INT(I12), IF(dec&lt;=0.7, INT(I12)+0.5, INT(I12)+1)))</f>
        <v/>
      </c>
      <c r="K12" s="116" t="n">
        <v>46154</v>
      </c>
      <c r="L12" s="91" t="inlineStr">
        <is>
          <t>EMILIANO</t>
        </is>
      </c>
      <c r="M12" s="96" t="n"/>
      <c r="N12" s="89" t="n"/>
    </row>
    <row r="13">
      <c r="A13" s="96" t="inlineStr">
        <is>
          <t>7639453029871209234</t>
        </is>
      </c>
      <c r="B13" s="96" t="inlineStr">
        <is>
          <t>reyes_del_fitness</t>
        </is>
      </c>
      <c r="C13" s="89" t="inlineStr">
        <is>
          <t>MX</t>
        </is>
      </c>
      <c r="D13" s="114" t="n">
        <v>4750</v>
      </c>
      <c r="E13" s="40">
        <f>D13/1.16</f>
        <v/>
      </c>
      <c r="F13" s="114" t="n">
        <v>1056.55</v>
      </c>
      <c r="G13" s="40">
        <f>F13/1.16</f>
        <v/>
      </c>
      <c r="H13" s="114" t="n">
        <v>0</v>
      </c>
      <c r="I13" s="89" t="n">
        <v>5</v>
      </c>
      <c r="J13" s="89">
        <f>LET(dec, I13-INT(I13), IF(dec&lt;0.1, INT(I13), IF(dec&lt;=0.7, INT(I13)+0.5, INT(I13)+1)))</f>
        <v/>
      </c>
      <c r="K13" s="116" t="n">
        <v>46155</v>
      </c>
      <c r="L13" s="91" t="inlineStr">
        <is>
          <t>EMILIANO</t>
        </is>
      </c>
      <c r="M13" s="96" t="n"/>
      <c r="N13" s="89" t="n"/>
    </row>
    <row r="14">
      <c r="A14" s="96" t="inlineStr">
        <is>
          <t>7639830605521931015</t>
        </is>
      </c>
      <c r="B14" s="96" t="inlineStr">
        <is>
          <t>reyes_del_fitness</t>
        </is>
      </c>
      <c r="C14" s="89" t="inlineStr">
        <is>
          <t>MX</t>
        </is>
      </c>
      <c r="D14" s="114" t="n">
        <v>6108</v>
      </c>
      <c r="E14" s="40">
        <f>D14/1.16</f>
        <v/>
      </c>
      <c r="F14" s="114" t="n">
        <v>1997.95</v>
      </c>
      <c r="G14" s="40">
        <f>F14/1.16</f>
        <v/>
      </c>
      <c r="H14" s="114" t="n">
        <v>0</v>
      </c>
      <c r="I14" s="89" t="n">
        <v>5</v>
      </c>
      <c r="J14" s="89">
        <f>LET(dec, I14-INT(I14), IF(dec&lt;0.1, INT(I14), IF(dec&lt;=0.7, INT(I14)+0.5, INT(I14)+1)))</f>
        <v/>
      </c>
      <c r="K14" s="116" t="n">
        <v>46156</v>
      </c>
      <c r="L14" s="91" t="inlineStr">
        <is>
          <t>EMILIANO</t>
        </is>
      </c>
      <c r="M14" s="96" t="n"/>
      <c r="N14" s="89" t="n"/>
    </row>
    <row r="15">
      <c r="A15" s="96" t="inlineStr">
        <is>
          <t>7640521528984242951</t>
        </is>
      </c>
      <c r="B15" s="96" t="inlineStr">
        <is>
          <t>reyes_del_fitness</t>
        </is>
      </c>
      <c r="C15" s="89" t="inlineStr">
        <is>
          <t>MX</t>
        </is>
      </c>
      <c r="D15" s="114" t="n">
        <v>21073</v>
      </c>
      <c r="E15" s="40">
        <f>D15/1.16</f>
        <v/>
      </c>
      <c r="F15" s="114" t="n">
        <v>3008.61</v>
      </c>
      <c r="G15" s="40">
        <f>F15/1.16</f>
        <v/>
      </c>
      <c r="H15" s="114" t="n">
        <v>0</v>
      </c>
      <c r="I15" s="89" t="n">
        <v>5</v>
      </c>
      <c r="J15" s="89">
        <f>LET(dec, I15-INT(I15), IF(dec&lt;0.1, INT(I15), IF(dec&lt;=0.7, INT(I15)+0.5, INT(I15)+1)))</f>
        <v/>
      </c>
      <c r="K15" s="116" t="n">
        <v>46158</v>
      </c>
      <c r="L15" s="91" t="inlineStr">
        <is>
          <t>EMILIANO</t>
        </is>
      </c>
      <c r="M15" s="96" t="n"/>
      <c r="N15" s="89" t="n"/>
    </row>
    <row r="16">
      <c r="A16" s="96" t="inlineStr">
        <is>
          <t>7641325353687862034</t>
        </is>
      </c>
      <c r="B16" s="96" t="inlineStr">
        <is>
          <t>reyes_del_fitness</t>
        </is>
      </c>
      <c r="C16" s="89" t="inlineStr">
        <is>
          <t>MX</t>
        </is>
      </c>
      <c r="D16" s="114" t="n">
        <v>4963</v>
      </c>
      <c r="E16" s="40">
        <f>D16/1.16</f>
        <v/>
      </c>
      <c r="F16" s="114" t="n">
        <v>1238.2</v>
      </c>
      <c r="G16" s="40">
        <f>F16/1.16</f>
        <v/>
      </c>
      <c r="H16" s="114" t="n">
        <v>1.21</v>
      </c>
      <c r="I16" s="89" t="n">
        <v>5</v>
      </c>
      <c r="J16" s="89">
        <f>LET(dec, I16-INT(I16), IF(dec&lt;0.1, INT(I16), IF(dec&lt;=0.7, INT(I16)+0.5, INT(I16)+1)))</f>
        <v/>
      </c>
      <c r="K16" s="116" t="n">
        <v>46160</v>
      </c>
      <c r="L16" s="91" t="inlineStr">
        <is>
          <t>JORGE</t>
        </is>
      </c>
      <c r="M16" s="96" t="n"/>
      <c r="N16" s="89" t="n"/>
    </row>
    <row r="17">
      <c r="A17" s="96" t="inlineStr">
        <is>
          <t>7641695070827629320</t>
        </is>
      </c>
      <c r="B17" s="96" t="inlineStr">
        <is>
          <t>reyes_del_fitness</t>
        </is>
      </c>
      <c r="C17" s="89" t="inlineStr">
        <is>
          <t>MX</t>
        </is>
      </c>
      <c r="D17" s="114" t="n">
        <v>7802</v>
      </c>
      <c r="E17" s="40">
        <f>D17/1.16</f>
        <v/>
      </c>
      <c r="F17" s="114" t="n">
        <v>1836.12</v>
      </c>
      <c r="G17" s="40">
        <f>F17/1.16</f>
        <v/>
      </c>
      <c r="H17" s="114" t="n">
        <v>256.22</v>
      </c>
      <c r="I17" s="89" t="n">
        <v>5</v>
      </c>
      <c r="J17" s="89">
        <f>LET(dec, I17-INT(I17), IF(dec&lt;0.1, INT(I17), IF(dec&lt;=0.7, INT(I17)+0.5, INT(I17)+1)))</f>
        <v/>
      </c>
      <c r="K17" s="116" t="n">
        <v>46161</v>
      </c>
      <c r="L17" s="91" t="inlineStr">
        <is>
          <t>JORGE</t>
        </is>
      </c>
      <c r="M17" s="96" t="n"/>
      <c r="N17" s="89" t="n"/>
    </row>
    <row r="18">
      <c r="A18" s="96" t="inlineStr">
        <is>
          <t>7642075663603698440</t>
        </is>
      </c>
      <c r="B18" s="96" t="inlineStr">
        <is>
          <t>reyes_del_fitness</t>
        </is>
      </c>
      <c r="C18" s="89" t="inlineStr">
        <is>
          <t>MX</t>
        </is>
      </c>
      <c r="D18" s="114" t="n">
        <v>4543</v>
      </c>
      <c r="E18" s="40">
        <f>D18/1.16</f>
        <v/>
      </c>
      <c r="F18" s="114" t="n">
        <v>953.73</v>
      </c>
      <c r="G18" s="40">
        <f>F18/1.16</f>
        <v/>
      </c>
      <c r="H18" s="114" t="n">
        <v>497.81</v>
      </c>
      <c r="I18" s="89" t="n">
        <v>5</v>
      </c>
      <c r="J18" s="89">
        <f>LET(dec, I18-INT(I18), IF(dec&lt;0.1, INT(I18), IF(dec&lt;=0.7, INT(I18)+0.5, INT(I18)+1)))</f>
        <v/>
      </c>
      <c r="K18" s="116" t="n">
        <v>46162</v>
      </c>
      <c r="L18" s="91" t="inlineStr">
        <is>
          <t>JORGE</t>
        </is>
      </c>
      <c r="M18" s="96" t="n"/>
      <c r="N18" s="89" t="n"/>
    </row>
    <row r="19">
      <c r="A19" s="96" t="inlineStr">
        <is>
          <t>7642437263514962695</t>
        </is>
      </c>
      <c r="B19" s="96" t="inlineStr">
        <is>
          <t>reyes_del_fitness</t>
        </is>
      </c>
      <c r="C19" s="89" t="inlineStr">
        <is>
          <t>MX</t>
        </is>
      </c>
      <c r="D19" s="114" t="n">
        <v>1504</v>
      </c>
      <c r="E19" s="40">
        <f>D19/1.16</f>
        <v/>
      </c>
      <c r="F19" s="114" t="n">
        <v>376.09</v>
      </c>
      <c r="G19" s="40">
        <f>F19/1.16</f>
        <v/>
      </c>
      <c r="H19" s="114" t="n">
        <v>495.68</v>
      </c>
      <c r="I19" s="89" t="n">
        <v>5</v>
      </c>
      <c r="J19" s="89">
        <f>LET(dec, I19-INT(I19), IF(dec&lt;0.1, INT(I19), IF(dec&lt;=0.7, INT(I19)+0.5, INT(I19)+1)))</f>
        <v/>
      </c>
      <c r="K19" s="116" t="n">
        <v>46163</v>
      </c>
      <c r="L19" s="91" t="inlineStr">
        <is>
          <t>JORGE</t>
        </is>
      </c>
      <c r="M19" s="96" t="n"/>
      <c r="N19" s="89" t="n"/>
    </row>
    <row r="20">
      <c r="A20" s="96" t="inlineStr">
        <is>
          <t>7642811330700790546</t>
        </is>
      </c>
      <c r="B20" s="96" t="inlineStr">
        <is>
          <t>reyes_del_fitness</t>
        </is>
      </c>
      <c r="C20" s="89" t="inlineStr">
        <is>
          <t>MX</t>
        </is>
      </c>
      <c r="D20" s="114" t="n">
        <v>5246</v>
      </c>
      <c r="E20" s="40">
        <f>D20/1.16</f>
        <v/>
      </c>
      <c r="F20" s="114" t="n">
        <v>1035.72</v>
      </c>
      <c r="G20" s="40">
        <f>F20/1.16</f>
        <v/>
      </c>
      <c r="H20" s="114" t="n">
        <v>0</v>
      </c>
      <c r="I20" s="89" t="n">
        <v>5</v>
      </c>
      <c r="J20" s="89">
        <f>LET(dec, I20-INT(I20), IF(dec&lt;0.1, INT(I20), IF(dec&lt;=0.7, INT(I20)+0.5, INT(I20)+1)))</f>
        <v/>
      </c>
      <c r="K20" s="116" t="n">
        <v>46164</v>
      </c>
      <c r="L20" s="91" t="inlineStr">
        <is>
          <t>JORGE</t>
        </is>
      </c>
      <c r="M20" s="96" t="n"/>
      <c r="N20" s="89" t="n"/>
    </row>
    <row r="21">
      <c r="A21" s="96" t="inlineStr">
        <is>
          <t>7643913375168400146</t>
        </is>
      </c>
      <c r="B21" s="96" t="inlineStr">
        <is>
          <t>reyes_del_fitness</t>
        </is>
      </c>
      <c r="C21" s="89" t="inlineStr">
        <is>
          <t>MX</t>
        </is>
      </c>
      <c r="D21" s="114" t="n">
        <v>15169</v>
      </c>
      <c r="E21" s="40">
        <f>D21/1.16</f>
        <v/>
      </c>
      <c r="F21" s="114" t="n">
        <v>1900.47</v>
      </c>
      <c r="G21" s="40">
        <f>F21/1.16</f>
        <v/>
      </c>
      <c r="H21" s="114" t="n">
        <v>298.56</v>
      </c>
      <c r="I21" s="89" t="n">
        <v>5</v>
      </c>
      <c r="J21" s="89">
        <f>LET(dec, I21-INT(I21), IF(dec&lt;0.1, INT(I21), IF(dec&lt;=0.7, INT(I21)+0.5, INT(I21)+1)))</f>
        <v/>
      </c>
      <c r="K21" s="116" t="n">
        <v>46167</v>
      </c>
      <c r="L21" s="91" t="inlineStr">
        <is>
          <t>JORGE</t>
        </is>
      </c>
      <c r="M21" s="96" t="n"/>
      <c r="N21" s="89" t="n"/>
    </row>
    <row r="22">
      <c r="A22" s="96" t="inlineStr">
        <is>
          <t>7644290727333563144</t>
        </is>
      </c>
      <c r="B22" s="96" t="inlineStr">
        <is>
          <t>reyes_del_fitness</t>
        </is>
      </c>
      <c r="C22" s="89" t="inlineStr">
        <is>
          <t>MX</t>
        </is>
      </c>
      <c r="D22" s="114" t="n">
        <v>6884</v>
      </c>
      <c r="E22" s="40">
        <f>D22/1.16</f>
        <v/>
      </c>
      <c r="F22" s="114" t="n">
        <v>1342.58</v>
      </c>
      <c r="G22" s="40">
        <f>F22/1.16</f>
        <v/>
      </c>
      <c r="H22" s="114" t="n">
        <v>199.45</v>
      </c>
      <c r="I22" s="89" t="n">
        <v>5</v>
      </c>
      <c r="J22" s="89">
        <f>LET(dec, I22-INT(I22), IF(dec&lt;0.1, INT(I22), IF(dec&lt;=0.7, INT(I22)+0.5, INT(I22)+1)))</f>
        <v/>
      </c>
      <c r="K22" s="116" t="n">
        <v>46168</v>
      </c>
      <c r="L22" s="91" t="inlineStr">
        <is>
          <t>JORGE</t>
        </is>
      </c>
      <c r="M22" s="96" t="n"/>
      <c r="N22" s="89" t="n"/>
    </row>
    <row r="23">
      <c r="A23" s="96" t="inlineStr">
        <is>
          <t>7644654519469083410</t>
        </is>
      </c>
      <c r="B23" s="96" t="inlineStr">
        <is>
          <t>reyes_del_fitness</t>
        </is>
      </c>
      <c r="C23" s="89" t="inlineStr">
        <is>
          <t>MX</t>
        </is>
      </c>
      <c r="D23" s="114" t="n">
        <v>2695</v>
      </c>
      <c r="E23" s="40">
        <f>D23/1.16</f>
        <v/>
      </c>
      <c r="F23" s="114" t="n">
        <v>535.51</v>
      </c>
      <c r="G23" s="40">
        <f>F23/1.16</f>
        <v/>
      </c>
      <c r="H23" s="114" t="n">
        <v>18.06</v>
      </c>
      <c r="I23" s="89" t="n">
        <v>5</v>
      </c>
      <c r="J23" s="89">
        <f>LET(dec, I23-INT(I23), IF(dec&lt;0.1, INT(I23), IF(dec&lt;=0.7, INT(I23)+0.5, INT(I23)+1)))</f>
        <v/>
      </c>
      <c r="K23" s="116" t="n">
        <v>46169</v>
      </c>
      <c r="L23" s="91" t="inlineStr">
        <is>
          <t>JORGE</t>
        </is>
      </c>
      <c r="M23" s="96" t="n"/>
      <c r="N23" s="89" t="n"/>
    </row>
    <row r="24">
      <c r="K24" s="84" t="n"/>
    </row>
    <row r="25">
      <c r="A25" s="7" t="inlineStr">
        <is>
          <t>Room ID</t>
        </is>
      </c>
      <c r="B25" s="7" t="inlineStr">
        <is>
          <t>TT Handle</t>
        </is>
      </c>
      <c r="C25" s="7" t="inlineStr">
        <is>
          <t>Country</t>
        </is>
      </c>
      <c r="D25" s="7" t="inlineStr">
        <is>
          <t>GMV</t>
        </is>
      </c>
      <c r="E25" s="7" t="inlineStr">
        <is>
          <t>GMV/sin EVA</t>
        </is>
      </c>
      <c r="F25" s="7" t="inlineStr">
        <is>
          <t>GMV PER HOUR</t>
        </is>
      </c>
      <c r="G25" s="7" t="inlineStr">
        <is>
          <t>GMV PER HOUR/sin EVA</t>
        </is>
      </c>
      <c r="H25" s="7" t="inlineStr">
        <is>
          <t>Ads Cost</t>
        </is>
      </c>
      <c r="I25" s="7" t="inlineStr">
        <is>
          <t>Duration (H)</t>
        </is>
      </c>
      <c r="J25" s="28" t="inlineStr">
        <is>
          <t>Duration （Formula）</t>
        </is>
      </c>
      <c r="K25" s="58" t="inlineStr">
        <is>
          <t>Start date</t>
        </is>
      </c>
      <c r="L25" s="71" t="inlineStr">
        <is>
          <t>HOST1</t>
        </is>
      </c>
      <c r="M25" s="71" t="inlineStr">
        <is>
          <t xml:space="preserve">HOST 2 </t>
        </is>
      </c>
      <c r="N25" s="71" t="inlineStr">
        <is>
          <t>Operator</t>
        </is>
      </c>
    </row>
    <row r="26">
      <c r="A26" s="96" t="inlineStr">
        <is>
          <t>7645036230510693128</t>
        </is>
      </c>
      <c r="B26" s="96" t="inlineStr">
        <is>
          <t>reyes_del_wellness</t>
        </is>
      </c>
      <c r="C26" s="89" t="inlineStr">
        <is>
          <t>MX</t>
        </is>
      </c>
      <c r="D26" s="114" t="n">
        <v>2787.05</v>
      </c>
      <c r="E26" s="40">
        <f>D26/1.16</f>
        <v/>
      </c>
      <c r="F26" s="114">
        <f>D26/J26</f>
        <v/>
      </c>
      <c r="G26" s="40">
        <f>F26/1.16</f>
        <v/>
      </c>
      <c r="H26" s="114" t="n">
        <v>0</v>
      </c>
      <c r="I26" s="115" t="n">
        <v>5</v>
      </c>
      <c r="J26" s="89">
        <f>LET(dec, I26-INT(I26), IF(dec&lt;0.1, INT(I26), IF(dec&lt;=0.7, INT(I26)+0.5, INT(I26)+1)))</f>
        <v/>
      </c>
      <c r="K26" s="116" t="n">
        <v>46170</v>
      </c>
      <c r="L26" s="91" t="inlineStr">
        <is>
          <t>JORGE</t>
        </is>
      </c>
      <c r="M26" s="96" t="n"/>
      <c r="N26" s="89" t="inlineStr">
        <is>
          <t>JORGE</t>
        </is>
      </c>
    </row>
    <row r="27">
      <c r="A27" s="96" t="inlineStr">
        <is>
          <t>7645391113217477384</t>
        </is>
      </c>
      <c r="B27" s="96" t="inlineStr">
        <is>
          <t>reyes_del_wellness</t>
        </is>
      </c>
      <c r="C27" s="89" t="inlineStr">
        <is>
          <t>MX</t>
        </is>
      </c>
      <c r="D27" s="114" t="n">
        <v>10394</v>
      </c>
      <c r="E27" s="40">
        <f>D27/1.16</f>
        <v/>
      </c>
      <c r="F27" s="114">
        <f>D27/J27</f>
        <v/>
      </c>
      <c r="G27" s="40">
        <f>F27/1.16</f>
        <v/>
      </c>
      <c r="H27" s="114" t="n">
        <v>0</v>
      </c>
      <c r="I27" s="115" t="n">
        <v>5</v>
      </c>
      <c r="J27" s="89">
        <f>LET(dec, I27-INT(I27), IF(dec&lt;0.1, INT(I27), IF(dec&lt;=0.7, INT(I27)+0.5, INT(I27)+1)))</f>
        <v/>
      </c>
      <c r="K27" s="116" t="n">
        <v>46171</v>
      </c>
      <c r="L27" s="91" t="inlineStr">
        <is>
          <t>JORGE</t>
        </is>
      </c>
      <c r="M27" s="96" t="n"/>
      <c r="N27" s="89" t="inlineStr">
        <is>
          <t>JORGE</t>
        </is>
      </c>
    </row>
    <row r="28">
      <c r="A28" s="96" t="inlineStr">
        <is>
          <t>7646503682142112530</t>
        </is>
      </c>
      <c r="B28" s="96" t="inlineStr">
        <is>
          <t>reyes_del_wellness</t>
        </is>
      </c>
      <c r="C28" s="89" t="inlineStr">
        <is>
          <t>MX</t>
        </is>
      </c>
      <c r="D28" s="114" t="n">
        <v>6485.84</v>
      </c>
      <c r="E28" s="40">
        <f>D28/1.16</f>
        <v/>
      </c>
      <c r="F28" s="114">
        <f>D28/J28</f>
        <v/>
      </c>
      <c r="G28" s="40">
        <f>F28/1.16</f>
        <v/>
      </c>
      <c r="H28" s="114" t="n">
        <v>0</v>
      </c>
      <c r="I28" s="115" t="n">
        <v>5</v>
      </c>
      <c r="J28" s="89">
        <f>LET(dec, I28-INT(I28), IF(dec&lt;0.1, INT(I28), IF(dec&lt;=0.7, INT(I28)+0.5, INT(I28)+1)))</f>
        <v/>
      </c>
      <c r="K28" s="116" t="n">
        <v>46174</v>
      </c>
      <c r="L28" s="91" t="inlineStr">
        <is>
          <t>JORGE</t>
        </is>
      </c>
      <c r="M28" s="96" t="n"/>
      <c r="N28" s="89" t="inlineStr">
        <is>
          <t>JORGE</t>
        </is>
      </c>
    </row>
    <row r="29">
      <c r="A29" s="96" t="inlineStr">
        <is>
          <t>7646584416731777810</t>
        </is>
      </c>
      <c r="B29" s="96" t="inlineStr">
        <is>
          <t>reyes_del_wellness</t>
        </is>
      </c>
      <c r="C29" s="89" t="inlineStr">
        <is>
          <t>MX</t>
        </is>
      </c>
      <c r="D29" s="114" t="n">
        <v>5889.88</v>
      </c>
      <c r="E29" s="40">
        <f>D29/1.16</f>
        <v/>
      </c>
      <c r="F29" s="114">
        <f>D29/J29</f>
        <v/>
      </c>
      <c r="G29" s="40">
        <f>F29/1.16</f>
        <v/>
      </c>
      <c r="H29" s="114" t="n">
        <v>0</v>
      </c>
      <c r="I29" s="115" t="n">
        <v>5</v>
      </c>
      <c r="J29" s="89">
        <f>LET(dec, I29-INT(I29), IF(dec&lt;0.1, INT(I29), IF(dec&lt;=0.7, INT(I29)+0.5, INT(I29)+1)))</f>
        <v/>
      </c>
      <c r="K29" s="116" t="n">
        <v>46174</v>
      </c>
      <c r="L29" s="91" t="inlineStr">
        <is>
          <t>JORGE</t>
        </is>
      </c>
      <c r="M29" s="96" t="n"/>
      <c r="N29" s="89" t="inlineStr">
        <is>
          <t>JORGE</t>
        </is>
      </c>
    </row>
    <row r="30">
      <c r="A30" s="96" t="inlineStr">
        <is>
          <t>7646874964586957576</t>
        </is>
      </c>
      <c r="B30" s="96" t="inlineStr">
        <is>
          <t>reyes_del_wellness</t>
        </is>
      </c>
      <c r="C30" s="89" t="inlineStr">
        <is>
          <t>MX</t>
        </is>
      </c>
      <c r="D30" s="114" t="n">
        <v>9224.700000000001</v>
      </c>
      <c r="E30" s="40">
        <f>D30/1.16</f>
        <v/>
      </c>
      <c r="F30" s="114">
        <f>D30/J30</f>
        <v/>
      </c>
      <c r="G30" s="40">
        <f>F30/1.16</f>
        <v/>
      </c>
      <c r="H30" s="114" t="n">
        <v>0</v>
      </c>
      <c r="I30" s="115" t="n">
        <v>5</v>
      </c>
      <c r="J30" s="89">
        <f>LET(dec, I30-INT(I30), IF(dec&lt;0.1, INT(I30), IF(dec&lt;=0.7, INT(I30)+0.5, INT(I30)+1)))</f>
        <v/>
      </c>
      <c r="K30" s="116" t="n">
        <v>46175</v>
      </c>
      <c r="L30" s="91" t="inlineStr">
        <is>
          <t>JORGE</t>
        </is>
      </c>
      <c r="M30" s="96" t="n"/>
      <c r="N30" s="89" t="inlineStr">
        <is>
          <t>JORGE</t>
        </is>
      </c>
    </row>
    <row r="31">
      <c r="A31" s="96" t="inlineStr">
        <is>
          <t>7647245781384268551</t>
        </is>
      </c>
      <c r="B31" s="96" t="inlineStr">
        <is>
          <t>reyes_del_wellness</t>
        </is>
      </c>
      <c r="C31" s="89" t="inlineStr">
        <is>
          <t>MX</t>
        </is>
      </c>
      <c r="D31" s="114" t="n">
        <v>2698.79</v>
      </c>
      <c r="E31" s="40">
        <f>D31/1.16</f>
        <v/>
      </c>
      <c r="F31" s="114">
        <f>D31/J31</f>
        <v/>
      </c>
      <c r="G31" s="40">
        <f>F31/1.16</f>
        <v/>
      </c>
      <c r="H31" s="114" t="n">
        <v>0</v>
      </c>
      <c r="I31" s="115" t="n">
        <v>5</v>
      </c>
      <c r="J31" s="89">
        <f>LET(dec, I31-INT(I31), IF(dec&lt;0.1, INT(I31), IF(dec&lt;=0.7, INT(I31)+0.5, INT(I31)+1)))</f>
        <v/>
      </c>
      <c r="K31" s="116" t="n">
        <v>46176</v>
      </c>
      <c r="L31" s="91" t="inlineStr">
        <is>
          <t>JORGE</t>
        </is>
      </c>
      <c r="M31" s="96" t="n"/>
      <c r="N31" s="89" t="inlineStr">
        <is>
          <t>JORGE</t>
        </is>
      </c>
    </row>
    <row r="32">
      <c r="A32" s="96" t="inlineStr">
        <is>
          <t>7647617087799577352</t>
        </is>
      </c>
      <c r="B32" s="96" t="inlineStr">
        <is>
          <t>reyes_del_wellness</t>
        </is>
      </c>
      <c r="C32" s="89" t="inlineStr">
        <is>
          <t>MX</t>
        </is>
      </c>
      <c r="D32" s="114" t="n">
        <v>3429.71</v>
      </c>
      <c r="E32" s="40">
        <f>D32/1.16</f>
        <v/>
      </c>
      <c r="F32" s="114">
        <f>D32/J32</f>
        <v/>
      </c>
      <c r="G32" s="40">
        <f>F32/1.16</f>
        <v/>
      </c>
      <c r="H32" s="114" t="n">
        <v>0</v>
      </c>
      <c r="I32" s="115" t="n">
        <v>5</v>
      </c>
      <c r="J32" s="89">
        <f>LET(dec, I32-INT(I32), IF(dec&lt;0.1, INT(I32), IF(dec&lt;=0.7, INT(I32)+0.5, INT(I32)+1)))</f>
        <v/>
      </c>
      <c r="K32" s="116" t="n">
        <v>46177</v>
      </c>
      <c r="L32" s="91" t="inlineStr">
        <is>
          <t>JORGE</t>
        </is>
      </c>
      <c r="M32" s="96" t="n"/>
      <c r="N32" s="89" t="inlineStr">
        <is>
          <t>JORGE</t>
        </is>
      </c>
    </row>
    <row r="33">
      <c r="A33" s="96" t="inlineStr">
        <is>
          <t>7647989729697123080</t>
        </is>
      </c>
      <c r="B33" s="96" t="inlineStr">
        <is>
          <t>reyes_del_wellness</t>
        </is>
      </c>
      <c r="C33" s="89" t="inlineStr">
        <is>
          <t>MX</t>
        </is>
      </c>
      <c r="D33" s="114" t="n">
        <v>4576.86</v>
      </c>
      <c r="E33" s="40">
        <f>D33/1.16</f>
        <v/>
      </c>
      <c r="F33" s="114">
        <f>D33/J33</f>
        <v/>
      </c>
      <c r="G33" s="40">
        <f>F33/1.16</f>
        <v/>
      </c>
      <c r="H33" s="114" t="n">
        <v>0</v>
      </c>
      <c r="I33" s="115" t="n">
        <v>5</v>
      </c>
      <c r="J33" s="89">
        <f>LET(dec, I33-INT(I33), IF(dec&lt;0.1, INT(I33), IF(dec&lt;=0.7, INT(I33)+0.5, INT(I33)+1)))</f>
        <v/>
      </c>
      <c r="K33" s="116" t="n">
        <v>46178</v>
      </c>
      <c r="L33" s="91" t="inlineStr">
        <is>
          <t>JORGE</t>
        </is>
      </c>
      <c r="M33" s="96" t="n"/>
      <c r="N33" s="89" t="inlineStr">
        <is>
          <t>JORGE</t>
        </is>
      </c>
    </row>
    <row r="34">
      <c r="A34" s="96" t="inlineStr">
        <is>
          <t>7649117480085965576</t>
        </is>
      </c>
      <c r="B34" s="96" t="inlineStr">
        <is>
          <t>reyes_del_wellness</t>
        </is>
      </c>
      <c r="C34" s="89" t="inlineStr">
        <is>
          <t>MX</t>
        </is>
      </c>
      <c r="D34" s="114" t="n">
        <v>1655.33</v>
      </c>
      <c r="E34" s="40">
        <f>D34/1.16</f>
        <v/>
      </c>
      <c r="F34" s="114">
        <f>D34/J34</f>
        <v/>
      </c>
      <c r="G34" s="40">
        <f>F34/1.16</f>
        <v/>
      </c>
      <c r="H34" s="114" t="n">
        <v>0</v>
      </c>
      <c r="I34" s="115" t="n">
        <v>5</v>
      </c>
      <c r="J34" s="89">
        <f>LET(dec, I34-INT(I34), IF(dec&lt;0.1, INT(I34), IF(dec&lt;=0.7, INT(I34)+0.5, INT(I34)+1)))</f>
        <v/>
      </c>
      <c r="K34" s="116" t="n">
        <v>46181</v>
      </c>
      <c r="L34" s="91" t="inlineStr">
        <is>
          <t>JORGE</t>
        </is>
      </c>
      <c r="M34" s="96" t="n"/>
      <c r="N34" s="89" t="inlineStr">
        <is>
          <t>JORGE</t>
        </is>
      </c>
    </row>
    <row r="35">
      <c r="A35" s="96" t="inlineStr">
        <is>
          <t>7649473392760556306</t>
        </is>
      </c>
      <c r="B35" s="96" t="inlineStr">
        <is>
          <t>reyes_del_wellness</t>
        </is>
      </c>
      <c r="C35" s="89" t="inlineStr">
        <is>
          <t>MX</t>
        </is>
      </c>
      <c r="D35" s="114" t="n">
        <v>5416.62</v>
      </c>
      <c r="E35" s="40">
        <f>D35/1.16</f>
        <v/>
      </c>
      <c r="F35" s="114">
        <f>D35/J35</f>
        <v/>
      </c>
      <c r="G35" s="40">
        <f>F35/1.16</f>
        <v/>
      </c>
      <c r="H35" s="114" t="n">
        <v>0</v>
      </c>
      <c r="I35" s="115" t="n">
        <v>5</v>
      </c>
      <c r="J35" s="89">
        <f>LET(dec, I35-INT(I35), IF(dec&lt;0.1, INT(I35), IF(dec&lt;=0.7, INT(I35)+0.5, INT(I35)+1)))</f>
        <v/>
      </c>
      <c r="K35" s="116" t="n">
        <v>46182</v>
      </c>
      <c r="L35" s="91" t="inlineStr">
        <is>
          <t>JORGE</t>
        </is>
      </c>
      <c r="M35" s="96" t="n"/>
      <c r="N35" s="89" t="inlineStr">
        <is>
          <t>JORGE</t>
        </is>
      </c>
    </row>
    <row r="36">
      <c r="A36" s="96" t="inlineStr">
        <is>
          <t>7649845320880982805</t>
        </is>
      </c>
      <c r="B36" s="96" t="inlineStr">
        <is>
          <t>reyes_del_wellness</t>
        </is>
      </c>
      <c r="C36" s="89" t="inlineStr">
        <is>
          <t>MX</t>
        </is>
      </c>
      <c r="D36" s="114" t="n">
        <v>557.4400000000001</v>
      </c>
      <c r="E36" s="40">
        <f>D36/1.16</f>
        <v/>
      </c>
      <c r="F36" s="114">
        <f>D36/J36</f>
        <v/>
      </c>
      <c r="G36" s="40">
        <f>F36/1.16</f>
        <v/>
      </c>
      <c r="H36" s="114" t="n">
        <v>0</v>
      </c>
      <c r="I36" s="115" t="n">
        <v>5</v>
      </c>
      <c r="J36" s="89">
        <f>LET(dec, I36-INT(I36), IF(dec&lt;0.1, INT(I36), IF(dec&lt;=0.7, INT(I36)+0.5, INT(I36)+1)))</f>
        <v/>
      </c>
      <c r="K36" s="116" t="n">
        <v>46183</v>
      </c>
      <c r="L36" s="91" t="inlineStr">
        <is>
          <t>JORGE</t>
        </is>
      </c>
      <c r="M36" s="96" t="n"/>
      <c r="N36" s="89" t="inlineStr">
        <is>
          <t>JORGE</t>
        </is>
      </c>
    </row>
    <row r="37">
      <c r="A37" s="96" t="inlineStr">
        <is>
          <t>7650585744872852244</t>
        </is>
      </c>
      <c r="B37" s="96" t="inlineStr">
        <is>
          <t>reyes_del_wellness</t>
        </is>
      </c>
      <c r="C37" s="89" t="inlineStr">
        <is>
          <t>MX</t>
        </is>
      </c>
      <c r="D37" s="114" t="n">
        <v>8198.74</v>
      </c>
      <c r="E37" s="40">
        <f>D37/1.16</f>
        <v/>
      </c>
      <c r="F37" s="114">
        <f>D37/J37</f>
        <v/>
      </c>
      <c r="G37" s="40">
        <f>F37/1.16</f>
        <v/>
      </c>
      <c r="H37" s="114" t="n">
        <v>0</v>
      </c>
      <c r="I37" s="115" t="n">
        <v>5</v>
      </c>
      <c r="J37" s="89">
        <f>LET(dec, I37-INT(I37), IF(dec&lt;0.1, INT(I37), IF(dec&lt;=0.7, INT(I37)+0.5, INT(I37)+1)))</f>
        <v/>
      </c>
      <c r="K37" s="116" t="n">
        <v>46185</v>
      </c>
      <c r="L37" s="91" t="inlineStr">
        <is>
          <t>JORGE</t>
        </is>
      </c>
      <c r="M37" s="96" t="n"/>
      <c r="N37" s="89" t="inlineStr">
        <is>
          <t>JORGE</t>
        </is>
      </c>
    </row>
    <row r="38">
      <c r="A38" s="96" t="inlineStr">
        <is>
          <t>7651700035990620946</t>
        </is>
      </c>
      <c r="B38" s="96" t="inlineStr">
        <is>
          <t>reyes_del_wellness</t>
        </is>
      </c>
      <c r="C38" s="89" t="inlineStr">
        <is>
          <t>MX</t>
        </is>
      </c>
      <c r="D38" s="114" t="n">
        <v>5027.45</v>
      </c>
      <c r="E38" s="40">
        <f>D38/1.16</f>
        <v/>
      </c>
      <c r="F38" s="114">
        <f>D38/J38</f>
        <v/>
      </c>
      <c r="G38" s="40">
        <f>F38/1.16</f>
        <v/>
      </c>
      <c r="H38" s="114" t="n">
        <v>0</v>
      </c>
      <c r="I38" s="115" t="n">
        <v>5</v>
      </c>
      <c r="J38" s="89">
        <f>LET(dec, I38-INT(I38), IF(dec&lt;0.1, INT(I38), IF(dec&lt;=0.7, INT(I38)+0.5, INT(I38)+1)))</f>
        <v/>
      </c>
      <c r="K38" s="116" t="n">
        <v>46188</v>
      </c>
      <c r="L38" s="91" t="inlineStr">
        <is>
          <t>JORGE</t>
        </is>
      </c>
      <c r="M38" s="96" t="n"/>
      <c r="N38" s="89" t="inlineStr">
        <is>
          <t>JORGE</t>
        </is>
      </c>
    </row>
    <row r="39">
      <c r="A39" s="96" t="inlineStr">
        <is>
          <t>7652079544170253064</t>
        </is>
      </c>
      <c r="B39" s="96" t="inlineStr">
        <is>
          <t>reyes_del_wellness</t>
        </is>
      </c>
      <c r="C39" s="89" t="inlineStr">
        <is>
          <t>MX</t>
        </is>
      </c>
      <c r="D39" s="114" t="n">
        <v>11018.24</v>
      </c>
      <c r="E39" s="40">
        <f>D39/1.16</f>
        <v/>
      </c>
      <c r="F39" s="114">
        <f>D39/J39</f>
        <v/>
      </c>
      <c r="G39" s="40">
        <f>F39/1.16</f>
        <v/>
      </c>
      <c r="H39" s="114" t="n">
        <v>0</v>
      </c>
      <c r="I39" s="115" t="n">
        <v>5</v>
      </c>
      <c r="J39" s="89">
        <f>LET(dec, I39-INT(I39), IF(dec&lt;0.1, INT(I39), IF(dec&lt;=0.7, INT(I39)+0.5, INT(I39)+1)))</f>
        <v/>
      </c>
      <c r="K39" s="116" t="n">
        <v>46189</v>
      </c>
      <c r="L39" s="91" t="inlineStr">
        <is>
          <t>JORGE</t>
        </is>
      </c>
      <c r="M39" s="96" t="n"/>
      <c r="N39" s="89" t="inlineStr">
        <is>
          <t>JORGE</t>
        </is>
      </c>
    </row>
    <row r="40">
      <c r="A40" s="96" t="inlineStr">
        <is>
          <t>7652441356207475477</t>
        </is>
      </c>
      <c r="B40" s="96" t="inlineStr">
        <is>
          <t>reyes_del_wellness</t>
        </is>
      </c>
      <c r="C40" s="89" t="inlineStr">
        <is>
          <t>MX</t>
        </is>
      </c>
      <c r="D40" s="114" t="n">
        <v>299.99</v>
      </c>
      <c r="E40" s="40">
        <f>D40/1.16</f>
        <v/>
      </c>
      <c r="F40" s="114">
        <f>D40/J40</f>
        <v/>
      </c>
      <c r="G40" s="40">
        <f>F40/1.16</f>
        <v/>
      </c>
      <c r="H40" s="114" t="n">
        <v>0</v>
      </c>
      <c r="I40" s="115" t="n">
        <v>5</v>
      </c>
      <c r="J40" s="89">
        <f>LET(dec, I40-INT(I40), IF(dec&lt;0.1, INT(I40), IF(dec&lt;=0.7, INT(I40)+0.5, INT(I40)+1)))</f>
        <v/>
      </c>
      <c r="K40" s="116" t="n">
        <v>46190</v>
      </c>
      <c r="L40" s="91" t="inlineStr">
        <is>
          <t>JORGE</t>
        </is>
      </c>
      <c r="M40" s="96" t="n"/>
      <c r="N40" s="89" t="inlineStr">
        <is>
          <t>JORGE</t>
        </is>
      </c>
    </row>
    <row r="41">
      <c r="A41" s="96" t="inlineStr">
        <is>
          <t>7652458526183131922</t>
        </is>
      </c>
      <c r="B41" s="96" t="inlineStr">
        <is>
          <t>reyes_del_wellness</t>
        </is>
      </c>
      <c r="C41" s="89" t="inlineStr">
        <is>
          <t>MX</t>
        </is>
      </c>
      <c r="D41" s="114" t="n">
        <v>2249.02</v>
      </c>
      <c r="E41" s="40">
        <f>D41/1.16</f>
        <v/>
      </c>
      <c r="F41" s="114">
        <f>D41/J41</f>
        <v/>
      </c>
      <c r="G41" s="40">
        <f>F41/1.16</f>
        <v/>
      </c>
      <c r="H41" s="114" t="n">
        <v>0</v>
      </c>
      <c r="I41" s="115" t="n">
        <v>5</v>
      </c>
      <c r="J41" s="89">
        <f>LET(dec, I41-INT(I41), IF(dec&lt;0.1, INT(I41), IF(dec&lt;=0.7, INT(I41)+0.5, INT(I41)+1)))</f>
        <v/>
      </c>
      <c r="K41" s="116" t="n">
        <v>46190</v>
      </c>
      <c r="L41" s="91" t="inlineStr">
        <is>
          <t>JORGE</t>
        </is>
      </c>
      <c r="M41" s="96" t="n"/>
      <c r="N41" s="89" t="inlineStr">
        <is>
          <t>JORGE</t>
        </is>
      </c>
    </row>
    <row r="42">
      <c r="A42" s="96" t="inlineStr">
        <is>
          <t>7652753520358427412</t>
        </is>
      </c>
      <c r="B42" s="96" t="inlineStr">
        <is>
          <t>reyes_del_wellness</t>
        </is>
      </c>
      <c r="C42" s="89" t="inlineStr">
        <is>
          <t>MX</t>
        </is>
      </c>
      <c r="D42" s="114" t="n">
        <v>3255.37</v>
      </c>
      <c r="E42" s="40">
        <f>D42/1.16</f>
        <v/>
      </c>
      <c r="F42" s="114">
        <f>D42/J42</f>
        <v/>
      </c>
      <c r="G42" s="40">
        <f>F42/1.16</f>
        <v/>
      </c>
      <c r="H42" s="114" t="n">
        <v>0</v>
      </c>
      <c r="I42" s="115" t="n">
        <v>5</v>
      </c>
      <c r="J42" s="89">
        <f>LET(dec, I42-INT(I42), IF(dec&lt;0.1, INT(I42), IF(dec&lt;=0.7, INT(I42)+0.5, INT(I42)+1)))</f>
        <v/>
      </c>
      <c r="K42" s="116" t="n">
        <v>46191</v>
      </c>
      <c r="L42" s="91" t="inlineStr">
        <is>
          <t>JORGE</t>
        </is>
      </c>
      <c r="M42" s="96" t="n"/>
      <c r="N42" s="89" t="inlineStr">
        <is>
          <t>JORGE</t>
        </is>
      </c>
    </row>
    <row r="43">
      <c r="A43" s="96" t="inlineStr">
        <is>
          <t>7653219136889244437</t>
        </is>
      </c>
      <c r="B43" s="96" t="inlineStr">
        <is>
          <t>reyes_del_wellness</t>
        </is>
      </c>
      <c r="C43" s="89" t="inlineStr">
        <is>
          <t>MX</t>
        </is>
      </c>
      <c r="D43" s="114" t="n">
        <v>6309</v>
      </c>
      <c r="E43" s="40">
        <f>D43/1.16</f>
        <v/>
      </c>
      <c r="F43" s="114">
        <f>D43/J43</f>
        <v/>
      </c>
      <c r="G43" s="40">
        <f>F43/1.16</f>
        <v/>
      </c>
      <c r="H43" s="114" t="n">
        <v>0</v>
      </c>
      <c r="I43" s="115" t="n">
        <v>5</v>
      </c>
      <c r="J43" s="89">
        <f>LET(dec, I43-INT(I43), IF(dec&lt;0.1, INT(I43), IF(dec&lt;=0.7, INT(I43)+0.5, INT(I43)+1)))</f>
        <v/>
      </c>
      <c r="K43" s="116" t="n">
        <v>46192</v>
      </c>
      <c r="L43" s="91" t="inlineStr">
        <is>
          <t>JORGE</t>
        </is>
      </c>
      <c r="M43" s="96" t="n"/>
      <c r="N43" s="89" t="inlineStr">
        <is>
          <t>JORGE</t>
        </is>
      </c>
    </row>
    <row r="44">
      <c r="A44" s="96" t="inlineStr">
        <is>
          <t>7654303339518069525</t>
        </is>
      </c>
      <c r="B44" s="96" t="inlineStr">
        <is>
          <t>reyes_del_wellness</t>
        </is>
      </c>
      <c r="C44" s="89" t="inlineStr">
        <is>
          <t>MX</t>
        </is>
      </c>
      <c r="D44" s="114" t="n">
        <v>5741.96</v>
      </c>
      <c r="E44" s="40">
        <f>D44/1.16</f>
        <v/>
      </c>
      <c r="F44" s="114">
        <f>D44/J44</f>
        <v/>
      </c>
      <c r="G44" s="40">
        <f>F44/1.16</f>
        <v/>
      </c>
      <c r="H44" s="114" t="n">
        <v>0</v>
      </c>
      <c r="I44" s="115" t="n">
        <v>5</v>
      </c>
      <c r="J44" s="89">
        <f>LET(dec, I44-INT(I44), IF(dec&lt;0.1, INT(I44), IF(dec&lt;=0.7, INT(I44)+0.5, INT(I44)+1)))</f>
        <v/>
      </c>
      <c r="K44" s="116" t="n">
        <v>46195</v>
      </c>
      <c r="L44" s="91" t="inlineStr">
        <is>
          <t>JORGE</t>
        </is>
      </c>
      <c r="M44" s="96" t="n"/>
      <c r="N44" s="89" t="inlineStr">
        <is>
          <t>JORGE</t>
        </is>
      </c>
    </row>
    <row r="45">
      <c r="A45" s="96" t="inlineStr">
        <is>
          <t>7654670200286055189</t>
        </is>
      </c>
      <c r="B45" s="96" t="inlineStr">
        <is>
          <t>reyes_del_wellness</t>
        </is>
      </c>
      <c r="C45" s="89" t="inlineStr">
        <is>
          <t>MX</t>
        </is>
      </c>
      <c r="D45" s="114" t="n">
        <v>4387.72</v>
      </c>
      <c r="E45" s="40">
        <f>D45/1.16</f>
        <v/>
      </c>
      <c r="F45" s="114">
        <f>D45/J45</f>
        <v/>
      </c>
      <c r="G45" s="40">
        <f>F45/1.16</f>
        <v/>
      </c>
      <c r="H45" s="114" t="n">
        <v>0</v>
      </c>
      <c r="I45" s="115" t="n">
        <v>5</v>
      </c>
      <c r="J45" s="89">
        <f>LET(dec, I45-INT(I45), IF(dec&lt;0.1, INT(I45), IF(dec&lt;=0.7, INT(I45)+0.5, INT(I45)+1)))</f>
        <v/>
      </c>
      <c r="K45" s="116" t="n">
        <v>46196</v>
      </c>
      <c r="L45" s="91" t="inlineStr">
        <is>
          <t>JORGE</t>
        </is>
      </c>
      <c r="M45" s="96" t="n"/>
      <c r="N45" s="89" t="inlineStr">
        <is>
          <t>JORGE</t>
        </is>
      </c>
    </row>
    <row r="46">
      <c r="A46" s="96" t="inlineStr">
        <is>
          <t>7654986509653379860</t>
        </is>
      </c>
      <c r="B46" s="96" t="inlineStr">
        <is>
          <t>reyes_del_wellness</t>
        </is>
      </c>
      <c r="C46" s="89" t="inlineStr">
        <is>
          <t>MX</t>
        </is>
      </c>
      <c r="D46" s="114" t="n">
        <v>1446.16</v>
      </c>
      <c r="E46" s="40">
        <f>D46/1.16</f>
        <v/>
      </c>
      <c r="F46" s="114">
        <f>D46/J46</f>
        <v/>
      </c>
      <c r="G46" s="40">
        <f>F46/1.16</f>
        <v/>
      </c>
      <c r="H46" s="114" t="n">
        <v>0</v>
      </c>
      <c r="I46" s="115" t="n">
        <v>5</v>
      </c>
      <c r="J46" s="89">
        <f>LET(dec, I46-INT(I46), IF(dec&lt;0.1, INT(I46), IF(dec&lt;=0.7, INT(I46)+0.5, INT(I46)+1)))</f>
        <v/>
      </c>
      <c r="K46" s="116" t="n">
        <v>46197</v>
      </c>
      <c r="L46" s="91" t="inlineStr">
        <is>
          <t>JORGE</t>
        </is>
      </c>
      <c r="M46" s="96" t="n"/>
      <c r="N46" s="89" t="inlineStr">
        <is>
          <t>JORGE</t>
        </is>
      </c>
    </row>
    <row r="47">
      <c r="A47" s="96" t="inlineStr">
        <is>
          <t>7655410896438774548</t>
        </is>
      </c>
      <c r="B47" s="96" t="inlineStr">
        <is>
          <t>reyes_del_wellness</t>
        </is>
      </c>
      <c r="C47" s="89" t="inlineStr">
        <is>
          <t>MX</t>
        </is>
      </c>
      <c r="D47" s="114" t="n">
        <v>3194.02</v>
      </c>
      <c r="E47" s="40">
        <f>D47/1.16</f>
        <v/>
      </c>
      <c r="F47" s="114">
        <f>D47/J47</f>
        <v/>
      </c>
      <c r="G47" s="40">
        <f>F47/1.16</f>
        <v/>
      </c>
      <c r="H47" s="114" t="n">
        <v>0</v>
      </c>
      <c r="I47" s="115" t="n">
        <v>5</v>
      </c>
      <c r="J47" s="89">
        <f>LET(dec, I47-INT(I47), IF(dec&lt;0.1, INT(I47), IF(dec&lt;=0.7, INT(I47)+0.5, INT(I47)+1)))</f>
        <v/>
      </c>
      <c r="K47" s="116" t="n">
        <v>46198</v>
      </c>
      <c r="L47" s="91" t="inlineStr">
        <is>
          <t>JORGE</t>
        </is>
      </c>
      <c r="M47" s="96" t="n"/>
      <c r="N47" s="89" t="inlineStr">
        <is>
          <t>JORGE</t>
        </is>
      </c>
    </row>
    <row r="48">
      <c r="A48" s="96" t="inlineStr">
        <is>
          <t>7655488558515292948</t>
        </is>
      </c>
      <c r="B48" s="96" t="inlineStr">
        <is>
          <t>reyes_del_wellness</t>
        </is>
      </c>
      <c r="C48" s="89" t="inlineStr">
        <is>
          <t>MX</t>
        </is>
      </c>
      <c r="D48" s="114" t="n">
        <v>6435.55</v>
      </c>
      <c r="E48" s="40">
        <f>D48/1.16</f>
        <v/>
      </c>
      <c r="F48" s="114">
        <f>D48/J48</f>
        <v/>
      </c>
      <c r="G48" s="40">
        <f>F48/1.16</f>
        <v/>
      </c>
      <c r="H48" s="114" t="n">
        <v>0</v>
      </c>
      <c r="I48" s="115" t="n">
        <v>5</v>
      </c>
      <c r="J48" s="89">
        <f>LET(dec, I48-INT(I48), IF(dec&lt;0.1, INT(I48), IF(dec&lt;=0.7, INT(I48)+0.5, INT(I48)+1)))</f>
        <v/>
      </c>
      <c r="K48" s="116" t="n">
        <v>46198</v>
      </c>
      <c r="L48" s="91" t="inlineStr">
        <is>
          <t>Ari</t>
        </is>
      </c>
      <c r="M48" s="96" t="n"/>
      <c r="N48" s="89" t="inlineStr">
        <is>
          <t>JORGE</t>
        </is>
      </c>
    </row>
    <row r="49">
      <c r="A49" s="96" t="inlineStr">
        <is>
          <t>7655782956443388693</t>
        </is>
      </c>
      <c r="B49" s="96" t="inlineStr">
        <is>
          <t>reyes_del_wellness</t>
        </is>
      </c>
      <c r="C49" s="89" t="inlineStr">
        <is>
          <t>MX</t>
        </is>
      </c>
      <c r="D49" s="114" t="n">
        <v>1340.18</v>
      </c>
      <c r="E49" s="40">
        <f>D49/1.16</f>
        <v/>
      </c>
      <c r="F49" s="114">
        <f>D49/J49</f>
        <v/>
      </c>
      <c r="G49" s="40">
        <f>F49/1.16</f>
        <v/>
      </c>
      <c r="H49" s="114" t="n">
        <v>0</v>
      </c>
      <c r="I49" s="115" t="n">
        <v>5</v>
      </c>
      <c r="J49" s="89">
        <f>LET(dec, I49-INT(I49), IF(dec&lt;0.1, INT(I49), IF(dec&lt;=0.7, INT(I49)+0.5, INT(I49)+1)))</f>
        <v/>
      </c>
      <c r="K49" s="116" t="n">
        <v>46199</v>
      </c>
      <c r="L49" s="91" t="inlineStr">
        <is>
          <t>JORGE</t>
        </is>
      </c>
      <c r="M49" s="96" t="n"/>
      <c r="N49" s="89" t="inlineStr">
        <is>
          <t>JORGE</t>
        </is>
      </c>
    </row>
    <row r="50">
      <c r="A50" s="96" t="inlineStr">
        <is>
          <t>7655850053487086357</t>
        </is>
      </c>
      <c r="B50" s="96" t="inlineStr">
        <is>
          <t>reyes_del_wellness</t>
        </is>
      </c>
      <c r="C50" s="89" t="inlineStr">
        <is>
          <t>MX</t>
        </is>
      </c>
      <c r="D50" s="114" t="n">
        <v>0</v>
      </c>
      <c r="E50" s="40">
        <f>D50/1.16</f>
        <v/>
      </c>
      <c r="F50" s="114">
        <f>D50/J50</f>
        <v/>
      </c>
      <c r="G50" s="40">
        <f>F50/1.16</f>
        <v/>
      </c>
      <c r="H50" s="114" t="n">
        <v>0</v>
      </c>
      <c r="I50" s="115" t="n">
        <v>5</v>
      </c>
      <c r="J50" s="89">
        <f>LET(dec, I50-INT(I50), IF(dec&lt;0.1, INT(I50), IF(dec&lt;=0.7, INT(I50)+0.5, INT(I50)+1)))</f>
        <v/>
      </c>
      <c r="K50" s="116" t="n">
        <v>46199</v>
      </c>
      <c r="L50" s="91" t="inlineStr">
        <is>
          <t>JORGE</t>
        </is>
      </c>
      <c r="M50" s="96" t="n"/>
      <c r="N50" s="89" t="inlineStr">
        <is>
          <t>JORGE</t>
        </is>
      </c>
    </row>
    <row r="51">
      <c r="A51" s="96" t="inlineStr">
        <is>
          <t>7655858065023044372</t>
        </is>
      </c>
      <c r="B51" s="96" t="inlineStr">
        <is>
          <t>reyes_del_wellness</t>
        </is>
      </c>
      <c r="C51" s="89" t="inlineStr">
        <is>
          <t>MX</t>
        </is>
      </c>
      <c r="D51" s="114" t="n">
        <v>5302.8</v>
      </c>
      <c r="E51" s="40">
        <f>D51/1.16</f>
        <v/>
      </c>
      <c r="F51" s="114">
        <f>D51/J51</f>
        <v/>
      </c>
      <c r="G51" s="40">
        <f>F51/1.16</f>
        <v/>
      </c>
      <c r="H51" s="114" t="n">
        <v>0</v>
      </c>
      <c r="I51" s="115" t="n">
        <v>5</v>
      </c>
      <c r="J51" s="89">
        <f>LET(dec, I51-INT(I51), IF(dec&lt;0.1, INT(I51), IF(dec&lt;=0.7, INT(I51)+0.5, INT(I51)+1)))</f>
        <v/>
      </c>
      <c r="K51" s="116" t="n">
        <v>46199</v>
      </c>
      <c r="L51" s="91" t="inlineStr">
        <is>
          <t>Ari</t>
        </is>
      </c>
      <c r="M51" s="96" t="n"/>
      <c r="N51" s="89" t="inlineStr">
        <is>
          <t>JORGE</t>
        </is>
      </c>
    </row>
    <row r="52">
      <c r="A52" s="96" t="inlineStr">
        <is>
          <t>7656894970866993940</t>
        </is>
      </c>
      <c r="B52" s="96" t="inlineStr">
        <is>
          <t>reyes_del_wellness</t>
        </is>
      </c>
      <c r="C52" s="89" t="inlineStr">
        <is>
          <t>MX</t>
        </is>
      </c>
      <c r="D52" s="114" t="n">
        <v>4625.56</v>
      </c>
      <c r="E52" s="40">
        <f>D52/1.16</f>
        <v/>
      </c>
      <c r="F52" s="114">
        <f>D52/J52</f>
        <v/>
      </c>
      <c r="G52" s="40">
        <f>F52/1.16</f>
        <v/>
      </c>
      <c r="H52" s="114" t="n">
        <v>0</v>
      </c>
      <c r="I52" s="115" t="n">
        <v>5</v>
      </c>
      <c r="J52" s="89">
        <f>LET(dec, I52-INT(I52), IF(dec&lt;0.1, INT(I52), IF(dec&lt;=0.7, INT(I52)+0.5, INT(I52)+1)))</f>
        <v/>
      </c>
      <c r="K52" s="116" t="n">
        <v>46202</v>
      </c>
      <c r="L52" s="91" t="inlineStr">
        <is>
          <t>JORGE</t>
        </is>
      </c>
      <c r="M52" s="96" t="n"/>
      <c r="N52" s="89" t="inlineStr">
        <is>
          <t>JORGE</t>
        </is>
      </c>
    </row>
    <row r="53">
      <c r="K53" s="84" t="n"/>
    </row>
    <row r="54">
      <c r="K54" s="84" t="n"/>
    </row>
    <row r="55">
      <c r="A55" s="7" t="inlineStr">
        <is>
          <t>Room ID</t>
        </is>
      </c>
      <c r="B55" s="7" t="inlineStr">
        <is>
          <t>TT Handle</t>
        </is>
      </c>
      <c r="C55" s="7" t="inlineStr">
        <is>
          <t>Country</t>
        </is>
      </c>
      <c r="D55" s="7" t="inlineStr">
        <is>
          <t>GMV</t>
        </is>
      </c>
      <c r="E55" s="7" t="inlineStr">
        <is>
          <t>GMV/sin EVA</t>
        </is>
      </c>
      <c r="F55" s="7" t="inlineStr">
        <is>
          <t>GMV PER HOUR</t>
        </is>
      </c>
      <c r="G55" s="7" t="inlineStr">
        <is>
          <t>GMV PER HOUR/sin EVA</t>
        </is>
      </c>
      <c r="H55" s="7" t="inlineStr">
        <is>
          <t>Ads Cost</t>
        </is>
      </c>
      <c r="I55" s="7" t="inlineStr">
        <is>
          <t>Duration (H)</t>
        </is>
      </c>
      <c r="J55" s="28" t="inlineStr">
        <is>
          <t>Duration （Formula）</t>
        </is>
      </c>
      <c r="K55" s="58" t="inlineStr">
        <is>
          <t>Start date</t>
        </is>
      </c>
      <c r="L55" s="71" t="inlineStr">
        <is>
          <t>HOST1</t>
        </is>
      </c>
      <c r="M55" s="71" t="inlineStr">
        <is>
          <t xml:space="preserve">HOST 2 </t>
        </is>
      </c>
      <c r="N55" s="71" t="inlineStr">
        <is>
          <t>Operator</t>
        </is>
      </c>
    </row>
    <row r="56">
      <c r="A56" s="96" t="inlineStr">
        <is>
          <t>7657219892715293461</t>
        </is>
      </c>
      <c r="B56" s="96" t="inlineStr">
        <is>
          <t>reyes_del_wellness</t>
        </is>
      </c>
      <c r="C56" s="89" t="inlineStr">
        <is>
          <t>MX</t>
        </is>
      </c>
      <c r="D56" s="114" t="n">
        <v>3111.66</v>
      </c>
      <c r="E56" s="40">
        <f>D56/1.16</f>
        <v/>
      </c>
      <c r="F56" s="114">
        <f>D56/J56</f>
        <v/>
      </c>
      <c r="G56" s="40">
        <f>F56/1.16</f>
        <v/>
      </c>
      <c r="H56" s="114" t="n">
        <v>0</v>
      </c>
      <c r="I56" s="115" t="n">
        <v>3.62</v>
      </c>
      <c r="J56" s="89">
        <f>LET(dec, I56-INT(I56), IF(dec&lt;0.1, INT(I56), IF(dec&lt;=0.7, INT(I56)+0.5, INT(I56)+1)))</f>
        <v/>
      </c>
      <c r="K56" s="116" t="n">
        <v>46203</v>
      </c>
      <c r="L56" s="91" t="inlineStr">
        <is>
          <t>JORGE</t>
        </is>
      </c>
      <c r="M56" s="96" t="n"/>
      <c r="N56" s="91" t="inlineStr">
        <is>
          <t>JORGE</t>
        </is>
      </c>
    </row>
    <row r="57">
      <c r="A57" s="96" t="inlineStr">
        <is>
          <t>7657636418239482645</t>
        </is>
      </c>
      <c r="B57" s="96" t="inlineStr">
        <is>
          <t>reyes_del_wellness</t>
        </is>
      </c>
      <c r="C57" s="89" t="inlineStr">
        <is>
          <t>MX</t>
        </is>
      </c>
      <c r="D57" s="114" t="n">
        <v>5629.28</v>
      </c>
      <c r="E57" s="40">
        <f>D57/1.16</f>
        <v/>
      </c>
      <c r="F57" s="114">
        <f>D57/J57</f>
        <v/>
      </c>
      <c r="G57" s="40">
        <f>F57/1.16</f>
        <v/>
      </c>
      <c r="H57" s="114" t="n">
        <v>0</v>
      </c>
      <c r="I57" s="115" t="n">
        <v>4.02</v>
      </c>
      <c r="J57" s="89">
        <f>LET(dec, I57-INT(I57), IF(dec&lt;0.1, INT(I57), IF(dec&lt;=0.7, INT(I57)+0.5, INT(I57)+1)))</f>
        <v/>
      </c>
      <c r="K57" s="116" t="n">
        <v>46204</v>
      </c>
      <c r="L57" s="91" t="inlineStr">
        <is>
          <t>JORGE</t>
        </is>
      </c>
      <c r="M57" s="96" t="n"/>
      <c r="N57" s="91" t="inlineStr">
        <is>
          <t>JORGE</t>
        </is>
      </c>
    </row>
    <row r="58">
      <c r="A58" s="96" t="inlineStr">
        <is>
          <t>7657714778874874644</t>
        </is>
      </c>
      <c r="B58" s="96" t="inlineStr">
        <is>
          <t>reyes_del_wellness</t>
        </is>
      </c>
      <c r="C58" s="89" t="inlineStr">
        <is>
          <t>MX</t>
        </is>
      </c>
      <c r="D58" s="114" t="n">
        <v>11142.78</v>
      </c>
      <c r="E58" s="40">
        <f>D58/1.16</f>
        <v/>
      </c>
      <c r="F58" s="114">
        <f>D58/J58</f>
        <v/>
      </c>
      <c r="G58" s="40">
        <f>F58/1.16</f>
        <v/>
      </c>
      <c r="H58" s="114" t="n">
        <v>0</v>
      </c>
      <c r="I58" s="115" t="n">
        <v>3.94</v>
      </c>
      <c r="J58" s="89">
        <f>LET(dec, I58-INT(I58), IF(dec&lt;0.1, INT(I58), IF(dec&lt;=0.7, INT(I58)+0.5, INT(I58)+1)))</f>
        <v/>
      </c>
      <c r="K58" s="116" t="n">
        <v>46204</v>
      </c>
      <c r="L58" s="91" t="inlineStr">
        <is>
          <t>JORGE</t>
        </is>
      </c>
      <c r="M58" s="96" t="n"/>
      <c r="N58" s="91" t="inlineStr">
        <is>
          <t>JORGE</t>
        </is>
      </c>
    </row>
    <row r="59">
      <c r="A59" s="96" t="inlineStr">
        <is>
          <t>7658085646380894996</t>
        </is>
      </c>
      <c r="B59" s="96" t="inlineStr">
        <is>
          <t>reyes_del_wellness</t>
        </is>
      </c>
      <c r="C59" s="89" t="inlineStr">
        <is>
          <t>MX</t>
        </is>
      </c>
      <c r="D59" s="114" t="n">
        <v>2165.71</v>
      </c>
      <c r="E59" s="40">
        <f>D59/1.16</f>
        <v/>
      </c>
      <c r="F59" s="114">
        <f>D59/J59</f>
        <v/>
      </c>
      <c r="G59" s="40">
        <f>F59/1.16</f>
        <v/>
      </c>
      <c r="H59" s="114" t="n">
        <v>0</v>
      </c>
      <c r="I59" s="115" t="n">
        <v>2.38</v>
      </c>
      <c r="J59" s="89">
        <f>LET(dec, I59-INT(I59), IF(dec&lt;0.1, INT(I59), IF(dec&lt;=0.7, INT(I59)+0.5, INT(I59)+1)))</f>
        <v/>
      </c>
      <c r="K59" s="116" t="n">
        <v>46205</v>
      </c>
      <c r="L59" s="91" t="inlineStr">
        <is>
          <t>Ari</t>
        </is>
      </c>
      <c r="M59" s="96" t="n"/>
      <c r="N59" s="91" t="inlineStr">
        <is>
          <t>Ari</t>
        </is>
      </c>
    </row>
    <row r="60">
      <c r="A60" s="96" t="inlineStr">
        <is>
          <t>7658440325056269076</t>
        </is>
      </c>
      <c r="B60" s="96" t="inlineStr">
        <is>
          <t>reyes_del_wellness</t>
        </is>
      </c>
      <c r="C60" s="89" t="inlineStr">
        <is>
          <t>MX</t>
        </is>
      </c>
      <c r="D60" s="114" t="n">
        <v>7568.15</v>
      </c>
      <c r="E60" s="40">
        <f>D60/1.16</f>
        <v/>
      </c>
      <c r="F60" s="114">
        <f>D60/J60</f>
        <v/>
      </c>
      <c r="G60" s="40">
        <f>F60/1.16</f>
        <v/>
      </c>
      <c r="H60" s="114" t="n">
        <v>0</v>
      </c>
      <c r="I60" s="115" t="n">
        <v>5</v>
      </c>
      <c r="J60" s="89">
        <f>LET(dec, I60-INT(I60), IF(dec&lt;0.1, INT(I60), IF(dec&lt;=0.7, INT(I60)+0.5, INT(I60)+1)))</f>
        <v/>
      </c>
      <c r="K60" s="116" t="n">
        <v>46206</v>
      </c>
      <c r="L60" s="91" t="inlineStr">
        <is>
          <t>Ari</t>
        </is>
      </c>
      <c r="M60" s="96" t="n"/>
      <c r="N60" s="91" t="inlineStr">
        <is>
          <t>Ari</t>
        </is>
      </c>
    </row>
    <row r="61">
      <c r="A61" s="96" t="inlineStr">
        <is>
          <t>7659924461728107284</t>
        </is>
      </c>
      <c r="B61" s="96" t="inlineStr">
        <is>
          <t>reyes_del_wellness</t>
        </is>
      </c>
      <c r="C61" s="89" t="inlineStr">
        <is>
          <t>MX</t>
        </is>
      </c>
      <c r="D61" s="114" t="n">
        <v>5697.63</v>
      </c>
      <c r="E61" s="40">
        <f>D61/1.16</f>
        <v/>
      </c>
      <c r="F61" s="114">
        <f>D61/J61</f>
        <v/>
      </c>
      <c r="G61" s="40">
        <f>F61/1.16</f>
        <v/>
      </c>
      <c r="H61" s="114" t="n">
        <v>0</v>
      </c>
      <c r="I61" s="115" t="n">
        <v>5.01</v>
      </c>
      <c r="J61" s="89">
        <f>LET(dec, I61-INT(I61), IF(dec&lt;0.1, INT(I61), IF(dec&lt;=0.7, INT(I61)+0.5, INT(I61)+1)))</f>
        <v/>
      </c>
      <c r="K61" s="116" t="n">
        <v>46210</v>
      </c>
      <c r="L61" s="91" t="inlineStr">
        <is>
          <t>Ari</t>
        </is>
      </c>
      <c r="M61" s="96" t="n"/>
      <c r="N61" s="91" t="inlineStr">
        <is>
          <t>Ari</t>
        </is>
      </c>
    </row>
    <row r="62">
      <c r="A62" s="96" t="inlineStr">
        <is>
          <t>7660296345404656405</t>
        </is>
      </c>
      <c r="B62" s="96" t="inlineStr">
        <is>
          <t>reyes_del_wellness</t>
        </is>
      </c>
      <c r="C62" s="89" t="inlineStr">
        <is>
          <t>MX</t>
        </is>
      </c>
      <c r="D62" s="114" t="n">
        <v>6052.23</v>
      </c>
      <c r="E62" s="40">
        <f>D62/1.16</f>
        <v/>
      </c>
      <c r="F62" s="114">
        <f>D62/J62</f>
        <v/>
      </c>
      <c r="G62" s="40">
        <f>F62/1.16</f>
        <v/>
      </c>
      <c r="H62" s="114" t="n">
        <v>0</v>
      </c>
      <c r="I62" s="115" t="n">
        <v>5.01</v>
      </c>
      <c r="J62" s="89">
        <f>LET(dec, I62-INT(I62), IF(dec&lt;0.1, INT(I62), IF(dec&lt;=0.7, INT(I62)+0.5, INT(I62)+1)))</f>
        <v/>
      </c>
      <c r="K62" s="116" t="n">
        <v>46211</v>
      </c>
      <c r="L62" s="91" t="inlineStr">
        <is>
          <t>Ari</t>
        </is>
      </c>
      <c r="M62" s="96" t="n"/>
      <c r="N62" s="91" t="inlineStr">
        <is>
          <t>Ari</t>
        </is>
      </c>
    </row>
    <row r="63">
      <c r="A63" s="96" t="inlineStr">
        <is>
          <t>7660666711725886229</t>
        </is>
      </c>
      <c r="B63" s="96" t="inlineStr">
        <is>
          <t>reyes_del_wellness</t>
        </is>
      </c>
      <c r="C63" s="89" t="inlineStr">
        <is>
          <t>MX</t>
        </is>
      </c>
      <c r="D63" s="114" t="n">
        <v>4777.19</v>
      </c>
      <c r="E63" s="40">
        <f>D63/1.16</f>
        <v/>
      </c>
      <c r="F63" s="114">
        <f>D63/J63</f>
        <v/>
      </c>
      <c r="G63" s="40">
        <f>F63/1.16</f>
        <v/>
      </c>
      <c r="H63" s="114" t="n">
        <v>0</v>
      </c>
      <c r="I63" s="115" t="n">
        <v>5.01</v>
      </c>
      <c r="J63" s="89">
        <f>LET(dec, I63-INT(I63), IF(dec&lt;0.1, INT(I63), IF(dec&lt;=0.7, INT(I63)+0.5, INT(I63)+1)))</f>
        <v/>
      </c>
      <c r="K63" s="116" t="n">
        <v>46212</v>
      </c>
      <c r="L63" s="91" t="inlineStr">
        <is>
          <t>Ari</t>
        </is>
      </c>
      <c r="M63" s="96" t="n"/>
      <c r="N63" s="91" t="inlineStr">
        <is>
          <t>Ari</t>
        </is>
      </c>
    </row>
    <row r="64">
      <c r="A64" s="96" t="inlineStr">
        <is>
          <t>7662150771131091720</t>
        </is>
      </c>
      <c r="B64" s="96" t="inlineStr">
        <is>
          <t>reyes_del_wellness</t>
        </is>
      </c>
      <c r="C64" s="89" t="inlineStr">
        <is>
          <t>MX</t>
        </is>
      </c>
      <c r="D64" s="114" t="n">
        <v>9823.85</v>
      </c>
      <c r="E64" s="40">
        <f>D64/1.16</f>
        <v/>
      </c>
      <c r="F64" s="114">
        <f>D64/J64</f>
        <v/>
      </c>
      <c r="G64" s="40">
        <f>F64/1.16</f>
        <v/>
      </c>
      <c r="H64" s="114" t="n">
        <v>0</v>
      </c>
      <c r="I64" s="115" t="n">
        <v>5.2</v>
      </c>
      <c r="J64" s="89">
        <f>LET(dec, I64-INT(I64), IF(dec&lt;0.1, INT(I64), IF(dec&lt;=0.7, INT(I64)+0.5, INT(I64)+1)))</f>
        <v/>
      </c>
      <c r="K64" s="116" t="n">
        <v>46216</v>
      </c>
      <c r="L64" s="91" t="inlineStr">
        <is>
          <t>Ari</t>
        </is>
      </c>
      <c r="M64" s="96" t="n"/>
      <c r="N64" s="91" t="inlineStr">
        <is>
          <t>Ari</t>
        </is>
      </c>
    </row>
    <row r="65">
      <c r="A65" s="96" t="inlineStr">
        <is>
          <t>7662521844944587538</t>
        </is>
      </c>
      <c r="B65" s="96" t="inlineStr">
        <is>
          <t>reyes_del_wellness</t>
        </is>
      </c>
      <c r="C65" s="89" t="inlineStr">
        <is>
          <t>MX</t>
        </is>
      </c>
      <c r="D65" s="114" t="n">
        <v>10901.88</v>
      </c>
      <c r="E65" s="40">
        <f>D65/1.16</f>
        <v/>
      </c>
      <c r="F65" s="114">
        <f>D65/J65</f>
        <v/>
      </c>
      <c r="G65" s="40">
        <f>F65/1.16</f>
        <v/>
      </c>
      <c r="H65" s="114" t="n">
        <v>0</v>
      </c>
      <c r="I65" s="115" t="n">
        <v>5.03</v>
      </c>
      <c r="J65" s="89">
        <f>LET(dec, I65-INT(I65), IF(dec&lt;0.1, INT(I65), IF(dec&lt;=0.7, INT(I65)+0.5, INT(I65)+1)))</f>
        <v/>
      </c>
      <c r="K65" s="116" t="n">
        <v>46217</v>
      </c>
      <c r="L65" s="91" t="inlineStr">
        <is>
          <t>Ari</t>
        </is>
      </c>
      <c r="M65" s="96" t="n"/>
      <c r="N65" s="91" t="inlineStr">
        <is>
          <t>Ari</t>
        </is>
      </c>
    </row>
    <row r="66">
      <c r="A66" s="96" t="inlineStr">
        <is>
          <t>7662892819954043656</t>
        </is>
      </c>
      <c r="B66" s="96" t="inlineStr">
        <is>
          <t>reyes_del_wellness</t>
        </is>
      </c>
      <c r="C66" s="89" t="inlineStr">
        <is>
          <t>MX</t>
        </is>
      </c>
      <c r="D66" s="114" t="n">
        <v>9297.139999999999</v>
      </c>
      <c r="E66" s="40">
        <f>D66/1.16</f>
        <v/>
      </c>
      <c r="F66" s="114">
        <f>D66/J66</f>
        <v/>
      </c>
      <c r="G66" s="40">
        <f>F66/1.16</f>
        <v/>
      </c>
      <c r="H66" s="114" t="n">
        <v>0</v>
      </c>
      <c r="I66" s="115" t="n">
        <v>4.96</v>
      </c>
      <c r="J66" s="89">
        <f>LET(dec, I66-INT(I66), IF(dec&lt;0.1, INT(I66), IF(dec&lt;=0.7, INT(I66)+0.5, INT(I66)+1)))</f>
        <v/>
      </c>
      <c r="K66" s="116" t="n">
        <v>46218</v>
      </c>
      <c r="L66" s="91" t="inlineStr">
        <is>
          <t>Ari</t>
        </is>
      </c>
      <c r="M66" s="96" t="n"/>
      <c r="N66" s="91" t="inlineStr">
        <is>
          <t>Ari</t>
        </is>
      </c>
    </row>
    <row r="67">
      <c r="A67" s="96" t="inlineStr">
        <is>
          <t>7663263144034274066</t>
        </is>
      </c>
      <c r="B67" s="96" t="inlineStr">
        <is>
          <t>reyes_del_wellness</t>
        </is>
      </c>
      <c r="C67" s="89" t="inlineStr">
        <is>
          <t>MX</t>
        </is>
      </c>
      <c r="D67" s="114" t="n">
        <v>5099.31</v>
      </c>
      <c r="E67" s="40">
        <f>D67/1.16</f>
        <v/>
      </c>
      <c r="F67" s="114">
        <f>D67/J67</f>
        <v/>
      </c>
      <c r="G67" s="40">
        <f>F67/1.16</f>
        <v/>
      </c>
      <c r="H67" s="114" t="n">
        <v>0</v>
      </c>
      <c r="I67" s="115" t="n">
        <v>5.1</v>
      </c>
      <c r="J67" s="89">
        <f>LET(dec, I67-INT(I67), IF(dec&lt;0.1, INT(I67), IF(dec&lt;=0.7, INT(I67)+0.5, INT(I67)+1)))</f>
        <v/>
      </c>
      <c r="K67" s="116" t="n">
        <v>46219</v>
      </c>
      <c r="L67" s="91" t="inlineStr">
        <is>
          <t>Ari</t>
        </is>
      </c>
      <c r="M67" s="96" t="n"/>
      <c r="N67" s="91" t="inlineStr">
        <is>
          <t>Ari</t>
        </is>
      </c>
    </row>
    <row r="68">
      <c r="A68" s="96" t="inlineStr">
        <is>
          <t>7663635307958455048</t>
        </is>
      </c>
      <c r="B68" s="96" t="inlineStr">
        <is>
          <t>reyes_del_wellness</t>
        </is>
      </c>
      <c r="C68" s="89" t="inlineStr">
        <is>
          <t>MX</t>
        </is>
      </c>
      <c r="D68" s="114" t="n">
        <v>16806.19</v>
      </c>
      <c r="E68" s="40">
        <f>D68/1.16</f>
        <v/>
      </c>
      <c r="F68" s="114">
        <f>D68/J68</f>
        <v/>
      </c>
      <c r="G68" s="40">
        <f>F68/1.16</f>
        <v/>
      </c>
      <c r="H68" s="114" t="n">
        <v>0</v>
      </c>
      <c r="I68" s="115" t="n">
        <v>5.18</v>
      </c>
      <c r="J68" s="89">
        <f>LET(dec, I68-INT(I68), IF(dec&lt;0.1, INT(I68), IF(dec&lt;=0.7, INT(I68)+0.5, INT(I68)+1)))</f>
        <v/>
      </c>
      <c r="K68" s="116" t="n">
        <v>46220</v>
      </c>
      <c r="L68" s="91" t="inlineStr">
        <is>
          <t>Ari</t>
        </is>
      </c>
      <c r="M68" s="96" t="n"/>
      <c r="N68" s="91" t="inlineStr">
        <is>
          <t>Ari</t>
        </is>
      </c>
    </row>
    <row r="69">
      <c r="A69" s="96" t="inlineStr">
        <is>
          <t>7664748506862897928</t>
        </is>
      </c>
      <c r="B69" s="96" t="inlineStr">
        <is>
          <t>reyes_del_wellness</t>
        </is>
      </c>
      <c r="C69" s="89" t="inlineStr">
        <is>
          <t>MX</t>
        </is>
      </c>
      <c r="D69" s="114" t="n">
        <v>12420.02</v>
      </c>
      <c r="E69" s="40">
        <f>D69/1.16</f>
        <v/>
      </c>
      <c r="F69" s="114">
        <f>D69/J69</f>
        <v/>
      </c>
      <c r="G69" s="40">
        <f>F69/1.16</f>
        <v/>
      </c>
      <c r="H69" s="114" t="n">
        <v>0</v>
      </c>
      <c r="I69" s="115" t="n">
        <v>5.04</v>
      </c>
      <c r="J69" s="89">
        <f>LET(dec, I69-INT(I69), IF(dec&lt;0.1, INT(I69), IF(dec&lt;=0.7, INT(I69)+0.5, INT(I69)+1)))</f>
        <v/>
      </c>
      <c r="K69" s="116" t="n">
        <v>46223</v>
      </c>
      <c r="L69" s="91" t="inlineStr">
        <is>
          <t>Ari</t>
        </is>
      </c>
      <c r="M69" s="96" t="n"/>
      <c r="N69" s="91" t="inlineStr">
        <is>
          <t>Ari</t>
        </is>
      </c>
    </row>
    <row r="70">
      <c r="A70" s="96" t="inlineStr">
        <is>
          <t>7665119123199036181</t>
        </is>
      </c>
      <c r="B70" s="96" t="inlineStr">
        <is>
          <t>reyes_del_wellness</t>
        </is>
      </c>
      <c r="C70" s="89" t="inlineStr">
        <is>
          <t>MX</t>
        </is>
      </c>
      <c r="D70" s="114" t="n">
        <v>12222.78</v>
      </c>
      <c r="E70" s="40">
        <f>D70/1.16</f>
        <v/>
      </c>
      <c r="F70" s="114">
        <f>D70/J70</f>
        <v/>
      </c>
      <c r="G70" s="40">
        <f>F70/1.16</f>
        <v/>
      </c>
      <c r="H70" s="114" t="n">
        <v>0</v>
      </c>
      <c r="I70" s="115" t="n">
        <v>5.06</v>
      </c>
      <c r="J70" s="89">
        <f>LET(dec, I70-INT(I70), IF(dec&lt;0.1, INT(I70), IF(dec&lt;=0.7, INT(I70)+0.5, INT(I70)+1)))</f>
        <v/>
      </c>
      <c r="K70" s="116" t="n">
        <v>46224</v>
      </c>
      <c r="L70" s="91" t="inlineStr">
        <is>
          <t>Ari</t>
        </is>
      </c>
      <c r="M70" s="96" t="n"/>
      <c r="N70" s="91" t="inlineStr">
        <is>
          <t>Ari</t>
        </is>
      </c>
    </row>
    <row r="71">
      <c r="A71" s="96" t="inlineStr">
        <is>
          <t>7665490814625975060</t>
        </is>
      </c>
      <c r="B71" s="96" t="inlineStr">
        <is>
          <t>reyes_del_wellness</t>
        </is>
      </c>
      <c r="C71" s="89" t="inlineStr">
        <is>
          <t>MX</t>
        </is>
      </c>
      <c r="D71" s="114" t="n">
        <v>17079.98</v>
      </c>
      <c r="E71" s="40">
        <f>D71/1.16</f>
        <v/>
      </c>
      <c r="F71" s="114">
        <f>D71/J71</f>
        <v/>
      </c>
      <c r="G71" s="40">
        <f>F71/1.16</f>
        <v/>
      </c>
      <c r="H71" s="114" t="n">
        <v>0</v>
      </c>
      <c r="I71" s="115" t="n">
        <v>5.01</v>
      </c>
      <c r="J71" s="89">
        <f>LET(dec, I71-INT(I71), IF(dec&lt;0.1, INT(I71), IF(dec&lt;=0.7, INT(I71)+0.5, INT(I71)+1)))</f>
        <v/>
      </c>
      <c r="K71" s="116" t="n">
        <v>46225</v>
      </c>
      <c r="L71" s="91" t="inlineStr">
        <is>
          <t>Ari</t>
        </is>
      </c>
      <c r="M71" s="96" t="n"/>
      <c r="N71" s="91" t="inlineStr">
        <is>
          <t>Ari</t>
        </is>
      </c>
    </row>
    <row r="72">
      <c r="A72" s="96" t="inlineStr">
        <is>
          <t>7665862507516562196</t>
        </is>
      </c>
      <c r="B72" s="96" t="inlineStr">
        <is>
          <t>reyes_del_wellness</t>
        </is>
      </c>
      <c r="C72" s="89" t="inlineStr">
        <is>
          <t>MX</t>
        </is>
      </c>
      <c r="D72" s="114" t="n">
        <v>10550.68</v>
      </c>
      <c r="E72" s="40">
        <f>D72/1.16</f>
        <v/>
      </c>
      <c r="F72" s="114">
        <f>D72/J72</f>
        <v/>
      </c>
      <c r="G72" s="40">
        <f>F72/1.16</f>
        <v/>
      </c>
      <c r="H72" s="114" t="n">
        <v>0</v>
      </c>
      <c r="I72" s="115" t="n">
        <v>4.98</v>
      </c>
      <c r="J72" s="89">
        <f>LET(dec, I72-INT(I72), IF(dec&lt;0.1, INT(I72), IF(dec&lt;=0.7, INT(I72)+0.5, INT(I72)+1)))</f>
        <v/>
      </c>
      <c r="K72" s="116" t="n">
        <v>46226</v>
      </c>
      <c r="L72" s="91" t="inlineStr">
        <is>
          <t>Ari</t>
        </is>
      </c>
      <c r="M72" s="96" t="n"/>
      <c r="N72" s="91" t="inlineStr">
        <is>
          <t>Ari</t>
        </is>
      </c>
    </row>
    <row r="73">
      <c r="A73" s="96" t="inlineStr">
        <is>
          <t>7666232917383072533</t>
        </is>
      </c>
      <c r="B73" s="96" t="inlineStr">
        <is>
          <t>reyes_del_wellness</t>
        </is>
      </c>
      <c r="C73" s="89" t="inlineStr">
        <is>
          <t>MX</t>
        </is>
      </c>
      <c r="D73" s="114" t="n">
        <v>10274.11</v>
      </c>
      <c r="E73" s="40">
        <f>D73/1.16</f>
        <v/>
      </c>
      <c r="F73" s="114">
        <f>D73/J73</f>
        <v/>
      </c>
      <c r="G73" s="40">
        <f>F73/1.16</f>
        <v/>
      </c>
      <c r="H73" s="114" t="n">
        <v>0</v>
      </c>
      <c r="I73" s="115" t="n">
        <v>5.02</v>
      </c>
      <c r="J73" s="89">
        <f>LET(dec, I73-INT(I73), IF(dec&lt;0.1, INT(I73), IF(dec&lt;=0.7, INT(I73)+0.5, INT(I73)+1)))</f>
        <v/>
      </c>
      <c r="K73" s="116" t="n">
        <v>46227</v>
      </c>
      <c r="L73" s="91" t="inlineStr">
        <is>
          <t>Ari</t>
        </is>
      </c>
      <c r="M73" s="96" t="n"/>
      <c r="N73" s="91" t="inlineStr">
        <is>
          <t>Ari</t>
        </is>
      </c>
    </row>
    <row r="74">
      <c r="A74" s="96" t="inlineStr">
        <is>
          <t>7666529606367382293</t>
        </is>
      </c>
      <c r="B74" s="96" t="inlineStr">
        <is>
          <t>reyes_del_wellness</t>
        </is>
      </c>
      <c r="C74" s="89" t="inlineStr">
        <is>
          <t>MX</t>
        </is>
      </c>
      <c r="D74" s="114" t="n">
        <v>5005.1</v>
      </c>
      <c r="E74" s="40">
        <f>D74/1.16</f>
        <v/>
      </c>
      <c r="F74" s="114">
        <f>D74/J74</f>
        <v/>
      </c>
      <c r="G74" s="40">
        <f>F74/1.16</f>
        <v/>
      </c>
      <c r="H74" s="114" t="n">
        <v>0</v>
      </c>
      <c r="I74" s="115" t="n">
        <v>4.99</v>
      </c>
      <c r="J74" s="89">
        <f>LET(dec, I74-INT(I74), IF(dec&lt;0.1, INT(I74), IF(dec&lt;=0.7, INT(I74)+0.5, INT(I74)+1)))</f>
        <v/>
      </c>
      <c r="K74" s="116" t="n">
        <v>46228</v>
      </c>
      <c r="L74" s="91" t="inlineStr">
        <is>
          <t>Ari</t>
        </is>
      </c>
      <c r="M74" s="96" t="n"/>
      <c r="N74" s="91" t="inlineStr">
        <is>
          <t>Ari</t>
        </is>
      </c>
    </row>
    <row r="75">
      <c r="A75" s="96" t="inlineStr">
        <is>
          <t>7667346210981677831</t>
        </is>
      </c>
      <c r="B75" s="96" t="inlineStr">
        <is>
          <t>reyes_del_wellness</t>
        </is>
      </c>
      <c r="C75" s="89" t="inlineStr">
        <is>
          <t>MX</t>
        </is>
      </c>
      <c r="D75" s="114" t="n">
        <v>8897.18</v>
      </c>
      <c r="E75" s="40">
        <f>D75/1.16</f>
        <v/>
      </c>
      <c r="F75" s="114">
        <f>D75/J75</f>
        <v/>
      </c>
      <c r="G75" s="40">
        <f>F75/1.16</f>
        <v/>
      </c>
      <c r="H75" s="114" t="n">
        <v>0</v>
      </c>
      <c r="I75" s="115" t="n">
        <v>4.71</v>
      </c>
      <c r="J75" s="89">
        <f>LET(dec, I75-INT(I75), IF(dec&lt;0.1, INT(I75), IF(dec&lt;=0.7, INT(I75)+0.5, INT(I75)+1)))</f>
        <v/>
      </c>
      <c r="K75" s="116" t="n">
        <v>46230</v>
      </c>
      <c r="L75" s="91" t="inlineStr">
        <is>
          <t>Ari</t>
        </is>
      </c>
      <c r="M75" s="96" t="n"/>
      <c r="N75" s="91" t="inlineStr">
        <is>
          <t>Ari</t>
        </is>
      </c>
    </row>
    <row r="76">
      <c r="A76" s="96" t="inlineStr">
        <is>
          <t>7667419433389837076</t>
        </is>
      </c>
      <c r="B76" s="96" t="inlineStr">
        <is>
          <t>reyes_del_wellness</t>
        </is>
      </c>
      <c r="C76" s="89" t="inlineStr">
        <is>
          <t>MX</t>
        </is>
      </c>
      <c r="D76" s="114" t="n">
        <v>613.92</v>
      </c>
      <c r="E76" s="40">
        <f>D76/1.16</f>
        <v/>
      </c>
      <c r="F76" s="114">
        <f>D76/J76</f>
        <v/>
      </c>
      <c r="G76" s="40">
        <f>F76/1.16</f>
        <v/>
      </c>
      <c r="H76" s="114" t="n">
        <v>0</v>
      </c>
      <c r="I76" s="115" t="n">
        <v>0.48</v>
      </c>
      <c r="J76" s="89">
        <f>LET(dec, I76-INT(I76), IF(dec&lt;0.1, INT(I76), IF(dec&lt;=0.7, INT(I76)+0.5, INT(I76)+1)))</f>
        <v/>
      </c>
      <c r="K76" s="116" t="n">
        <v>46230</v>
      </c>
      <c r="L76" s="91" t="inlineStr">
        <is>
          <t>Ari</t>
        </is>
      </c>
      <c r="M76" s="96" t="n"/>
      <c r="N76" s="91" t="inlineStr">
        <is>
          <t>Ari</t>
        </is>
      </c>
    </row>
    <row r="77">
      <c r="K77" s="84" t="n"/>
    </row>
    <row r="78">
      <c r="K78" s="84" t="n"/>
    </row>
    <row r="79">
      <c r="A79" s="7" t="inlineStr">
        <is>
          <t>Room ID</t>
        </is>
      </c>
      <c r="B79" s="7" t="inlineStr">
        <is>
          <t>TT Handle</t>
        </is>
      </c>
      <c r="C79" s="7" t="inlineStr">
        <is>
          <t>Country</t>
        </is>
      </c>
      <c r="D79" s="7" t="inlineStr">
        <is>
          <t>GMV</t>
        </is>
      </c>
      <c r="E79" s="7" t="inlineStr">
        <is>
          <t>GMV/sin EVA</t>
        </is>
      </c>
      <c r="F79" s="7" t="inlineStr">
        <is>
          <t>GMV PER HOUR</t>
        </is>
      </c>
      <c r="G79" s="7" t="inlineStr">
        <is>
          <t>GMV PER HOUR/sin EVA</t>
        </is>
      </c>
      <c r="H79" s="7" t="inlineStr">
        <is>
          <t>Ads Cost</t>
        </is>
      </c>
      <c r="I79" s="7" t="inlineStr">
        <is>
          <t>Duration (H)</t>
        </is>
      </c>
      <c r="J79" s="28" t="inlineStr">
        <is>
          <t>Duration （Formula）</t>
        </is>
      </c>
      <c r="K79" s="58" t="inlineStr">
        <is>
          <t>Start date</t>
        </is>
      </c>
      <c r="L79" s="71" t="inlineStr">
        <is>
          <t>HOST1</t>
        </is>
      </c>
      <c r="M79" s="71" t="inlineStr">
        <is>
          <t xml:space="preserve">HOST 2 </t>
        </is>
      </c>
      <c r="N79" s="71" t="inlineStr">
        <is>
          <t>Operator</t>
        </is>
      </c>
    </row>
    <row r="80">
      <c r="A80" s="96" t="inlineStr">
        <is>
          <t>7667717153755925268</t>
        </is>
      </c>
      <c r="B80" s="96" t="inlineStr">
        <is>
          <t>reyes_del_wellness</t>
        </is>
      </c>
      <c r="C80" s="89" t="inlineStr">
        <is>
          <t>MX</t>
        </is>
      </c>
      <c r="D80" s="114" t="n">
        <v>4697.97</v>
      </c>
      <c r="E80" s="40">
        <f>D80/1.16</f>
        <v/>
      </c>
      <c r="F80" s="114">
        <f>D80/J80</f>
        <v/>
      </c>
      <c r="G80" s="40">
        <f>F80/1.16</f>
        <v/>
      </c>
      <c r="H80" s="114" t="n">
        <v>0</v>
      </c>
      <c r="I80" s="115" t="n">
        <v>5.03</v>
      </c>
      <c r="J80" s="89">
        <f>LET(dec, I80-INT(I80), IF(dec&lt;0.1, INT(I80), IF(dec&lt;=0.7, INT(I80)+0.5, INT(I80)+1)))</f>
        <v/>
      </c>
      <c r="K80" s="116" t="n">
        <v>46231</v>
      </c>
      <c r="L80" s="91" t="inlineStr">
        <is>
          <t>Ari</t>
        </is>
      </c>
      <c r="M80" s="96" t="n"/>
      <c r="N80" s="91" t="n"/>
    </row>
    <row r="81">
      <c r="A81" s="96" t="inlineStr">
        <is>
          <t>7668088994021772039</t>
        </is>
      </c>
      <c r="B81" s="96" t="inlineStr">
        <is>
          <t>reyes_del_wellness</t>
        </is>
      </c>
      <c r="C81" s="89" t="inlineStr">
        <is>
          <t>MX</t>
        </is>
      </c>
      <c r="D81" s="114" t="n">
        <v>8518.67</v>
      </c>
      <c r="E81" s="40">
        <f>D81/1.16</f>
        <v/>
      </c>
      <c r="F81" s="114">
        <f>D81/J81</f>
        <v/>
      </c>
      <c r="G81" s="40">
        <f>F81/1.16</f>
        <v/>
      </c>
      <c r="H81" s="114" t="n">
        <v>0</v>
      </c>
      <c r="I81" s="115" t="n">
        <v>5.01</v>
      </c>
      <c r="J81" s="89">
        <f>LET(dec, I81-INT(I81), IF(dec&lt;0.1, INT(I81), IF(dec&lt;=0.7, INT(I81)+0.5, INT(I81)+1)))</f>
        <v/>
      </c>
      <c r="K81" s="116" t="n">
        <v>46232</v>
      </c>
      <c r="L81" s="91" t="inlineStr">
        <is>
          <t>Ari</t>
        </is>
      </c>
      <c r="M81" s="96" t="n"/>
      <c r="N81" s="91" t="n"/>
    </row>
    <row r="82">
      <c r="A82" s="96" t="inlineStr">
        <is>
          <t>7668460723978504978</t>
        </is>
      </c>
      <c r="B82" s="96" t="inlineStr">
        <is>
          <t>reyes_del_wellness</t>
        </is>
      </c>
      <c r="C82" s="89" t="inlineStr">
        <is>
          <t>MX</t>
        </is>
      </c>
      <c r="D82" s="114" t="n">
        <v>5089.97</v>
      </c>
      <c r="E82" s="40">
        <f>D82/1.16</f>
        <v/>
      </c>
      <c r="F82" s="114">
        <f>D82/J82</f>
        <v/>
      </c>
      <c r="G82" s="40">
        <f>F82/1.16</f>
        <v/>
      </c>
      <c r="H82" s="114" t="n">
        <v>0</v>
      </c>
      <c r="I82" s="115" t="n">
        <v>5.01</v>
      </c>
      <c r="J82" s="89">
        <f>LET(dec, I82-INT(I82), IF(dec&lt;0.1, INT(I82), IF(dec&lt;=0.7, INT(I82)+0.5, INT(I82)+1)))</f>
        <v/>
      </c>
      <c r="K82" s="116" t="n">
        <v>46233</v>
      </c>
      <c r="L82" s="91" t="inlineStr">
        <is>
          <t>Ari</t>
        </is>
      </c>
      <c r="M82" s="96" t="n"/>
      <c r="N82" s="91" t="n"/>
    </row>
    <row r="83">
      <c r="A83" s="96" t="inlineStr">
        <is>
          <t>7668831476470909704</t>
        </is>
      </c>
      <c r="B83" s="96" t="inlineStr">
        <is>
          <t>reyes_del_wellness</t>
        </is>
      </c>
      <c r="C83" s="89" t="inlineStr">
        <is>
          <t>MX</t>
        </is>
      </c>
      <c r="D83" s="114" t="n">
        <v>9739.379999999999</v>
      </c>
      <c r="E83" s="40">
        <f>D83/1.16</f>
        <v/>
      </c>
      <c r="F83" s="114">
        <f>D83/J83</f>
        <v/>
      </c>
      <c r="G83" s="40">
        <f>F83/1.16</f>
        <v/>
      </c>
      <c r="H83" s="114" t="n">
        <v>0</v>
      </c>
      <c r="I83" s="115" t="n">
        <v>5.09</v>
      </c>
      <c r="J83" s="89">
        <f>LET(dec, I83-INT(I83), IF(dec&lt;0.1, INT(I83), IF(dec&lt;=0.7, INT(I83)+0.5, INT(I83)+1)))</f>
        <v/>
      </c>
      <c r="K83" s="116" t="n">
        <v>46234</v>
      </c>
      <c r="L83" s="91" t="inlineStr">
        <is>
          <t>Ari</t>
        </is>
      </c>
      <c r="M83" s="96" t="n"/>
      <c r="N83" s="91" t="n"/>
    </row>
    <row r="84">
      <c r="A84" s="96" t="inlineStr">
        <is>
          <t>7669944122672712466</t>
        </is>
      </c>
      <c r="B84" s="96" t="inlineStr">
        <is>
          <t>reyes_del_wellness</t>
        </is>
      </c>
      <c r="C84" s="89" t="inlineStr">
        <is>
          <t>MX</t>
        </is>
      </c>
      <c r="D84" s="114" t="n">
        <v>15917.24</v>
      </c>
      <c r="E84" s="40">
        <f>D84/1.16</f>
        <v/>
      </c>
      <c r="F84" s="114">
        <f>D84/J84</f>
        <v/>
      </c>
      <c r="G84" s="40">
        <f>F84/1.16</f>
        <v/>
      </c>
      <c r="H84" s="114" t="n">
        <v>0</v>
      </c>
      <c r="I84" s="115" t="n">
        <v>5.01</v>
      </c>
      <c r="J84" s="89">
        <f>LET(dec, I84-INT(I84), IF(dec&lt;0.1, INT(I84), IF(dec&lt;=0.7, INT(I84)+0.5, INT(I84)+1)))</f>
        <v/>
      </c>
      <c r="K84" s="116" t="n">
        <v>46237</v>
      </c>
      <c r="L84" s="91" t="inlineStr">
        <is>
          <t>Ari</t>
        </is>
      </c>
      <c r="M84" s="96" t="n"/>
      <c r="N84" s="91" t="n"/>
    </row>
    <row r="85">
      <c r="A85" s="96" t="inlineStr">
        <is>
          <t>7670314297376951047</t>
        </is>
      </c>
      <c r="B85" s="96" t="inlineStr">
        <is>
          <t>reyes_del_wellness</t>
        </is>
      </c>
      <c r="C85" s="89" t="inlineStr">
        <is>
          <t>MX</t>
        </is>
      </c>
      <c r="D85" s="114" t="n">
        <v>16820.91</v>
      </c>
      <c r="E85" s="40">
        <f>D85/1.16</f>
        <v/>
      </c>
      <c r="F85" s="114">
        <f>D85/J85</f>
        <v/>
      </c>
      <c r="G85" s="40">
        <f>F85/1.16</f>
        <v/>
      </c>
      <c r="H85" s="114" t="n">
        <v>0</v>
      </c>
      <c r="I85" s="115" t="n">
        <v>5.07</v>
      </c>
      <c r="J85" s="89">
        <f>LET(dec, I85-INT(I85), IF(dec&lt;0.1, INT(I85), IF(dec&lt;=0.7, INT(I85)+0.5, INT(I85)+1)))</f>
        <v/>
      </c>
      <c r="K85" s="116" t="n">
        <v>46238</v>
      </c>
      <c r="L85" s="91" t="inlineStr">
        <is>
          <t>Ari</t>
        </is>
      </c>
      <c r="M85" s="96" t="n"/>
      <c r="N85" s="91" t="n"/>
    </row>
    <row r="86">
      <c r="A86" s="96" t="inlineStr">
        <is>
          <t>7670687939974286098</t>
        </is>
      </c>
      <c r="B86" s="96" t="inlineStr">
        <is>
          <t>reyes_del_wellness</t>
        </is>
      </c>
      <c r="C86" s="89" t="inlineStr">
        <is>
          <t>MX</t>
        </is>
      </c>
      <c r="D86" s="114" t="n">
        <v>14013.84</v>
      </c>
      <c r="E86" s="40">
        <f>D86/1.16</f>
        <v/>
      </c>
      <c r="F86" s="114">
        <f>D86/J86</f>
        <v/>
      </c>
      <c r="G86" s="40">
        <f>F86/1.16</f>
        <v/>
      </c>
      <c r="H86" s="114" t="n">
        <v>0</v>
      </c>
      <c r="I86" s="115" t="n">
        <v>5.08</v>
      </c>
      <c r="J86" s="89">
        <f>LET(dec, I86-INT(I86), IF(dec&lt;0.1, INT(I86), IF(dec&lt;=0.7, INT(I86)+0.5, INT(I86)+1)))</f>
        <v/>
      </c>
      <c r="K86" s="116" t="n">
        <v>46239</v>
      </c>
      <c r="L86" s="91" t="inlineStr">
        <is>
          <t>Ari</t>
        </is>
      </c>
      <c r="M86" s="96" t="n"/>
      <c r="N86" s="91" t="n"/>
    </row>
    <row r="87">
      <c r="A87" s="96" t="inlineStr">
        <is>
          <t>7671058687527521045</t>
        </is>
      </c>
      <c r="B87" s="96" t="inlineStr">
        <is>
          <t>reyes_del_wellness</t>
        </is>
      </c>
      <c r="C87" s="89" t="inlineStr">
        <is>
          <t>MX</t>
        </is>
      </c>
      <c r="D87" s="114" t="n">
        <v>12951.62</v>
      </c>
      <c r="E87" s="40">
        <f>D87/1.16</f>
        <v/>
      </c>
      <c r="F87" s="114">
        <f>D87/J87</f>
        <v/>
      </c>
      <c r="G87" s="40">
        <f>F87/1.16</f>
        <v/>
      </c>
      <c r="H87" s="114" t="n">
        <v>0</v>
      </c>
      <c r="I87" s="115" t="n">
        <v>5.08</v>
      </c>
      <c r="J87" s="89">
        <f>LET(dec, I87-INT(I87), IF(dec&lt;0.1, INT(I87), IF(dec&lt;=0.7, INT(I87)+0.5, INT(I87)+1)))</f>
        <v/>
      </c>
      <c r="K87" s="116" t="n">
        <v>46240</v>
      </c>
      <c r="L87" s="91" t="inlineStr">
        <is>
          <t>Ari</t>
        </is>
      </c>
      <c r="M87" s="96" t="n"/>
      <c r="N87" s="91" t="n"/>
    </row>
    <row r="88">
      <c r="A88" s="96" t="inlineStr">
        <is>
          <t>7671428366032997128</t>
        </is>
      </c>
      <c r="B88" s="96" t="inlineStr">
        <is>
          <t>reyes_del_wellness</t>
        </is>
      </c>
      <c r="C88" s="89" t="inlineStr">
        <is>
          <t>MX</t>
        </is>
      </c>
      <c r="D88" s="114" t="n">
        <v>14850.9</v>
      </c>
      <c r="E88" s="40">
        <f>D88/1.16</f>
        <v/>
      </c>
      <c r="F88" s="114">
        <f>D88/J88</f>
        <v/>
      </c>
      <c r="G88" s="40">
        <f>F88/1.16</f>
        <v/>
      </c>
      <c r="H88" s="114" t="n">
        <v>0</v>
      </c>
      <c r="I88" s="115" t="n">
        <v>5.17</v>
      </c>
      <c r="J88" s="89">
        <f>LET(dec, I88-INT(I88), IF(dec&lt;0.1, INT(I88), IF(dec&lt;=0.7, INT(I88)+0.5, INT(I88)+1)))</f>
        <v/>
      </c>
      <c r="K88" s="116" t="n">
        <v>46241</v>
      </c>
      <c r="L88" s="91" t="inlineStr">
        <is>
          <t>Ari</t>
        </is>
      </c>
      <c r="M88" s="96" t="n"/>
      <c r="N88" s="91" t="n"/>
    </row>
    <row r="89">
      <c r="A89" s="96" t="inlineStr">
        <is>
          <t>7672543384000842516</t>
        </is>
      </c>
      <c r="B89" s="96" t="inlineStr">
        <is>
          <t>reyes_del_wellness</t>
        </is>
      </c>
      <c r="C89" s="89" t="inlineStr">
        <is>
          <t>MX</t>
        </is>
      </c>
      <c r="D89" s="114" t="n">
        <v>9868.18</v>
      </c>
      <c r="E89" s="40">
        <f>D89/1.16</f>
        <v/>
      </c>
      <c r="F89" s="114">
        <f>D89/J89</f>
        <v/>
      </c>
      <c r="G89" s="40">
        <f>F89/1.16</f>
        <v/>
      </c>
      <c r="H89" s="114" t="n">
        <v>0</v>
      </c>
      <c r="I89" s="115" t="n">
        <v>5.08</v>
      </c>
      <c r="J89" s="89">
        <f>LET(dec, I89-INT(I89), IF(dec&lt;0.1, INT(I89), IF(dec&lt;=0.7, INT(I89)+0.5, INT(I89)+1)))</f>
        <v/>
      </c>
      <c r="K89" s="116" t="n">
        <v>46244</v>
      </c>
      <c r="L89" s="91" t="inlineStr">
        <is>
          <t>Ari</t>
        </is>
      </c>
      <c r="M89" s="96" t="n"/>
      <c r="N89" s="91" t="n"/>
    </row>
    <row r="90">
      <c r="A90" s="96" t="inlineStr">
        <is>
          <t>7672907029424032533</t>
        </is>
      </c>
      <c r="B90" s="96" t="inlineStr">
        <is>
          <t>reyes_del_wellness</t>
        </is>
      </c>
      <c r="C90" s="89" t="inlineStr">
        <is>
          <t>MX</t>
        </is>
      </c>
      <c r="D90" s="114" t="n">
        <v>13581.25</v>
      </c>
      <c r="E90" s="40">
        <f>D90/1.16</f>
        <v/>
      </c>
      <c r="F90" s="114">
        <f>D90/J90</f>
        <v/>
      </c>
      <c r="G90" s="40">
        <f>F90/1.16</f>
        <v/>
      </c>
      <c r="H90" s="114" t="n">
        <v>0</v>
      </c>
      <c r="I90" s="115" t="n">
        <v>5.55</v>
      </c>
      <c r="J90" s="89">
        <f>LET(dec, I90-INT(I90), IF(dec&lt;0.1, INT(I90), IF(dec&lt;=0.7, INT(I90)+0.5, INT(I90)+1)))</f>
        <v/>
      </c>
      <c r="K90" s="116" t="n">
        <v>46245</v>
      </c>
      <c r="L90" s="91" t="inlineStr">
        <is>
          <t>Ari</t>
        </is>
      </c>
      <c r="M90" s="96" t="n"/>
      <c r="N90" s="91" t="n"/>
    </row>
    <row r="91">
      <c r="A91" s="96" t="inlineStr">
        <is>
          <t>7673275989169949447</t>
        </is>
      </c>
      <c r="B91" s="96" t="inlineStr">
        <is>
          <t>reyes_del_wellness</t>
        </is>
      </c>
      <c r="C91" s="89" t="inlineStr">
        <is>
          <t>MX</t>
        </is>
      </c>
      <c r="D91" s="114" t="n">
        <v>7588.43</v>
      </c>
      <c r="E91" s="40">
        <f>D91/1.16</f>
        <v/>
      </c>
      <c r="F91" s="114">
        <f>D91/J91</f>
        <v/>
      </c>
      <c r="G91" s="40">
        <f>F91/1.16</f>
        <v/>
      </c>
      <c r="H91" s="114" t="n">
        <v>0</v>
      </c>
      <c r="I91" s="115" t="n">
        <v>5.63</v>
      </c>
      <c r="J91" s="89">
        <f>LET(dec, I91-INT(I91), IF(dec&lt;0.1, INT(I91), IF(dec&lt;=0.7, INT(I91)+0.5, INT(I91)+1)))</f>
        <v/>
      </c>
      <c r="K91" s="116" t="n">
        <v>46246</v>
      </c>
      <c r="L91" s="91" t="inlineStr">
        <is>
          <t>Ari</t>
        </is>
      </c>
      <c r="M91" s="96" t="n"/>
      <c r="N91" s="91" t="n"/>
    </row>
    <row r="92">
      <c r="A92" s="96" t="inlineStr">
        <is>
          <t>7674020721853893384</t>
        </is>
      </c>
      <c r="B92" s="96" t="inlineStr">
        <is>
          <t>reyes_del_wellness</t>
        </is>
      </c>
      <c r="C92" s="89" t="inlineStr">
        <is>
          <t>MX</t>
        </is>
      </c>
      <c r="D92" s="114" t="n">
        <v>834.96</v>
      </c>
      <c r="E92" s="40">
        <f>D92/1.16</f>
        <v/>
      </c>
      <c r="F92" s="114">
        <f>D92/J92</f>
        <v/>
      </c>
      <c r="G92" s="40">
        <f>F92/1.16</f>
        <v/>
      </c>
      <c r="H92" s="114" t="n">
        <v>0</v>
      </c>
      <c r="I92" s="115" t="n">
        <v>2.02</v>
      </c>
      <c r="J92" s="89">
        <f>LET(dec, I92-INT(I92), IF(dec&lt;0.1, INT(I92), IF(dec&lt;=0.7, INT(I92)+0.5, INT(I92)+1)))</f>
        <v/>
      </c>
      <c r="K92" s="116" t="n">
        <v>46248</v>
      </c>
      <c r="L92" s="91" t="inlineStr">
        <is>
          <t>Ari</t>
        </is>
      </c>
      <c r="M92" s="96" t="n"/>
      <c r="N92" s="91" t="n"/>
    </row>
    <row r="93">
      <c r="A93" s="96" t="inlineStr">
        <is>
          <t>7675131986750491413</t>
        </is>
      </c>
      <c r="B93" s="96" t="inlineStr">
        <is>
          <t>reyes_del_wellness</t>
        </is>
      </c>
      <c r="C93" s="89" t="inlineStr">
        <is>
          <t>MX</t>
        </is>
      </c>
      <c r="D93" s="114" t="n">
        <v>15522.2</v>
      </c>
      <c r="E93" s="40">
        <f>D93/1.16</f>
        <v/>
      </c>
      <c r="F93" s="114">
        <f>D93/J93</f>
        <v/>
      </c>
      <c r="G93" s="40">
        <f>F93/1.16</f>
        <v/>
      </c>
      <c r="H93" s="114" t="n">
        <v>0</v>
      </c>
      <c r="I93" s="115" t="n">
        <v>5.61</v>
      </c>
      <c r="J93" s="89">
        <f>LET(dec, I93-INT(I93), IF(dec&lt;0.1, INT(I93), IF(dec&lt;=0.7, INT(I93)+0.5, INT(I93)+1)))</f>
        <v/>
      </c>
      <c r="K93" s="116" t="n">
        <v>46251</v>
      </c>
      <c r="L93" s="91" t="inlineStr">
        <is>
          <t>Ari</t>
        </is>
      </c>
      <c r="M93" s="96" t="n"/>
      <c r="N93" s="91" t="n"/>
    </row>
    <row r="94">
      <c r="A94" s="96" t="inlineStr">
        <is>
          <t>7675503200807897877</t>
        </is>
      </c>
      <c r="B94" s="96" t="inlineStr">
        <is>
          <t>reyes_del_wellness</t>
        </is>
      </c>
      <c r="C94" s="89" t="inlineStr">
        <is>
          <t>MX</t>
        </is>
      </c>
      <c r="D94" s="114" t="n">
        <v>2206.73</v>
      </c>
      <c r="E94" s="40">
        <f>D94/1.16</f>
        <v/>
      </c>
      <c r="F94" s="114">
        <f>D94/J94</f>
        <v/>
      </c>
      <c r="G94" s="40">
        <f>F94/1.16</f>
        <v/>
      </c>
      <c r="H94" s="114" t="n">
        <v>0</v>
      </c>
      <c r="I94" s="115" t="n">
        <v>3.36</v>
      </c>
      <c r="J94" s="89">
        <f>LET(dec, I94-INT(I94), IF(dec&lt;0.1, INT(I94), IF(dec&lt;=0.7, INT(I94)+0.5, INT(I94)+1)))</f>
        <v/>
      </c>
      <c r="K94" s="116" t="n">
        <v>46252</v>
      </c>
      <c r="L94" s="91" t="inlineStr">
        <is>
          <t>Ari</t>
        </is>
      </c>
      <c r="M94" s="96" t="n"/>
      <c r="N94" s="91" t="n"/>
    </row>
    <row r="95">
      <c r="A95" s="96" t="inlineStr">
        <is>
          <t>7675876726707342100</t>
        </is>
      </c>
      <c r="B95" s="96" t="inlineStr">
        <is>
          <t>reyes_del_wellness</t>
        </is>
      </c>
      <c r="C95" s="89" t="inlineStr">
        <is>
          <t>MX</t>
        </is>
      </c>
      <c r="D95" s="114" t="n">
        <v>15299.03</v>
      </c>
      <c r="E95" s="40">
        <f>D95/1.16</f>
        <v/>
      </c>
      <c r="F95" s="114">
        <f>D95/J95</f>
        <v/>
      </c>
      <c r="G95" s="40">
        <f>F95/1.16</f>
        <v/>
      </c>
      <c r="H95" s="114" t="n">
        <v>0</v>
      </c>
      <c r="I95" s="115" t="n">
        <v>5.5</v>
      </c>
      <c r="J95" s="89">
        <f>LET(dec, I95-INT(I95), IF(dec&lt;0.1, INT(I95), IF(dec&lt;=0.7, INT(I95)+0.5, INT(I95)+1)))</f>
        <v/>
      </c>
      <c r="K95" s="116" t="n">
        <v>46253</v>
      </c>
      <c r="L95" s="91" t="inlineStr">
        <is>
          <t>Ari</t>
        </is>
      </c>
      <c r="M95" s="96" t="n"/>
      <c r="N95" s="91" t="n"/>
    </row>
    <row r="96">
      <c r="A96" s="96" t="inlineStr">
        <is>
          <t>7676246344246168327</t>
        </is>
      </c>
      <c r="B96" s="96" t="inlineStr">
        <is>
          <t>reyes_del_wellness</t>
        </is>
      </c>
      <c r="C96" s="89" t="inlineStr">
        <is>
          <t>MX</t>
        </is>
      </c>
      <c r="D96" s="114" t="n">
        <v>15666.22</v>
      </c>
      <c r="E96" s="40">
        <f>D96/1.16</f>
        <v/>
      </c>
      <c r="F96" s="114">
        <f>D96/J96</f>
        <v/>
      </c>
      <c r="G96" s="40">
        <f>F96/1.16</f>
        <v/>
      </c>
      <c r="H96" s="114" t="n">
        <v>0</v>
      </c>
      <c r="I96" s="115" t="n">
        <v>5.57</v>
      </c>
      <c r="J96" s="89">
        <f>LET(dec, I96-INT(I96), IF(dec&lt;0.1, INT(I96), IF(dec&lt;=0.7, INT(I96)+0.5, INT(I96)+1)))</f>
        <v/>
      </c>
      <c r="K96" s="116" t="n">
        <v>46254</v>
      </c>
      <c r="L96" s="91" t="inlineStr">
        <is>
          <t>Ari</t>
        </is>
      </c>
      <c r="M96" s="96" t="n"/>
      <c r="N96" s="91" t="n"/>
    </row>
    <row r="97">
      <c r="A97" s="96" t="inlineStr">
        <is>
          <t>7676507816408648455</t>
        </is>
      </c>
      <c r="B97" s="96" t="inlineStr">
        <is>
          <t>reyes_del_wellness</t>
        </is>
      </c>
      <c r="C97" s="89" t="inlineStr">
        <is>
          <t>MX</t>
        </is>
      </c>
      <c r="D97" s="114" t="n">
        <v>11074.25</v>
      </c>
      <c r="E97" s="40">
        <f>D97/1.16</f>
        <v/>
      </c>
      <c r="F97" s="114">
        <f>D97/J97</f>
        <v/>
      </c>
      <c r="G97" s="40">
        <f>F97/1.16</f>
        <v/>
      </c>
      <c r="H97" s="114" t="n">
        <v>0</v>
      </c>
      <c r="I97" s="115" t="n">
        <v>5.82</v>
      </c>
      <c r="J97" s="89">
        <f>LET(dec, I97-INT(I97), IF(dec&lt;0.1, INT(I97), IF(dec&lt;=0.7, INT(I97)+0.5, INT(I97)+1)))</f>
        <v/>
      </c>
      <c r="K97" s="116" t="n">
        <v>46255</v>
      </c>
      <c r="L97" s="91" t="inlineStr">
        <is>
          <t>Ari</t>
        </is>
      </c>
      <c r="M97" s="96" t="n"/>
      <c r="N97" s="91" t="n"/>
    </row>
    <row r="98">
      <c r="A98" s="96" t="inlineStr">
        <is>
          <t>7676614966433123092</t>
        </is>
      </c>
      <c r="B98" s="96" t="inlineStr">
        <is>
          <t>reyes_del_wellness</t>
        </is>
      </c>
      <c r="C98" s="89" t="inlineStr">
        <is>
          <t>MX</t>
        </is>
      </c>
      <c r="D98" s="114" t="n">
        <v>8326.18</v>
      </c>
      <c r="E98" s="40">
        <f>D98/1.16</f>
        <v/>
      </c>
      <c r="F98" s="114">
        <f>D98/J98</f>
        <v/>
      </c>
      <c r="G98" s="40">
        <f>F98/1.16</f>
        <v/>
      </c>
      <c r="H98" s="114" t="n">
        <v>0</v>
      </c>
      <c r="I98" s="115" t="n">
        <v>5.77</v>
      </c>
      <c r="J98" s="89">
        <f>LET(dec, I98-INT(I98), IF(dec&lt;0.1, INT(I98), IF(dec&lt;=0.7, INT(I98)+0.5, INT(I98)+1)))</f>
        <v/>
      </c>
      <c r="K98" s="116" t="n">
        <v>46255</v>
      </c>
      <c r="L98" s="91" t="inlineStr">
        <is>
          <t>Ari</t>
        </is>
      </c>
      <c r="M98" s="96" t="n"/>
      <c r="N98" s="91" t="n"/>
    </row>
    <row r="99">
      <c r="A99" s="96" t="inlineStr">
        <is>
          <t>7677744544718146322</t>
        </is>
      </c>
      <c r="B99" s="96" t="inlineStr">
        <is>
          <t>reyes_del_wellness</t>
        </is>
      </c>
      <c r="C99" s="89" t="inlineStr">
        <is>
          <t>MX</t>
        </is>
      </c>
      <c r="D99" s="114" t="n">
        <v>5373.79</v>
      </c>
      <c r="E99" s="40">
        <f>D99/1.16</f>
        <v/>
      </c>
      <c r="F99" s="114">
        <f>D99/J99</f>
        <v/>
      </c>
      <c r="G99" s="40">
        <f>F99/1.16</f>
        <v/>
      </c>
      <c r="H99" s="114" t="n">
        <v>0</v>
      </c>
      <c r="I99" s="115" t="n">
        <v>4.67</v>
      </c>
      <c r="J99" s="89">
        <f>LET(dec, I99-INT(I99), IF(dec&lt;0.1, INT(I99), IF(dec&lt;=0.7, INT(I99)+0.5, INT(I99)+1)))</f>
        <v/>
      </c>
      <c r="K99" s="116" t="n">
        <v>46258</v>
      </c>
      <c r="L99" s="91" t="inlineStr">
        <is>
          <t>Ari</t>
        </is>
      </c>
      <c r="M99" s="96" t="n"/>
      <c r="N99" s="91" t="n"/>
    </row>
    <row r="100">
      <c r="A100" s="96" t="inlineStr">
        <is>
          <t>7678109817296096020</t>
        </is>
      </c>
      <c r="B100" s="96" t="inlineStr">
        <is>
          <t>reyes_del_wellness</t>
        </is>
      </c>
      <c r="C100" s="89" t="inlineStr">
        <is>
          <t>MX</t>
        </is>
      </c>
      <c r="D100" s="114" t="n">
        <v>4157.33</v>
      </c>
      <c r="E100" s="40">
        <f>D100/1.16</f>
        <v/>
      </c>
      <c r="F100" s="114">
        <f>D100/J100</f>
        <v/>
      </c>
      <c r="G100" s="40">
        <f>F100/1.16</f>
        <v/>
      </c>
      <c r="H100" s="114" t="n">
        <v>0</v>
      </c>
      <c r="I100" s="115" t="n">
        <v>5.01</v>
      </c>
      <c r="J100" s="89">
        <f>LET(dec, I100-INT(I100), IF(dec&lt;0.1, INT(I100), IF(dec&lt;=0.7, INT(I100)+0.5, INT(I100)+1)))</f>
        <v/>
      </c>
      <c r="K100" s="116" t="n">
        <v>46259</v>
      </c>
      <c r="L100" s="91" t="inlineStr">
        <is>
          <t>Ari</t>
        </is>
      </c>
      <c r="M100" s="96" t="n"/>
      <c r="N100" s="91" t="n"/>
    </row>
    <row r="101">
      <c r="A101" s="96" t="inlineStr">
        <is>
          <t>7678479106799569671</t>
        </is>
      </c>
      <c r="B101" s="96" t="inlineStr">
        <is>
          <t>reyes_del_wellness</t>
        </is>
      </c>
      <c r="C101" s="89" t="inlineStr">
        <is>
          <t>MX</t>
        </is>
      </c>
      <c r="D101" s="114" t="n">
        <v>6564.27</v>
      </c>
      <c r="E101" s="40">
        <f>D101/1.16</f>
        <v/>
      </c>
      <c r="F101" s="114">
        <f>D101/J101</f>
        <v/>
      </c>
      <c r="G101" s="40">
        <f>F101/1.16</f>
        <v/>
      </c>
      <c r="H101" s="114" t="n">
        <v>0</v>
      </c>
      <c r="I101" s="115" t="n">
        <v>5.17</v>
      </c>
      <c r="J101" s="89">
        <f>LET(dec, I101-INT(I101), IF(dec&lt;0.1, INT(I101), IF(dec&lt;=0.7, INT(I101)+0.5, INT(I101)+1)))</f>
        <v/>
      </c>
      <c r="K101" s="116" t="n">
        <v>46260</v>
      </c>
      <c r="L101" s="91" t="inlineStr">
        <is>
          <t>Ari</t>
        </is>
      </c>
      <c r="M101" s="96" t="n"/>
      <c r="N101" s="91" t="n"/>
    </row>
    <row r="102">
      <c r="A102" s="96" t="inlineStr">
        <is>
          <t>7678851198254598932</t>
        </is>
      </c>
      <c r="B102" s="96" t="inlineStr">
        <is>
          <t>reyes_del_wellness</t>
        </is>
      </c>
      <c r="C102" s="89" t="inlineStr">
        <is>
          <t>MX</t>
        </is>
      </c>
      <c r="D102" s="114" t="n">
        <v>9878.91</v>
      </c>
      <c r="E102" s="40">
        <f>D102/1.16</f>
        <v/>
      </c>
      <c r="F102" s="114">
        <f>D102/J102</f>
        <v/>
      </c>
      <c r="G102" s="40">
        <f>F102/1.16</f>
        <v/>
      </c>
      <c r="H102" s="114" t="n">
        <v>0</v>
      </c>
      <c r="I102" s="115" t="n">
        <v>5.03</v>
      </c>
      <c r="J102" s="89">
        <f>LET(dec, I102-INT(I102), IF(dec&lt;0.1, INT(I102), IF(dec&lt;=0.7, INT(I102)+0.5, INT(I102)+1)))</f>
        <v/>
      </c>
      <c r="K102" s="116" t="n">
        <v>46261</v>
      </c>
      <c r="L102" s="91" t="inlineStr">
        <is>
          <t>Ari</t>
        </is>
      </c>
      <c r="M102" s="96" t="n"/>
      <c r="N102" s="91" t="n"/>
    </row>
    <row r="103">
      <c r="K103" s="84" t="n"/>
    </row>
    <row r="104">
      <c r="K104" s="84" t="n"/>
    </row>
    <row r="105">
      <c r="A105" s="7" t="inlineStr">
        <is>
          <t>Room ID</t>
        </is>
      </c>
      <c r="B105" s="7" t="inlineStr">
        <is>
          <t>TT Handle</t>
        </is>
      </c>
      <c r="C105" s="7" t="inlineStr">
        <is>
          <t>Country</t>
        </is>
      </c>
      <c r="D105" s="7" t="inlineStr">
        <is>
          <t>GMV</t>
        </is>
      </c>
      <c r="E105" s="7" t="inlineStr">
        <is>
          <t>GMV/sin EVA</t>
        </is>
      </c>
      <c r="F105" s="7" t="inlineStr">
        <is>
          <t>GMV PER HOUR</t>
        </is>
      </c>
      <c r="G105" s="7" t="inlineStr">
        <is>
          <t>GMV PER HOUR/sin EVA</t>
        </is>
      </c>
      <c r="H105" s="7" t="inlineStr">
        <is>
          <t>Ads Cost</t>
        </is>
      </c>
      <c r="I105" s="7" t="inlineStr">
        <is>
          <t>Duration (H)</t>
        </is>
      </c>
      <c r="J105" s="28" t="inlineStr">
        <is>
          <t>Duration （Formula）</t>
        </is>
      </c>
      <c r="K105" s="58" t="inlineStr">
        <is>
          <t>Start date</t>
        </is>
      </c>
      <c r="L105" s="71" t="inlineStr">
        <is>
          <t>HOST1</t>
        </is>
      </c>
      <c r="M105" s="71" t="inlineStr">
        <is>
          <t xml:space="preserve">HOST 2 </t>
        </is>
      </c>
      <c r="N105" s="71" t="inlineStr">
        <is>
          <t>Operator</t>
        </is>
      </c>
    </row>
    <row r="106">
      <c r="A106" s="96" t="inlineStr">
        <is>
          <t>7679221084750662407</t>
        </is>
      </c>
      <c r="B106" s="96" t="inlineStr">
        <is>
          <t>reyes_del_wellness</t>
        </is>
      </c>
      <c r="C106" s="89" t="inlineStr">
        <is>
          <t>MX</t>
        </is>
      </c>
      <c r="D106" s="114" t="n">
        <v>9691.24</v>
      </c>
      <c r="E106" s="40">
        <f>D106/1.16</f>
        <v/>
      </c>
      <c r="F106" s="114">
        <f>D106/J106</f>
        <v/>
      </c>
      <c r="G106" s="40">
        <f>F106/1.16</f>
        <v/>
      </c>
      <c r="H106" s="114" t="n">
        <v>0</v>
      </c>
      <c r="I106" s="115" t="n">
        <v>5.21</v>
      </c>
      <c r="J106" s="89">
        <f>LET(dec, I106-INT(I106), IF(dec&lt;0.1, INT(I106), IF(dec&lt;=0.7, INT(I106)+0.5, INT(I106)+1)))</f>
        <v/>
      </c>
      <c r="K106" s="116" t="n">
        <v>46262</v>
      </c>
      <c r="L106" s="91" t="inlineStr">
        <is>
          <t>Ari</t>
        </is>
      </c>
      <c r="M106" s="96" t="n"/>
      <c r="N106" s="91" t="n"/>
    </row>
    <row r="107">
      <c r="A107" s="96" t="inlineStr">
        <is>
          <t>7680384288378276615</t>
        </is>
      </c>
      <c r="B107" s="96" t="inlineStr">
        <is>
          <t>reyes_del_wellness</t>
        </is>
      </c>
      <c r="C107" s="89" t="inlineStr">
        <is>
          <t>MX</t>
        </is>
      </c>
      <c r="D107" s="114" t="n">
        <v>4387.49</v>
      </c>
      <c r="E107" s="40">
        <f>D107/1.16</f>
        <v/>
      </c>
      <c r="F107" s="114">
        <f>D107/J107</f>
        <v/>
      </c>
      <c r="G107" s="40">
        <f>F107/1.16</f>
        <v/>
      </c>
      <c r="H107" s="114" t="n">
        <v>0</v>
      </c>
      <c r="I107" s="115" t="n">
        <v>1.94</v>
      </c>
      <c r="J107" s="89">
        <f>LET(dec, I107-INT(I107), IF(dec&lt;0.1, INT(I107), IF(dec&lt;=0.7, INT(I107)+0.5, INT(I107)+1)))</f>
        <v/>
      </c>
      <c r="K107" s="116" t="n">
        <v>46265</v>
      </c>
      <c r="L107" s="91" t="inlineStr">
        <is>
          <t>Ari</t>
        </is>
      </c>
      <c r="M107" s="96" t="n"/>
      <c r="N107" s="91" t="n"/>
    </row>
    <row r="108">
      <c r="A108" s="96" t="inlineStr">
        <is>
          <t>7680705757417425685</t>
        </is>
      </c>
      <c r="B108" s="96" t="inlineStr">
        <is>
          <t>reyes_del_wellness</t>
        </is>
      </c>
      <c r="C108" s="89" t="inlineStr">
        <is>
          <t>MX</t>
        </is>
      </c>
      <c r="D108" s="114" t="n">
        <v>13891.77</v>
      </c>
      <c r="E108" s="40">
        <f>D108/1.16</f>
        <v/>
      </c>
      <c r="F108" s="114">
        <f>D108/J108</f>
        <v/>
      </c>
      <c r="G108" s="40">
        <f>F108/1.16</f>
        <v/>
      </c>
      <c r="H108" s="114" t="n">
        <v>0</v>
      </c>
      <c r="I108" s="115" t="n">
        <v>5.1</v>
      </c>
      <c r="J108" s="89">
        <f>LET(dec, I108-INT(I108), IF(dec&lt;0.1, INT(I108), IF(dec&lt;=0.7, INT(I108)+0.5, INT(I108)+1)))</f>
        <v/>
      </c>
      <c r="K108" s="116" t="n">
        <v>46266</v>
      </c>
      <c r="L108" s="91" t="inlineStr">
        <is>
          <t>Ari</t>
        </is>
      </c>
      <c r="M108" s="96" t="n"/>
      <c r="N108" s="91" t="n"/>
    </row>
    <row r="109">
      <c r="A109" s="96" t="inlineStr">
        <is>
          <t>7681449384829995794</t>
        </is>
      </c>
      <c r="B109" s="96" t="inlineStr">
        <is>
          <t>reyes_del_wellness</t>
        </is>
      </c>
      <c r="C109" s="89" t="inlineStr">
        <is>
          <t>MX</t>
        </is>
      </c>
      <c r="D109" s="114" t="n">
        <v>7034.84</v>
      </c>
      <c r="E109" s="40">
        <f>D109/1.16</f>
        <v/>
      </c>
      <c r="F109" s="114">
        <f>D109/J109</f>
        <v/>
      </c>
      <c r="G109" s="40">
        <f>F109/1.16</f>
        <v/>
      </c>
      <c r="H109" s="114" t="n">
        <v>0</v>
      </c>
      <c r="I109" s="115" t="n">
        <v>5.04</v>
      </c>
      <c r="J109" s="89">
        <f>LET(dec, I109-INT(I109), IF(dec&lt;0.1, INT(I109), IF(dec&lt;=0.7, INT(I109)+0.5, INT(I109)+1)))</f>
        <v/>
      </c>
      <c r="K109" s="116" t="n">
        <v>46268</v>
      </c>
      <c r="L109" s="91" t="inlineStr">
        <is>
          <t>Ari</t>
        </is>
      </c>
      <c r="M109" s="96" t="n"/>
      <c r="N109" s="91" t="n"/>
    </row>
    <row r="110">
      <c r="A110" s="96" t="inlineStr">
        <is>
          <t>7681821264688384775</t>
        </is>
      </c>
      <c r="B110" s="96" t="inlineStr">
        <is>
          <t>reyes_del_wellness</t>
        </is>
      </c>
      <c r="C110" s="89" t="inlineStr">
        <is>
          <t>MX</t>
        </is>
      </c>
      <c r="D110" s="114" t="n">
        <v>6436.2</v>
      </c>
      <c r="E110" s="40">
        <f>D110/1.16</f>
        <v/>
      </c>
      <c r="F110" s="114">
        <f>D110/J110</f>
        <v/>
      </c>
      <c r="G110" s="40">
        <f>F110/1.16</f>
        <v/>
      </c>
      <c r="H110" s="114" t="n">
        <v>0</v>
      </c>
      <c r="I110" s="115" t="n">
        <v>5.09</v>
      </c>
      <c r="J110" s="89">
        <f>LET(dec, I110-INT(I110), IF(dec&lt;0.1, INT(I110), IF(dec&lt;=0.7, INT(I110)+0.5, INT(I110)+1)))</f>
        <v/>
      </c>
      <c r="K110" s="116" t="n">
        <v>46269</v>
      </c>
      <c r="L110" s="91" t="inlineStr">
        <is>
          <t>Ari</t>
        </is>
      </c>
      <c r="M110" s="96" t="n"/>
      <c r="N110" s="91" t="n"/>
    </row>
    <row r="111">
      <c r="A111" s="96" t="inlineStr">
        <is>
          <t>7682184531241700117</t>
        </is>
      </c>
      <c r="B111" s="96" t="inlineStr">
        <is>
          <t>reyes_del_wellness</t>
        </is>
      </c>
      <c r="C111" s="89" t="inlineStr">
        <is>
          <t>MX</t>
        </is>
      </c>
      <c r="D111" s="114" t="n">
        <v>12280.26</v>
      </c>
      <c r="E111" s="40">
        <f>D111/1.16</f>
        <v/>
      </c>
      <c r="F111" s="114">
        <f>D111/J111</f>
        <v/>
      </c>
      <c r="G111" s="40">
        <f>F111/1.16</f>
        <v/>
      </c>
      <c r="H111" s="114" t="n">
        <v>0</v>
      </c>
      <c r="I111" s="115" t="n">
        <v>5.06</v>
      </c>
      <c r="J111" s="89">
        <f>LET(dec, I111-INT(I111), IF(dec&lt;0.1, INT(I111), IF(dec&lt;=0.7, INT(I111)+0.5, INT(I111)+1)))</f>
        <v/>
      </c>
      <c r="K111" s="116" t="n">
        <v>46270</v>
      </c>
      <c r="L111" s="91" t="inlineStr">
        <is>
          <t>Ari</t>
        </is>
      </c>
      <c r="M111" s="96" t="n"/>
      <c r="N111" s="91" t="n"/>
    </row>
    <row r="112">
      <c r="A112" s="96" t="inlineStr">
        <is>
          <t>7683303307212786450</t>
        </is>
      </c>
      <c r="B112" s="96" t="inlineStr">
        <is>
          <t>reyes_del_wellness</t>
        </is>
      </c>
      <c r="C112" s="89" t="inlineStr">
        <is>
          <t>MX</t>
        </is>
      </c>
      <c r="D112" s="114" t="n">
        <v>9666.76</v>
      </c>
      <c r="E112" s="40">
        <f>D112/1.16</f>
        <v/>
      </c>
      <c r="F112" s="114">
        <f>D112/J112</f>
        <v/>
      </c>
      <c r="G112" s="40">
        <f>F112/1.16</f>
        <v/>
      </c>
      <c r="H112" s="114" t="n">
        <v>0</v>
      </c>
      <c r="I112" s="115" t="n">
        <v>5.03</v>
      </c>
      <c r="J112" s="89">
        <f>LET(dec, I112-INT(I112), IF(dec&lt;0.1, INT(I112), IF(dec&lt;=0.7, INT(I112)+0.5, INT(I112)+1)))</f>
        <v/>
      </c>
      <c r="K112" s="116" t="n">
        <v>46273</v>
      </c>
      <c r="L112" s="91" t="inlineStr">
        <is>
          <t>Ari</t>
        </is>
      </c>
      <c r="M112" s="96" t="n"/>
      <c r="N112" s="91" t="n"/>
    </row>
    <row r="113">
      <c r="A113" s="96" t="inlineStr">
        <is>
          <t>7683614382634404626</t>
        </is>
      </c>
      <c r="B113" s="96" t="inlineStr">
        <is>
          <t>reyes_del_wellness</t>
        </is>
      </c>
      <c r="C113" s="89" t="inlineStr">
        <is>
          <t>MX</t>
        </is>
      </c>
      <c r="D113" s="114" t="n">
        <v>5885.52</v>
      </c>
      <c r="E113" s="40">
        <f>D113/1.16</f>
        <v/>
      </c>
      <c r="F113" s="114">
        <f>D113/J113</f>
        <v/>
      </c>
      <c r="G113" s="40">
        <f>F113/1.16</f>
        <v/>
      </c>
      <c r="H113" s="114" t="n">
        <v>0</v>
      </c>
      <c r="I113" s="115" t="n">
        <v>4.18</v>
      </c>
      <c r="J113" s="89">
        <f>LET(dec, I113-INT(I113), IF(dec&lt;0.1, INT(I113), IF(dec&lt;=0.7, INT(I113)+0.5, INT(I113)+1)))</f>
        <v/>
      </c>
      <c r="K113" s="116" t="n">
        <v>46274</v>
      </c>
      <c r="L113" s="91" t="inlineStr">
        <is>
          <t>Ari</t>
        </is>
      </c>
      <c r="M113" s="96" t="n"/>
      <c r="N113" s="91" t="n"/>
    </row>
    <row r="114">
      <c r="A114" s="96" t="inlineStr">
        <is>
          <t>7684045505966312213</t>
        </is>
      </c>
      <c r="B114" s="96" t="inlineStr">
        <is>
          <t>reyes_del_wellness</t>
        </is>
      </c>
      <c r="C114" s="89" t="inlineStr">
        <is>
          <t>MX</t>
        </is>
      </c>
      <c r="D114" s="114" t="n">
        <v>11523</v>
      </c>
      <c r="E114" s="40">
        <f>D114/1.16</f>
        <v/>
      </c>
      <c r="F114" s="114">
        <f>D114/J114</f>
        <v/>
      </c>
      <c r="G114" s="40">
        <f>F114/1.16</f>
        <v/>
      </c>
      <c r="H114" s="114" t="n">
        <v>0</v>
      </c>
      <c r="I114" s="115" t="n">
        <v>5.04</v>
      </c>
      <c r="J114" s="89">
        <f>LET(dec, I114-INT(I114), IF(dec&lt;0.1, INT(I114), IF(dec&lt;=0.7, INT(I114)+0.5, INT(I114)+1)))</f>
        <v/>
      </c>
      <c r="K114" s="116" t="n">
        <v>46274</v>
      </c>
      <c r="L114" s="91" t="inlineStr">
        <is>
          <t>Ari</t>
        </is>
      </c>
      <c r="M114" s="96" t="n"/>
      <c r="N114" s="91" t="n"/>
    </row>
    <row r="115">
      <c r="A115" s="96" t="inlineStr">
        <is>
          <t>7684416674434566919</t>
        </is>
      </c>
      <c r="B115" s="96" t="inlineStr">
        <is>
          <t>reyes_del_wellness</t>
        </is>
      </c>
      <c r="C115" s="89" t="inlineStr">
        <is>
          <t>MX</t>
        </is>
      </c>
      <c r="D115" s="114" t="n">
        <v>11622.27</v>
      </c>
      <c r="E115" s="40">
        <f>D115/1.16</f>
        <v/>
      </c>
      <c r="F115" s="114">
        <f>D115/J115</f>
        <v/>
      </c>
      <c r="G115" s="40">
        <f>F115/1.16</f>
        <v/>
      </c>
      <c r="H115" s="114" t="n">
        <v>0</v>
      </c>
      <c r="I115" s="115" t="n">
        <v>5.2</v>
      </c>
      <c r="J115" s="89">
        <f>LET(dec, I115-INT(I115), IF(dec&lt;0.1, INT(I115), IF(dec&lt;=0.7, INT(I115)+0.5, INT(I115)+1)))</f>
        <v/>
      </c>
      <c r="K115" s="116" t="n">
        <v>46275</v>
      </c>
      <c r="L115" s="91" t="inlineStr">
        <is>
          <t>Ari</t>
        </is>
      </c>
      <c r="M115" s="96" t="n"/>
      <c r="N115" s="91" t="n"/>
    </row>
    <row r="116">
      <c r="A116" s="96" t="inlineStr">
        <is>
          <t>7685069703229360916</t>
        </is>
      </c>
      <c r="B116" s="96" t="inlineStr">
        <is>
          <t>reyes_del_wellness</t>
        </is>
      </c>
      <c r="C116" s="89" t="inlineStr">
        <is>
          <t>MX</t>
        </is>
      </c>
      <c r="D116" s="114" t="n">
        <v>7006.27</v>
      </c>
      <c r="E116" s="40">
        <f>D116/1.16</f>
        <v/>
      </c>
      <c r="F116" s="114">
        <f>D116/J116</f>
        <v/>
      </c>
      <c r="G116" s="40">
        <f>F116/1.16</f>
        <v/>
      </c>
      <c r="H116" s="114" t="n">
        <v>0</v>
      </c>
      <c r="I116" s="115" t="n">
        <v>5.01</v>
      </c>
      <c r="J116" s="89">
        <f>LET(dec, I116-INT(I116), IF(dec&lt;0.1, INT(I116), IF(dec&lt;=0.7, INT(I116)+0.5, INT(I116)+1)))</f>
        <v/>
      </c>
      <c r="K116" s="116" t="n">
        <v>46276</v>
      </c>
      <c r="L116" s="91" t="inlineStr">
        <is>
          <t>Ari</t>
        </is>
      </c>
      <c r="M116" s="96" t="n"/>
      <c r="N116" s="91" t="n"/>
    </row>
    <row r="117">
      <c r="A117" s="96" t="inlineStr">
        <is>
          <t>7685886811278543637</t>
        </is>
      </c>
      <c r="B117" s="96" t="inlineStr">
        <is>
          <t>reyes_del_wellness</t>
        </is>
      </c>
      <c r="C117" s="89" t="inlineStr">
        <is>
          <t>MX</t>
        </is>
      </c>
      <c r="D117" s="114" t="n">
        <v>3691.3</v>
      </c>
      <c r="E117" s="40">
        <f>D117/1.16</f>
        <v/>
      </c>
      <c r="F117" s="114">
        <f>D117/J117</f>
        <v/>
      </c>
      <c r="G117" s="40">
        <f>F117/1.16</f>
        <v/>
      </c>
      <c r="H117" s="114" t="n">
        <v>0</v>
      </c>
      <c r="I117" s="115" t="n">
        <v>3</v>
      </c>
      <c r="J117" s="89">
        <f>LET(dec, I117-INT(I117), IF(dec&lt;0.1, INT(I117), IF(dec&lt;=0.7, INT(I117)+0.5, INT(I117)+1)))</f>
        <v/>
      </c>
      <c r="K117" s="116" t="n">
        <v>46278</v>
      </c>
      <c r="L117" s="91" t="inlineStr">
        <is>
          <t>Ari</t>
        </is>
      </c>
      <c r="M117" s="96" t="n"/>
      <c r="N117" s="91" t="n"/>
    </row>
    <row r="118">
      <c r="A118" s="96" t="inlineStr">
        <is>
          <t>7686642851446917909</t>
        </is>
      </c>
      <c r="B118" s="96" t="inlineStr">
        <is>
          <t>reyes_del_wellness</t>
        </is>
      </c>
      <c r="C118" s="89" t="inlineStr">
        <is>
          <t>MX</t>
        </is>
      </c>
      <c r="D118" s="114" t="n">
        <v>10340.81</v>
      </c>
      <c r="E118" s="40">
        <f>D118/1.16</f>
        <v/>
      </c>
      <c r="F118" s="114">
        <f>D118/J118</f>
        <v/>
      </c>
      <c r="G118" s="40">
        <f>F118/1.16</f>
        <v/>
      </c>
      <c r="H118" s="114" t="n">
        <v>0</v>
      </c>
      <c r="I118" s="115" t="n">
        <v>5.14</v>
      </c>
      <c r="J118" s="89">
        <f>LET(dec, I118-INT(I118), IF(dec&lt;0.1, INT(I118), IF(dec&lt;=0.7, INT(I118)+0.5, INT(I118)+1)))</f>
        <v/>
      </c>
      <c r="K118" s="116" t="n">
        <v>46280</v>
      </c>
      <c r="L118" s="91" t="inlineStr">
        <is>
          <t>Ari</t>
        </is>
      </c>
      <c r="M118" s="96" t="n"/>
      <c r="N118" s="91" t="n"/>
    </row>
    <row r="119">
      <c r="A119" s="96" t="inlineStr">
        <is>
          <t>7687014115650325269</t>
        </is>
      </c>
      <c r="B119" s="96" t="inlineStr">
        <is>
          <t>reyes_del_wellness</t>
        </is>
      </c>
      <c r="C119" s="89" t="inlineStr">
        <is>
          <t>MX</t>
        </is>
      </c>
      <c r="D119" s="114" t="n">
        <v>14050.41</v>
      </c>
      <c r="E119" s="40">
        <f>D119/1.16</f>
        <v/>
      </c>
      <c r="F119" s="114">
        <f>D119/J119</f>
        <v/>
      </c>
      <c r="G119" s="40">
        <f>F119/1.16</f>
        <v/>
      </c>
      <c r="H119" s="114" t="n">
        <v>0</v>
      </c>
      <c r="I119" s="115" t="n">
        <v>5.17</v>
      </c>
      <c r="J119" s="89">
        <f>LET(dec, I119-INT(I119), IF(dec&lt;0.1, INT(I119), IF(dec&lt;=0.7, INT(I119)+0.5, INT(I119)+1)))</f>
        <v/>
      </c>
      <c r="K119" s="116" t="n">
        <v>46282</v>
      </c>
      <c r="L119" s="91" t="inlineStr">
        <is>
          <t>Ari</t>
        </is>
      </c>
      <c r="M119" s="96" t="n"/>
      <c r="N119" s="91" t="n"/>
    </row>
    <row r="120">
      <c r="A120" s="96" t="inlineStr">
        <is>
          <t>7687297285207214868</t>
        </is>
      </c>
      <c r="B120" s="96" t="inlineStr">
        <is>
          <t>reyes_del_wellness</t>
        </is>
      </c>
      <c r="C120" s="89" t="inlineStr">
        <is>
          <t>MX</t>
        </is>
      </c>
      <c r="D120" s="114" t="n">
        <v>11984.82</v>
      </c>
      <c r="E120" s="40">
        <f>D120/1.16</f>
        <v/>
      </c>
      <c r="F120" s="114">
        <f>D120/J120</f>
        <v/>
      </c>
      <c r="G120" s="40">
        <f>F120/1.16</f>
        <v/>
      </c>
      <c r="H120" s="114" t="n">
        <v>0</v>
      </c>
      <c r="I120" s="115" t="n">
        <v>6.01</v>
      </c>
      <c r="J120" s="89">
        <f>LET(dec, I120-INT(I120), IF(dec&lt;0.1, INT(I120), IF(dec&lt;=0.7, INT(I120)+0.5, INT(I120)+1)))</f>
        <v/>
      </c>
      <c r="K120" s="116" t="n">
        <v>46283</v>
      </c>
      <c r="L120" s="91" t="inlineStr">
        <is>
          <t>Ari</t>
        </is>
      </c>
      <c r="M120" s="96" t="n"/>
      <c r="N120" s="91" t="n"/>
    </row>
    <row r="121">
      <c r="A121" s="96" t="inlineStr">
        <is>
          <t>7687744937802976021</t>
        </is>
      </c>
      <c r="B121" s="96" t="inlineStr">
        <is>
          <t>reyes_del_wellness</t>
        </is>
      </c>
      <c r="C121" s="89" t="inlineStr">
        <is>
          <t>MX</t>
        </is>
      </c>
      <c r="D121" s="114" t="n">
        <v>23543.06</v>
      </c>
      <c r="E121" s="40">
        <f>D121/1.16</f>
        <v/>
      </c>
      <c r="F121" s="114">
        <f>D121/J121</f>
        <v/>
      </c>
      <c r="G121" s="40">
        <f>F121/1.16</f>
        <v/>
      </c>
      <c r="H121" s="114" t="n">
        <v>0</v>
      </c>
      <c r="I121" s="115" t="n">
        <v>6</v>
      </c>
      <c r="J121" s="89">
        <f>LET(dec, I121-INT(I121), IF(dec&lt;0.1, INT(I121), IF(dec&lt;=0.7, INT(I121)+0.5, INT(I121)+1)))</f>
        <v/>
      </c>
      <c r="K121" s="116" t="n">
        <v>46284</v>
      </c>
      <c r="L121" s="91" t="inlineStr">
        <is>
          <t>Ari</t>
        </is>
      </c>
      <c r="M121" s="96" t="n"/>
      <c r="N121" s="91" t="n"/>
    </row>
    <row r="122">
      <c r="A122" s="96" t="inlineStr">
        <is>
          <t>7688501985213565704</t>
        </is>
      </c>
      <c r="B122" s="96" t="inlineStr">
        <is>
          <t>reyes_del_wellness</t>
        </is>
      </c>
      <c r="C122" s="89" t="inlineStr">
        <is>
          <t>MX</t>
        </is>
      </c>
      <c r="D122" s="114" t="n">
        <v>10095.98</v>
      </c>
      <c r="E122" s="40">
        <f>D122/1.16</f>
        <v/>
      </c>
      <c r="F122" s="114">
        <f>D122/J122</f>
        <v/>
      </c>
      <c r="G122" s="40">
        <f>F122/1.16</f>
        <v/>
      </c>
      <c r="H122" s="114" t="n">
        <v>0</v>
      </c>
      <c r="I122" s="115" t="n">
        <v>5</v>
      </c>
      <c r="J122" s="89">
        <f>LET(dec, I122-INT(I122), IF(dec&lt;0.1, INT(I122), IF(dec&lt;=0.7, INT(I122)+0.5, INT(I122)+1)))</f>
        <v/>
      </c>
      <c r="K122" s="116" t="n">
        <v>46285</v>
      </c>
      <c r="L122" s="91" t="inlineStr">
        <is>
          <t>Ari</t>
        </is>
      </c>
      <c r="M122" s="96" t="n"/>
      <c r="N122" s="91" t="n"/>
    </row>
    <row r="123">
      <c r="A123" s="96" t="inlineStr">
        <is>
          <t>7688811585146587911</t>
        </is>
      </c>
      <c r="B123" s="96" t="inlineStr">
        <is>
          <t>reyes_del_wellness</t>
        </is>
      </c>
      <c r="C123" s="89" t="inlineStr">
        <is>
          <t>MX</t>
        </is>
      </c>
      <c r="D123" s="114" t="n">
        <v>8276.91</v>
      </c>
      <c r="E123" s="40">
        <f>D123/1.16</f>
        <v/>
      </c>
      <c r="F123" s="114">
        <f>D123/J123</f>
        <v/>
      </c>
      <c r="G123" s="40">
        <f>F123/1.16</f>
        <v/>
      </c>
      <c r="H123" s="114" t="n">
        <v>0</v>
      </c>
      <c r="I123" s="115" t="n">
        <v>4.05</v>
      </c>
      <c r="J123" s="89">
        <f>LET(dec, I123-INT(I123), IF(dec&lt;0.1, INT(I123), IF(dec&lt;=0.7, INT(I123)+0.5, INT(I123)+1)))</f>
        <v/>
      </c>
      <c r="K123" s="116" t="n">
        <v>46287</v>
      </c>
      <c r="L123" s="91" t="inlineStr">
        <is>
          <t>Ari</t>
        </is>
      </c>
      <c r="M123" s="96" t="n"/>
      <c r="N123" s="91" t="n"/>
    </row>
    <row r="124">
      <c r="A124" s="96" t="inlineStr">
        <is>
          <t>7689244357471243015</t>
        </is>
      </c>
      <c r="B124" s="96" t="inlineStr">
        <is>
          <t>reyes_del_wellness</t>
        </is>
      </c>
      <c r="C124" s="89" t="inlineStr">
        <is>
          <t>MX</t>
        </is>
      </c>
      <c r="D124" s="114" t="n">
        <v>11400</v>
      </c>
      <c r="E124" s="40">
        <f>D124/1.16</f>
        <v/>
      </c>
      <c r="F124" s="114">
        <f>D124/J124</f>
        <v/>
      </c>
      <c r="G124" s="40">
        <f>F124/1.16</f>
        <v/>
      </c>
      <c r="H124" s="114" t="n">
        <v>0</v>
      </c>
      <c r="I124" s="115" t="n">
        <v>5</v>
      </c>
      <c r="J124" s="89">
        <f>LET(dec, I124-INT(I124), IF(dec&lt;0.1, INT(I124), IF(dec&lt;=0.7, INT(I124)+0.5, INT(I124)+1)))</f>
        <v/>
      </c>
      <c r="K124" s="116" t="n">
        <v>46288</v>
      </c>
      <c r="L124" s="91" t="inlineStr">
        <is>
          <t>Ari</t>
        </is>
      </c>
      <c r="M124" s="96" t="n"/>
      <c r="N124" s="91" t="n"/>
    </row>
    <row r="125">
      <c r="K125" s="84" t="n"/>
    </row>
    <row r="126">
      <c r="A126" s="7" t="inlineStr">
        <is>
          <t>Room ID</t>
        </is>
      </c>
      <c r="B126" s="7" t="inlineStr">
        <is>
          <t>TT Handle</t>
        </is>
      </c>
      <c r="C126" s="7" t="inlineStr">
        <is>
          <t>Country</t>
        </is>
      </c>
      <c r="D126" s="7" t="inlineStr">
        <is>
          <t>GMV</t>
        </is>
      </c>
      <c r="E126" s="7" t="inlineStr">
        <is>
          <t>GMV/sin EVA</t>
        </is>
      </c>
      <c r="F126" s="7" t="inlineStr">
        <is>
          <t>GMV PER HOUR</t>
        </is>
      </c>
      <c r="G126" s="7" t="inlineStr">
        <is>
          <t>GMV PER HOUR/sin EVA</t>
        </is>
      </c>
      <c r="H126" s="7" t="inlineStr">
        <is>
          <t>Ads Cost</t>
        </is>
      </c>
      <c r="I126" s="7" t="inlineStr">
        <is>
          <t>Duration (H)</t>
        </is>
      </c>
      <c r="J126" s="28" t="inlineStr">
        <is>
          <t>Duration （Formula）</t>
        </is>
      </c>
      <c r="K126" s="58" t="inlineStr">
        <is>
          <t>Start date</t>
        </is>
      </c>
      <c r="L126" s="71" t="inlineStr">
        <is>
          <t>HOST1</t>
        </is>
      </c>
      <c r="M126" s="71" t="inlineStr">
        <is>
          <t xml:space="preserve">HOST 2 </t>
        </is>
      </c>
      <c r="N126" s="71" t="inlineStr">
        <is>
          <t>Operator</t>
        </is>
      </c>
    </row>
    <row r="127">
      <c r="A127" s="96" t="inlineStr">
        <is>
          <t>7691096560965290759</t>
        </is>
      </c>
      <c r="B127" s="96" t="inlineStr">
        <is>
          <t>reyes_del_wellness</t>
        </is>
      </c>
      <c r="C127" s="89" t="inlineStr">
        <is>
          <t>MX</t>
        </is>
      </c>
      <c r="D127" s="114" t="n">
        <v>12108.35</v>
      </c>
      <c r="E127" s="40">
        <f>D127/1.16</f>
        <v/>
      </c>
      <c r="F127" s="114">
        <f>IFERROR(D127/J127,0)</f>
        <v/>
      </c>
      <c r="G127" s="40">
        <f>F127/1.16</f>
        <v/>
      </c>
      <c r="H127" s="114" t="n"/>
      <c r="I127" s="115" t="n">
        <v>5.01</v>
      </c>
      <c r="J127" s="89">
        <f>IF(I127-INT(I127)&lt;0.1,INT(I127),IF(I127-INT(I127)&lt;=0.7,INT(I127)+0.5,INT(I127)+1))</f>
        <v/>
      </c>
      <c r="K127" s="116" t="n">
        <v>46294</v>
      </c>
      <c r="L127" s="91" t="inlineStr">
        <is>
          <t>ARI</t>
        </is>
      </c>
      <c r="M127" s="96" t="n"/>
      <c r="N127" s="91" t="inlineStr">
        <is>
          <t>ARI</t>
        </is>
      </c>
    </row>
    <row r="128">
      <c r="A128" s="96" t="inlineStr">
        <is>
          <t>7691425716067470098</t>
        </is>
      </c>
      <c r="B128" s="96" t="inlineStr">
        <is>
          <t>reyes_del_wellness</t>
        </is>
      </c>
      <c r="C128" s="89" t="inlineStr">
        <is>
          <t>MX</t>
        </is>
      </c>
      <c r="D128" s="114" t="n">
        <v>44916.03</v>
      </c>
      <c r="E128" s="40">
        <f>D128/1.16</f>
        <v/>
      </c>
      <c r="F128" s="114">
        <f>IFERROR(D128/J128,0)</f>
        <v/>
      </c>
      <c r="G128" s="40">
        <f>F128/1.16</f>
        <v/>
      </c>
      <c r="H128" s="114" t="n"/>
      <c r="I128" s="115" t="n">
        <v>8</v>
      </c>
      <c r="J128" s="89">
        <f>IF(I128-INT(I128)&lt;0.1,INT(I128),IF(I128-INT(I128)&lt;=0.7,INT(I128)+0.5,INT(I128)+1))</f>
        <v/>
      </c>
      <c r="K128" s="116" t="n">
        <v>46295</v>
      </c>
      <c r="L128" s="91" t="inlineStr">
        <is>
          <t>ARI</t>
        </is>
      </c>
      <c r="M128" s="96" t="n"/>
      <c r="N128" s="91" t="inlineStr">
        <is>
          <t>ARI</t>
        </is>
      </c>
    </row>
    <row r="129">
      <c r="A129" s="96" t="inlineStr">
        <is>
          <t>7691843188553779976</t>
        </is>
      </c>
      <c r="B129" s="96" t="inlineStr">
        <is>
          <t>reyes_del_wellness</t>
        </is>
      </c>
      <c r="C129" s="89" t="inlineStr">
        <is>
          <t>MX</t>
        </is>
      </c>
      <c r="D129" s="114" t="n">
        <v>8831.65</v>
      </c>
      <c r="E129" s="40">
        <f>D129/1.16</f>
        <v/>
      </c>
      <c r="F129" s="114">
        <f>IFERROR(D129/J129,0)</f>
        <v/>
      </c>
      <c r="G129" s="40">
        <f>F129/1.16</f>
        <v/>
      </c>
      <c r="H129" s="114" t="n"/>
      <c r="I129" s="115" t="n">
        <v>5</v>
      </c>
      <c r="J129" s="89">
        <f>IF(I129-INT(I129)&lt;0.1,INT(I129),IF(I129-INT(I129)&lt;=0.7,INT(I129)+0.5,INT(I129)+1))</f>
        <v/>
      </c>
      <c r="K129" s="116" t="n">
        <v>46296</v>
      </c>
      <c r="L129" s="91" t="inlineStr">
        <is>
          <t>ARI</t>
        </is>
      </c>
      <c r="M129" s="96" t="n"/>
      <c r="N129" s="91" t="inlineStr">
        <is>
          <t>ARI</t>
        </is>
      </c>
    </row>
    <row r="130">
      <c r="A130" s="96" t="inlineStr">
        <is>
          <t>7692910652440234770</t>
        </is>
      </c>
      <c r="B130" s="96" t="inlineStr">
        <is>
          <t>reyes_del_wellness</t>
        </is>
      </c>
      <c r="C130" s="89" t="inlineStr">
        <is>
          <t>MX</t>
        </is>
      </c>
      <c r="D130" s="114" t="n">
        <v>33602.49</v>
      </c>
      <c r="E130" s="40">
        <f>D130/1.16</f>
        <v/>
      </c>
      <c r="F130" s="114">
        <f>IFERROR(D130/J130,0)</f>
        <v/>
      </c>
      <c r="G130" s="40">
        <f>F130/1.16</f>
        <v/>
      </c>
      <c r="H130" s="114" t="n"/>
      <c r="I130" s="115" t="n">
        <v>8.1</v>
      </c>
      <c r="J130" s="89">
        <f>IF(I130-INT(I130)&lt;0.1,INT(I130),IF(I130-INT(I130)&lt;=0.7,INT(I130)+0.5,INT(I130)+1))</f>
        <v/>
      </c>
      <c r="K130" s="116" t="n">
        <v>46299</v>
      </c>
      <c r="L130" s="91" t="inlineStr">
        <is>
          <t>ARI</t>
        </is>
      </c>
      <c r="M130" s="96" t="n"/>
      <c r="N130" s="91" t="inlineStr">
        <is>
          <t>ARI</t>
        </is>
      </c>
    </row>
    <row r="131">
      <c r="A131" s="96" t="inlineStr">
        <is>
          <t>7693697539639364404</t>
        </is>
      </c>
      <c r="B131" s="96" t="inlineStr">
        <is>
          <t>reyes_del_wellness</t>
        </is>
      </c>
      <c r="C131" s="89" t="inlineStr">
        <is>
          <t>MX</t>
        </is>
      </c>
      <c r="D131" s="114" t="n">
        <v>4944.5</v>
      </c>
      <c r="E131" s="40">
        <f>D131/1.16</f>
        <v/>
      </c>
      <c r="F131" s="114">
        <f>IFERROR(D131/J131,0)</f>
        <v/>
      </c>
      <c r="G131" s="40">
        <f>F131/1.16</f>
        <v/>
      </c>
      <c r="H131" s="114" t="n"/>
      <c r="I131" s="115" t="n">
        <v>5.04</v>
      </c>
      <c r="J131" s="89">
        <f>IF(I131-INT(I131)&lt;0.1,INT(I131),IF(I131-INT(I131)&lt;=0.7,INT(I131)+0.5,INT(I131)+1))</f>
        <v/>
      </c>
      <c r="K131" s="116" t="n">
        <v>46301</v>
      </c>
      <c r="L131" s="91" t="inlineStr">
        <is>
          <t>ARI</t>
        </is>
      </c>
      <c r="M131" s="96" t="n"/>
      <c r="N131" s="91" t="inlineStr">
        <is>
          <t>ARI</t>
        </is>
      </c>
    </row>
    <row r="132">
      <c r="A132" s="96" t="inlineStr">
        <is>
          <t>7694007158559509254</t>
        </is>
      </c>
      <c r="B132" s="96" t="inlineStr">
        <is>
          <t>reyes_del_wellness</t>
        </is>
      </c>
      <c r="C132" s="89" t="inlineStr">
        <is>
          <t>MX</t>
        </is>
      </c>
      <c r="D132" s="114" t="n">
        <v>4058.58</v>
      </c>
      <c r="E132" s="40">
        <f>D132/1.16</f>
        <v/>
      </c>
      <c r="F132" s="114">
        <f>IFERROR(D132/J132,0)</f>
        <v/>
      </c>
      <c r="G132" s="40">
        <f>F132/1.16</f>
        <v/>
      </c>
      <c r="H132" s="114" t="n"/>
      <c r="I132" s="115" t="n">
        <v>4.01</v>
      </c>
      <c r="J132" s="89">
        <f>IF(I132-INT(I132)&lt;0.1,INT(I132),IF(I132-INT(I132)&lt;=0.7,INT(I132)+0.5,INT(I132)+1))</f>
        <v/>
      </c>
      <c r="K132" s="116" t="n">
        <v>46302</v>
      </c>
      <c r="L132" s="91" t="inlineStr">
        <is>
          <t>ARI</t>
        </is>
      </c>
      <c r="M132" s="96" t="n"/>
      <c r="N132" s="91" t="inlineStr">
        <is>
          <t>ARI</t>
        </is>
      </c>
    </row>
    <row r="133">
      <c r="A133" s="96" t="inlineStr">
        <is>
          <t>7694437950534863636</t>
        </is>
      </c>
      <c r="B133" s="96" t="inlineStr">
        <is>
          <t>reyes_del_wellness</t>
        </is>
      </c>
      <c r="C133" s="89" t="inlineStr">
        <is>
          <t>MX</t>
        </is>
      </c>
      <c r="D133" s="114" t="n">
        <v>0</v>
      </c>
      <c r="E133" s="40">
        <f>D133/1.16</f>
        <v/>
      </c>
      <c r="F133" s="114">
        <f>IFERROR(D133/J133,0)</f>
        <v/>
      </c>
      <c r="G133" s="40">
        <f>F133/1.16</f>
        <v/>
      </c>
      <c r="H133" s="114" t="n"/>
      <c r="I133" s="115" t="n">
        <v>0.02</v>
      </c>
      <c r="J133" s="89">
        <f>IF(I133-INT(I133)&lt;0.1,INT(I133),IF(I133-INT(I133)&lt;=0.7,INT(I133)+0.5,INT(I133)+1))</f>
        <v/>
      </c>
      <c r="K133" s="116" t="n">
        <v>46303</v>
      </c>
      <c r="L133" s="91" t="inlineStr">
        <is>
          <t>ARI</t>
        </is>
      </c>
      <c r="M133" s="96" t="n"/>
      <c r="N133" s="91" t="inlineStr">
        <is>
          <t>ARI</t>
        </is>
      </c>
    </row>
    <row r="134">
      <c r="A134" s="96" t="inlineStr">
        <is>
          <t>7694438462734027540</t>
        </is>
      </c>
      <c r="B134" s="96" t="inlineStr">
        <is>
          <t>reyes_del_wellness</t>
        </is>
      </c>
      <c r="C134" s="89" t="inlineStr">
        <is>
          <t>MX</t>
        </is>
      </c>
      <c r="D134" s="114" t="n">
        <v>8804.040000000001</v>
      </c>
      <c r="E134" s="40">
        <f>D134/1.16</f>
        <v/>
      </c>
      <c r="F134" s="114">
        <f>IFERROR(D134/J134,0)</f>
        <v/>
      </c>
      <c r="G134" s="40">
        <f>F134/1.16</f>
        <v/>
      </c>
      <c r="H134" s="114" t="n"/>
      <c r="I134" s="115" t="n">
        <v>5.07</v>
      </c>
      <c r="J134" s="89">
        <f>IF(I134-INT(I134)&lt;0.1,INT(I134),IF(I134-INT(I134)&lt;=0.7,INT(I134)+0.5,INT(I134)+1))</f>
        <v/>
      </c>
      <c r="K134" s="116" t="n">
        <v>46303</v>
      </c>
      <c r="L134" s="91" t="inlineStr">
        <is>
          <t>ARI</t>
        </is>
      </c>
      <c r="M134" s="96" t="n"/>
      <c r="N134" s="91" t="inlineStr">
        <is>
          <t>ARI</t>
        </is>
      </c>
    </row>
    <row r="135">
      <c r="A135" s="96" t="inlineStr">
        <is>
          <t>7694810521497815828</t>
        </is>
      </c>
      <c r="B135" s="96" t="inlineStr">
        <is>
          <t>reyes_del_wellness</t>
        </is>
      </c>
      <c r="C135" s="89" t="inlineStr">
        <is>
          <t>MX</t>
        </is>
      </c>
      <c r="D135" s="114" t="n">
        <v>7608.94</v>
      </c>
      <c r="E135" s="40">
        <f>D135/1.16</f>
        <v/>
      </c>
      <c r="F135" s="114">
        <f>IFERROR(D135/J135,0)</f>
        <v/>
      </c>
      <c r="G135" s="40">
        <f>F135/1.16</f>
        <v/>
      </c>
      <c r="H135" s="114" t="n"/>
      <c r="I135" s="115" t="n">
        <v>5.18</v>
      </c>
      <c r="J135" s="89">
        <f>IF(I135-INT(I135)&lt;0.1,INT(I135),IF(I135-INT(I135)&lt;=0.7,INT(I135)+0.5,INT(I135)+1))</f>
        <v/>
      </c>
      <c r="K135" s="116" t="n">
        <v>46304</v>
      </c>
      <c r="L135" s="91" t="inlineStr">
        <is>
          <t>ARI</t>
        </is>
      </c>
      <c r="M135" s="96" t="n"/>
      <c r="N135" s="91" t="inlineStr">
        <is>
          <t>ARI</t>
        </is>
      </c>
    </row>
    <row r="136">
      <c r="A136" s="96" t="inlineStr">
        <is>
          <t>7696292217263966994</t>
        </is>
      </c>
      <c r="B136" s="96" t="inlineStr">
        <is>
          <t>reyes_del_wellness</t>
        </is>
      </c>
      <c r="C136" s="89" t="inlineStr">
        <is>
          <t>MX</t>
        </is>
      </c>
      <c r="D136" s="114" t="n">
        <v>8772.5</v>
      </c>
      <c r="E136" s="40">
        <f>D136/1.16</f>
        <v/>
      </c>
      <c r="F136" s="114">
        <f>IFERROR(D136/J136,0)</f>
        <v/>
      </c>
      <c r="G136" s="40">
        <f>F136/1.16</f>
        <v/>
      </c>
      <c r="H136" s="114" t="n"/>
      <c r="I136" s="115" t="n">
        <v>5.01</v>
      </c>
      <c r="J136" s="89">
        <f>IF(I136-INT(I136)&lt;0.1,INT(I136),IF(I136-INT(I136)&lt;=0.7,INT(I136)+0.5,INT(I136)+1))</f>
        <v/>
      </c>
      <c r="K136" s="116" t="n">
        <v>46308</v>
      </c>
      <c r="L136" s="91" t="inlineStr">
        <is>
          <t>ARI</t>
        </is>
      </c>
      <c r="M136" s="96" t="n"/>
      <c r="N136" s="91" t="inlineStr">
        <is>
          <t>ARI</t>
        </is>
      </c>
    </row>
    <row r="137">
      <c r="A137" s="96" t="inlineStr">
        <is>
          <t>7696605942363818759</t>
        </is>
      </c>
      <c r="B137" s="96" t="inlineStr">
        <is>
          <t>reyes_del_wellness</t>
        </is>
      </c>
      <c r="C137" s="89" t="inlineStr">
        <is>
          <t>MX</t>
        </is>
      </c>
      <c r="D137" s="114" t="n">
        <v>9791.190000000001</v>
      </c>
      <c r="E137" s="40">
        <f>D137/1.16</f>
        <v/>
      </c>
      <c r="F137" s="114">
        <f>IFERROR(D137/J137,0)</f>
        <v/>
      </c>
      <c r="G137" s="40">
        <f>F137/1.16</f>
        <v/>
      </c>
      <c r="H137" s="114" t="n"/>
      <c r="I137" s="115" t="n">
        <v>4.01</v>
      </c>
      <c r="J137" s="89">
        <f>IF(I137-INT(I137)&lt;0.1,INT(I137),IF(I137-INT(I137)&lt;=0.7,INT(I137)+0.5,INT(I137)+1))</f>
        <v/>
      </c>
      <c r="K137" s="116" t="n">
        <v>46309</v>
      </c>
      <c r="L137" s="91" t="inlineStr">
        <is>
          <t>ARI</t>
        </is>
      </c>
      <c r="M137" s="96" t="n"/>
      <c r="N137" s="91" t="inlineStr">
        <is>
          <t>ARI</t>
        </is>
      </c>
    </row>
    <row r="138">
      <c r="A138" s="96" t="inlineStr">
        <is>
          <t>7697016758195981074</t>
        </is>
      </c>
      <c r="B138" s="96" t="inlineStr">
        <is>
          <t>reyes_del_wellness</t>
        </is>
      </c>
      <c r="C138" s="89" t="inlineStr">
        <is>
          <t>MX</t>
        </is>
      </c>
      <c r="D138" s="114" t="n">
        <v>12110.05</v>
      </c>
      <c r="E138" s="40">
        <f>D138/1.16</f>
        <v/>
      </c>
      <c r="F138" s="114">
        <f>IFERROR(D138/J138,0)</f>
        <v/>
      </c>
      <c r="G138" s="40">
        <f>F138/1.16</f>
        <v/>
      </c>
      <c r="H138" s="114" t="n"/>
      <c r="I138" s="115" t="n">
        <v>6.23</v>
      </c>
      <c r="J138" s="89">
        <f>IF(I138-INT(I138)&lt;0.1,INT(I138),IF(I138-INT(I138)&lt;=0.7,INT(I138)+0.5,INT(I138)+1))</f>
        <v/>
      </c>
      <c r="K138" s="116" t="n">
        <v>46310</v>
      </c>
      <c r="L138" s="91" t="inlineStr">
        <is>
          <t>ARI</t>
        </is>
      </c>
      <c r="M138" s="96" t="n"/>
      <c r="N138" s="91" t="inlineStr">
        <is>
          <t>ARI</t>
        </is>
      </c>
    </row>
    <row r="139">
      <c r="A139" s="96" t="inlineStr">
        <is>
          <t>7697361148626111252</t>
        </is>
      </c>
      <c r="B139" s="96" t="inlineStr">
        <is>
          <t>reyes_del_wellness</t>
        </is>
      </c>
      <c r="C139" s="89" t="inlineStr">
        <is>
          <t>MX</t>
        </is>
      </c>
      <c r="D139" s="114" t="n">
        <v>6280.57</v>
      </c>
      <c r="E139" s="40">
        <f>D139/1.16</f>
        <v/>
      </c>
      <c r="F139" s="114">
        <f>IFERROR(D139/J139,0)</f>
        <v/>
      </c>
      <c r="G139" s="40">
        <f>F139/1.16</f>
        <v/>
      </c>
      <c r="H139" s="114" t="n"/>
      <c r="I139" s="115" t="n">
        <v>4.82</v>
      </c>
      <c r="J139" s="89">
        <f>IF(I139-INT(I139)&lt;0.1,INT(I139),IF(I139-INT(I139)&lt;=0.7,INT(I139)+0.5,INT(I139)+1))</f>
        <v/>
      </c>
      <c r="K139" s="116" t="n">
        <v>46311</v>
      </c>
      <c r="L139" s="91" t="inlineStr">
        <is>
          <t>ARI</t>
        </is>
      </c>
      <c r="M139" s="96" t="n"/>
      <c r="N139" s="91" t="inlineStr">
        <is>
          <t>ARI</t>
        </is>
      </c>
    </row>
    <row r="140">
      <c r="A140" s="96" t="inlineStr">
        <is>
          <t>7697740463360559924</t>
        </is>
      </c>
      <c r="B140" s="96" t="inlineStr">
        <is>
          <t>reyes_del_wellness</t>
        </is>
      </c>
      <c r="C140" s="89" t="inlineStr">
        <is>
          <t>MX</t>
        </is>
      </c>
      <c r="D140" s="114" t="n">
        <v>8635.51</v>
      </c>
      <c r="E140" s="40">
        <f>D140/1.16</f>
        <v/>
      </c>
      <c r="F140" s="114">
        <f>IFERROR(D140/J140,0)</f>
        <v/>
      </c>
      <c r="G140" s="40">
        <f>F140/1.16</f>
        <v/>
      </c>
      <c r="H140" s="114" t="n"/>
      <c r="I140" s="115" t="n">
        <v>7.04</v>
      </c>
      <c r="J140" s="89">
        <f>IF(I140-INT(I140)&lt;0.1,INT(I140),IF(I140-INT(I140)&lt;=0.7,INT(I140)+0.5,INT(I140)+1))</f>
        <v/>
      </c>
      <c r="K140" s="116" t="n">
        <v>46312</v>
      </c>
      <c r="L140" s="91" t="inlineStr">
        <is>
          <t>ARI</t>
        </is>
      </c>
      <c r="M140" s="96" t="n"/>
      <c r="N140" s="91" t="inlineStr">
        <is>
          <t>ARI</t>
        </is>
      </c>
    </row>
    <row r="141">
      <c r="A141" s="96" t="inlineStr">
        <is>
          <t>7698480277735115527</t>
        </is>
      </c>
      <c r="B141" s="96" t="inlineStr">
        <is>
          <t>reyes_del_wellness</t>
        </is>
      </c>
      <c r="C141" s="89" t="inlineStr">
        <is>
          <t>MX</t>
        </is>
      </c>
      <c r="D141" s="114" t="n">
        <v>13296.24</v>
      </c>
      <c r="E141" s="40">
        <f>D141/1.16</f>
        <v/>
      </c>
      <c r="F141" s="114">
        <f>IFERROR(D141/J141,0)</f>
        <v/>
      </c>
      <c r="G141" s="40">
        <f>F141/1.16</f>
        <v/>
      </c>
      <c r="H141" s="114" t="n"/>
      <c r="I141" s="115" t="n">
        <v>7.48</v>
      </c>
      <c r="J141" s="89">
        <f>IF(I141-INT(I141)&lt;0.1,INT(I141),IF(I141-INT(I141)&lt;=0.7,INT(I141)+0.5,INT(I141)+1))</f>
        <v/>
      </c>
      <c r="K141" s="116" t="n">
        <v>46314</v>
      </c>
      <c r="L141" s="91" t="inlineStr">
        <is>
          <t>ARI</t>
        </is>
      </c>
      <c r="M141" s="96" t="n"/>
      <c r="N141" s="91" t="inlineStr">
        <is>
          <t>ARI</t>
        </is>
      </c>
    </row>
    <row r="142">
      <c r="A142" s="96" t="inlineStr">
        <is>
          <t>7698910113281329928</t>
        </is>
      </c>
      <c r="B142" s="96" t="inlineStr">
        <is>
          <t>reyes_del_wellness</t>
        </is>
      </c>
      <c r="C142" s="89" t="inlineStr">
        <is>
          <t>MX</t>
        </is>
      </c>
      <c r="D142" s="114" t="n">
        <v>6535.75</v>
      </c>
      <c r="E142" s="40">
        <f>D142/1.16</f>
        <v/>
      </c>
      <c r="F142" s="114">
        <f>IFERROR(D142/J142,0)</f>
        <v/>
      </c>
      <c r="G142" s="40">
        <f>F142/1.16</f>
        <v/>
      </c>
      <c r="H142" s="114" t="n"/>
      <c r="I142" s="115" t="n">
        <v>4.11</v>
      </c>
      <c r="J142" s="89">
        <f>IF(I142-INT(I142)&lt;0.1,INT(I142),IF(I142-INT(I142)&lt;=0.7,INT(I142)+0.5,INT(I142)+1))</f>
        <v/>
      </c>
      <c r="K142" s="116" t="n">
        <v>46315</v>
      </c>
      <c r="L142" s="91" t="inlineStr">
        <is>
          <t>ARI</t>
        </is>
      </c>
      <c r="M142" s="96" t="n"/>
      <c r="N142" s="91" t="inlineStr">
        <is>
          <t>ARI</t>
        </is>
      </c>
    </row>
    <row r="143">
      <c r="A143" s="96" t="inlineStr">
        <is>
          <t>7699197902769474324</t>
        </is>
      </c>
      <c r="B143" s="96" t="inlineStr">
        <is>
          <t>reyes_del_wellness</t>
        </is>
      </c>
      <c r="C143" s="89" t="inlineStr">
        <is>
          <t>MX</t>
        </is>
      </c>
      <c r="D143" s="114" t="n">
        <v>5093.8</v>
      </c>
      <c r="E143" s="40">
        <f>D143/1.16</f>
        <v/>
      </c>
      <c r="F143" s="114">
        <f>IFERROR(D143/J143,0)</f>
        <v/>
      </c>
      <c r="G143" s="40">
        <f>F143/1.16</f>
        <v/>
      </c>
      <c r="H143" s="114" t="n"/>
      <c r="I143" s="115" t="n">
        <v>4.03</v>
      </c>
      <c r="J143" s="89">
        <f>IF(I143-INT(I143)&lt;0.1,INT(I143),IF(I143-INT(I143)&lt;=0.7,INT(I143)+0.5,INT(I143)+1))</f>
        <v/>
      </c>
      <c r="K143" s="116" t="n">
        <v>46316</v>
      </c>
      <c r="L143" s="91" t="inlineStr">
        <is>
          <t>ARI</t>
        </is>
      </c>
      <c r="M143" s="96" t="n"/>
      <c r="N143" s="91" t="inlineStr">
        <is>
          <t>ARI</t>
        </is>
      </c>
    </row>
    <row r="144">
      <c r="A144" s="96" t="inlineStr">
        <is>
          <t>7699634079176280850</t>
        </is>
      </c>
      <c r="B144" s="96" t="inlineStr">
        <is>
          <t>reyes_del_wellness</t>
        </is>
      </c>
      <c r="C144" s="89" t="inlineStr">
        <is>
          <t>MX</t>
        </is>
      </c>
      <c r="D144" s="114" t="n">
        <v>3913.93</v>
      </c>
      <c r="E144" s="40">
        <f>D144/1.16</f>
        <v/>
      </c>
      <c r="F144" s="114">
        <f>IFERROR(D144/J144,0)</f>
        <v/>
      </c>
      <c r="G144" s="40">
        <f>F144/1.16</f>
        <v/>
      </c>
      <c r="H144" s="114" t="n"/>
      <c r="I144" s="115" t="n">
        <v>5</v>
      </c>
      <c r="J144" s="89">
        <f>IF(I144-INT(I144)&lt;0.1,INT(I144),IF(I144-INT(I144)&lt;=0.7,INT(I144)+0.5,INT(I144)+1))</f>
        <v/>
      </c>
      <c r="K144" s="116" t="n">
        <v>46317</v>
      </c>
      <c r="L144" s="91" t="inlineStr">
        <is>
          <t>ARI</t>
        </is>
      </c>
      <c r="M144" s="96" t="n"/>
      <c r="N144" s="91" t="inlineStr">
        <is>
          <t>ARI</t>
        </is>
      </c>
    </row>
    <row r="145">
      <c r="A145" s="96" t="inlineStr">
        <is>
          <t>7700001773859343112</t>
        </is>
      </c>
      <c r="B145" s="96" t="inlineStr">
        <is>
          <t>reyes_del_wellness</t>
        </is>
      </c>
      <c r="C145" s="89" t="inlineStr">
        <is>
          <t>MX</t>
        </is>
      </c>
      <c r="D145" s="114" t="n">
        <v>7577.33</v>
      </c>
      <c r="E145" s="40">
        <f>D145/1.16</f>
        <v/>
      </c>
      <c r="F145" s="114">
        <f>IFERROR(D145/J145,0)</f>
        <v/>
      </c>
      <c r="G145" s="40">
        <f>F145/1.16</f>
        <v/>
      </c>
      <c r="H145" s="114" t="n"/>
      <c r="I145" s="115" t="n">
        <v>5.01</v>
      </c>
      <c r="J145" s="89">
        <f>IF(I145-INT(I145)&lt;0.1,INT(I145),IF(I145-INT(I145)&lt;=0.7,INT(I145)+0.5,INT(I145)+1))</f>
        <v/>
      </c>
      <c r="K145" s="116" t="n">
        <v>46318</v>
      </c>
      <c r="L145" s="91" t="inlineStr">
        <is>
          <t>ARI</t>
        </is>
      </c>
      <c r="M145" s="96" t="n"/>
      <c r="N145" s="91" t="inlineStr">
        <is>
          <t>ARI</t>
        </is>
      </c>
    </row>
    <row r="146">
      <c r="A146" s="96" t="inlineStr">
        <is>
          <t>7701066875673692929</t>
        </is>
      </c>
      <c r="B146" s="96" t="inlineStr">
        <is>
          <t>reyes_del_wellness</t>
        </is>
      </c>
      <c r="C146" s="89" t="inlineStr">
        <is>
          <t>MX</t>
        </is>
      </c>
      <c r="D146" s="114" t="n">
        <v>0</v>
      </c>
      <c r="E146" s="40">
        <f>D146/1.16</f>
        <v/>
      </c>
      <c r="F146" s="114">
        <f>IFERROR(D146/J146,0)</f>
        <v/>
      </c>
      <c r="G146" s="40">
        <f>F146/1.16</f>
        <v/>
      </c>
      <c r="H146" s="114" t="n"/>
      <c r="I146" s="115" t="n">
        <v>0.02</v>
      </c>
      <c r="J146" s="89">
        <f>IF(I146-INT(I146)&lt;0.1,INT(I146),IF(I146-INT(I146)&lt;=0.7,INT(I146)+0.5,INT(I146)+1))</f>
        <v/>
      </c>
      <c r="K146" s="116" t="n">
        <v>46321</v>
      </c>
      <c r="L146" s="91" t="inlineStr">
        <is>
          <t>ARI</t>
        </is>
      </c>
      <c r="M146" s="96" t="n"/>
      <c r="N146" s="91" t="inlineStr">
        <is>
          <t>ARI</t>
        </is>
      </c>
    </row>
    <row r="147">
      <c r="A147" s="96" t="inlineStr">
        <is>
          <t>7701068586011036437</t>
        </is>
      </c>
      <c r="B147" s="96" t="inlineStr">
        <is>
          <t>reyes_del_wellness</t>
        </is>
      </c>
      <c r="C147" s="89" t="inlineStr">
        <is>
          <t>MX</t>
        </is>
      </c>
      <c r="D147" s="114" t="n">
        <v>0</v>
      </c>
      <c r="E147" s="40">
        <f>D147/1.16</f>
        <v/>
      </c>
      <c r="F147" s="114">
        <f>IFERROR(D147/J147,0)</f>
        <v/>
      </c>
      <c r="G147" s="40">
        <f>F147/1.16</f>
        <v/>
      </c>
      <c r="H147" s="114" t="n"/>
      <c r="I147" s="115" t="n">
        <v>0.02</v>
      </c>
      <c r="J147" s="89">
        <f>IF(I147-INT(I147)&lt;0.1,INT(I147),IF(I147-INT(I147)&lt;=0.7,INT(I147)+0.5,INT(I147)+1))</f>
        <v/>
      </c>
      <c r="K147" s="116" t="n">
        <v>46321</v>
      </c>
      <c r="L147" s="91" t="inlineStr">
        <is>
          <t>ARI</t>
        </is>
      </c>
      <c r="M147" s="96" t="n"/>
      <c r="N147" s="91" t="inlineStr">
        <is>
          <t>ARI</t>
        </is>
      </c>
    </row>
    <row r="148">
      <c r="A148" s="96" t="inlineStr">
        <is>
          <t>7701069928354433813</t>
        </is>
      </c>
      <c r="B148" s="96" t="inlineStr">
        <is>
          <t>reyes_del_wellness</t>
        </is>
      </c>
      <c r="C148" s="89" t="inlineStr">
        <is>
          <t>MX</t>
        </is>
      </c>
      <c r="D148" s="114" t="n">
        <v>0</v>
      </c>
      <c r="E148" s="40">
        <f>D148/1.16</f>
        <v/>
      </c>
      <c r="F148" s="114">
        <f>IFERROR(D148/J148,0)</f>
        <v/>
      </c>
      <c r="G148" s="40">
        <f>F148/1.16</f>
        <v/>
      </c>
      <c r="H148" s="114" t="n"/>
      <c r="I148" s="115" t="n">
        <v>0.06</v>
      </c>
      <c r="J148" s="89">
        <f>IF(I148-INT(I148)&lt;0.1,INT(I148),IF(I148-INT(I148)&lt;=0.7,INT(I148)+0.5,INT(I148)+1))</f>
        <v/>
      </c>
      <c r="K148" s="116" t="n">
        <v>46321</v>
      </c>
      <c r="L148" s="91" t="inlineStr">
        <is>
          <t>ARI</t>
        </is>
      </c>
      <c r="M148" s="96" t="n"/>
      <c r="N148" s="91" t="inlineStr">
        <is>
          <t>ARI</t>
        </is>
      </c>
    </row>
    <row r="149">
      <c r="K149" s="84" t="n"/>
    </row>
    <row r="150">
      <c r="K150" s="84" t="n"/>
    </row>
    <row r="151">
      <c r="K151" s="84" t="n"/>
    </row>
    <row r="152">
      <c r="K152" s="84" t="n"/>
    </row>
    <row r="153">
      <c r="K153" s="84" t="n"/>
    </row>
    <row r="154">
      <c r="K154" s="84" t="n"/>
    </row>
    <row r="155">
      <c r="K155" s="84" t="n"/>
    </row>
    <row r="156">
      <c r="K156" s="84" t="n"/>
    </row>
    <row r="157">
      <c r="K157" s="84" t="n"/>
    </row>
    <row r="158">
      <c r="K158" s="84" t="n"/>
    </row>
    <row r="159">
      <c r="K159" s="84" t="n"/>
    </row>
    <row r="160">
      <c r="K160" s="84" t="n"/>
    </row>
    <row r="161">
      <c r="K161" s="84" t="n"/>
    </row>
    <row r="162">
      <c r="K162" s="84" t="n"/>
    </row>
    <row r="163">
      <c r="K163" s="84" t="n"/>
    </row>
    <row r="164">
      <c r="K164" s="84" t="n"/>
    </row>
    <row r="165">
      <c r="K165" s="84" t="n"/>
    </row>
    <row r="166">
      <c r="K166" s="84" t="n"/>
    </row>
    <row r="167">
      <c r="K167" s="84" t="n"/>
    </row>
    <row r="168">
      <c r="K168" s="84" t="n"/>
    </row>
    <row r="169">
      <c r="K169" s="84" t="n"/>
    </row>
    <row r="170">
      <c r="K170" s="84" t="n"/>
    </row>
    <row r="171">
      <c r="K171" s="84" t="n"/>
    </row>
    <row r="172">
      <c r="K172" s="84" t="n"/>
    </row>
    <row r="173">
      <c r="K173" s="84" t="n"/>
    </row>
    <row r="174">
      <c r="K174" s="84" t="n"/>
    </row>
    <row r="175">
      <c r="K175" s="84" t="n"/>
    </row>
    <row r="176">
      <c r="K176" s="84" t="n"/>
    </row>
    <row r="177">
      <c r="K177" s="84" t="n"/>
    </row>
    <row r="178">
      <c r="K178" s="84" t="n"/>
    </row>
    <row r="179">
      <c r="K179" s="84" t="n"/>
    </row>
    <row r="180">
      <c r="K180" s="84" t="n"/>
    </row>
    <row r="181">
      <c r="K181" s="84" t="n"/>
    </row>
    <row r="182">
      <c r="K182" s="84" t="n"/>
    </row>
    <row r="183">
      <c r="K183" s="84" t="n"/>
    </row>
    <row r="184">
      <c r="K184" s="84" t="n"/>
    </row>
    <row r="185">
      <c r="K185" s="84" t="n"/>
    </row>
    <row r="186">
      <c r="K186" s="84" t="n"/>
    </row>
    <row r="187">
      <c r="K187" s="84" t="n"/>
    </row>
    <row r="188">
      <c r="K188" s="84" t="n"/>
    </row>
    <row r="189">
      <c r="K189" s="84" t="n"/>
    </row>
    <row r="190">
      <c r="K190" s="84" t="n"/>
    </row>
    <row r="191">
      <c r="K191" s="84" t="n"/>
    </row>
    <row r="192">
      <c r="K192" s="84" t="n"/>
    </row>
    <row r="193">
      <c r="K193" s="84" t="n"/>
    </row>
    <row r="194">
      <c r="K194" s="84" t="n"/>
    </row>
    <row r="195">
      <c r="K195" s="84" t="n"/>
    </row>
    <row r="196">
      <c r="K196" s="84" t="n"/>
    </row>
    <row r="197">
      <c r="K197" s="84" t="n"/>
    </row>
    <row r="198">
      <c r="K198" s="84" t="n"/>
    </row>
    <row r="199">
      <c r="K199" s="84" t="n"/>
    </row>
    <row r="200">
      <c r="K200" s="84" t="n"/>
    </row>
    <row r="201">
      <c r="K201" s="84" t="n"/>
    </row>
    <row r="202">
      <c r="K202" s="84" t="n"/>
    </row>
    <row r="203">
      <c r="K203" s="84" t="n"/>
    </row>
    <row r="204">
      <c r="K204" s="84" t="n"/>
    </row>
    <row r="205">
      <c r="K205" s="84" t="n"/>
    </row>
    <row r="206">
      <c r="K206" s="84" t="n"/>
    </row>
    <row r="207">
      <c r="K207" s="84" t="n"/>
    </row>
    <row r="208">
      <c r="K208" s="84" t="n"/>
    </row>
    <row r="209">
      <c r="K209" s="84" t="n"/>
    </row>
    <row r="210">
      <c r="K210" s="84" t="n"/>
    </row>
    <row r="211">
      <c r="K211" s="84" t="n"/>
    </row>
    <row r="212">
      <c r="K212" s="84" t="n"/>
    </row>
    <row r="213">
      <c r="K213" s="84" t="n"/>
    </row>
    <row r="214">
      <c r="K214" s="84" t="n"/>
    </row>
    <row r="215">
      <c r="K215" s="84" t="n"/>
    </row>
    <row r="216">
      <c r="K216" s="84" t="n"/>
    </row>
    <row r="217">
      <c r="K217" s="84" t="n"/>
    </row>
    <row r="218">
      <c r="K218" s="84" t="n"/>
    </row>
    <row r="219">
      <c r="K219" s="84" t="n"/>
    </row>
    <row r="220">
      <c r="K220" s="84" t="n"/>
    </row>
    <row r="221">
      <c r="K221" s="84" t="n"/>
    </row>
    <row r="222">
      <c r="K222" s="84" t="n"/>
    </row>
    <row r="223">
      <c r="K223" s="84" t="n"/>
    </row>
    <row r="224">
      <c r="K224" s="84" t="n"/>
    </row>
    <row r="225">
      <c r="K225" s="84" t="n"/>
    </row>
    <row r="226">
      <c r="K226" s="84" t="n"/>
    </row>
    <row r="227">
      <c r="K227" s="84" t="n"/>
    </row>
    <row r="228">
      <c r="K228" s="84" t="n"/>
    </row>
    <row r="229">
      <c r="K229" s="84" t="n"/>
    </row>
    <row r="230">
      <c r="K230" s="84" t="n"/>
    </row>
    <row r="231">
      <c r="K231" s="84" t="n"/>
    </row>
    <row r="232">
      <c r="K232" s="84" t="n"/>
    </row>
    <row r="233">
      <c r="K233" s="84" t="n"/>
    </row>
    <row r="234">
      <c r="K234" s="84" t="n"/>
    </row>
    <row r="235">
      <c r="K235" s="84" t="n"/>
    </row>
    <row r="236">
      <c r="K236" s="84" t="n"/>
    </row>
    <row r="237">
      <c r="K237" s="84" t="n"/>
    </row>
    <row r="238">
      <c r="K238" s="84" t="n"/>
    </row>
    <row r="239">
      <c r="K239" s="84" t="n"/>
    </row>
    <row r="240">
      <c r="K240" s="84" t="n"/>
    </row>
    <row r="241">
      <c r="K241" s="84" t="n"/>
    </row>
    <row r="242">
      <c r="K242" s="84" t="n"/>
    </row>
    <row r="243">
      <c r="K243" s="84" t="n"/>
    </row>
    <row r="244">
      <c r="K244" s="84" t="n"/>
    </row>
    <row r="245">
      <c r="K245" s="84" t="n"/>
    </row>
    <row r="246">
      <c r="K246" s="84" t="n"/>
    </row>
    <row r="247">
      <c r="K247" s="84" t="n"/>
    </row>
    <row r="248">
      <c r="K248" s="84" t="n"/>
    </row>
    <row r="249">
      <c r="K249" s="84" t="n"/>
    </row>
    <row r="250">
      <c r="K250" s="84" t="n"/>
    </row>
    <row r="251">
      <c r="K251" s="84" t="n"/>
    </row>
    <row r="252">
      <c r="K252" s="84" t="n"/>
    </row>
    <row r="253">
      <c r="K253" s="84" t="n"/>
    </row>
    <row r="254">
      <c r="K254" s="84" t="n"/>
    </row>
    <row r="255">
      <c r="K255" s="84" t="n"/>
    </row>
    <row r="256">
      <c r="K256" s="84" t="n"/>
    </row>
    <row r="257">
      <c r="K257" s="84" t="n"/>
    </row>
    <row r="258">
      <c r="K258" s="84" t="n"/>
    </row>
    <row r="259">
      <c r="K259" s="84" t="n"/>
    </row>
    <row r="260">
      <c r="K260" s="84" t="n"/>
    </row>
    <row r="261">
      <c r="K261" s="84" t="n"/>
    </row>
    <row r="262">
      <c r="K262" s="84" t="n"/>
    </row>
    <row r="263">
      <c r="K263" s="84" t="n"/>
    </row>
    <row r="264">
      <c r="K264" s="84" t="n"/>
    </row>
    <row r="265">
      <c r="K265" s="84" t="n"/>
    </row>
    <row r="266">
      <c r="K266" s="84" t="n"/>
    </row>
    <row r="267">
      <c r="K267" s="84" t="n"/>
    </row>
    <row r="268">
      <c r="K268" s="84" t="n"/>
    </row>
    <row r="269">
      <c r="K269" s="84" t="n"/>
    </row>
    <row r="270">
      <c r="K270" s="84" t="n"/>
    </row>
    <row r="271">
      <c r="K271" s="84" t="n"/>
    </row>
    <row r="272">
      <c r="K272" s="84" t="n"/>
    </row>
    <row r="273">
      <c r="K273" s="84" t="n"/>
    </row>
    <row r="274">
      <c r="K274" s="84" t="n"/>
    </row>
    <row r="275">
      <c r="K275" s="84" t="n"/>
    </row>
    <row r="276">
      <c r="K276" s="84" t="n"/>
    </row>
    <row r="277">
      <c r="K277" s="84" t="n"/>
    </row>
    <row r="278">
      <c r="K278" s="84" t="n"/>
    </row>
    <row r="279">
      <c r="K279" s="84" t="n"/>
    </row>
    <row r="280">
      <c r="K280" s="84" t="n"/>
    </row>
    <row r="281">
      <c r="K281" s="84" t="n"/>
    </row>
    <row r="282">
      <c r="K282" s="84" t="n"/>
    </row>
    <row r="283">
      <c r="K283" s="84" t="n"/>
    </row>
    <row r="284">
      <c r="K284" s="84" t="n"/>
    </row>
    <row r="285">
      <c r="K285" s="84" t="n"/>
    </row>
    <row r="286">
      <c r="K286" s="84" t="n"/>
    </row>
    <row r="287">
      <c r="K287" s="84" t="n"/>
    </row>
    <row r="288">
      <c r="K288" s="84" t="n"/>
    </row>
    <row r="289">
      <c r="K289" s="84" t="n"/>
    </row>
    <row r="290">
      <c r="K290" s="84" t="n"/>
    </row>
    <row r="291">
      <c r="K291" s="84" t="n"/>
    </row>
    <row r="292">
      <c r="K292" s="84" t="n"/>
    </row>
    <row r="293">
      <c r="K293" s="84" t="n"/>
    </row>
    <row r="294">
      <c r="K294" s="84" t="n"/>
    </row>
    <row r="295">
      <c r="K295" s="84" t="n"/>
    </row>
    <row r="296">
      <c r="K296" s="84" t="n"/>
    </row>
    <row r="297">
      <c r="K297" s="84" t="n"/>
    </row>
    <row r="298">
      <c r="K298" s="84" t="n"/>
    </row>
    <row r="299">
      <c r="K299" s="84" t="n"/>
    </row>
    <row r="300">
      <c r="K300" s="84" t="n"/>
    </row>
    <row r="301">
      <c r="K301" s="84" t="n"/>
    </row>
    <row r="302">
      <c r="K302" s="84" t="n"/>
    </row>
    <row r="303">
      <c r="K303" s="84" t="n"/>
    </row>
    <row r="304">
      <c r="K304" s="84" t="n"/>
    </row>
    <row r="305">
      <c r="K305" s="84" t="n"/>
    </row>
    <row r="306">
      <c r="K306" s="84" t="n"/>
    </row>
    <row r="307">
      <c r="K307" s="84" t="n"/>
    </row>
    <row r="308">
      <c r="K308" s="84" t="n"/>
    </row>
    <row r="309">
      <c r="K309" s="84" t="n"/>
    </row>
    <row r="310">
      <c r="K310" s="84" t="n"/>
    </row>
    <row r="311">
      <c r="K311" s="84" t="n"/>
    </row>
    <row r="312">
      <c r="K312" s="84" t="n"/>
    </row>
    <row r="313">
      <c r="K313" s="84" t="n"/>
    </row>
    <row r="314">
      <c r="K314" s="84" t="n"/>
    </row>
    <row r="315">
      <c r="K315" s="84" t="n"/>
    </row>
    <row r="316">
      <c r="K316" s="84" t="n"/>
    </row>
    <row r="317">
      <c r="K317" s="84" t="n"/>
    </row>
    <row r="318">
      <c r="K318" s="84" t="n"/>
    </row>
    <row r="319">
      <c r="K319" s="84" t="n"/>
    </row>
    <row r="320">
      <c r="K320" s="84" t="n"/>
    </row>
    <row r="321">
      <c r="K321" s="84" t="n"/>
    </row>
    <row r="322">
      <c r="K322" s="84" t="n"/>
    </row>
    <row r="323">
      <c r="K323" s="84" t="n"/>
    </row>
    <row r="324">
      <c r="K324" s="84" t="n"/>
    </row>
    <row r="325">
      <c r="K325" s="84" t="n"/>
    </row>
    <row r="326">
      <c r="K326" s="84" t="n"/>
    </row>
    <row r="327">
      <c r="K327" s="84" t="n"/>
    </row>
    <row r="328">
      <c r="K328" s="84" t="n"/>
    </row>
    <row r="329">
      <c r="K329" s="84" t="n"/>
    </row>
    <row r="330">
      <c r="K330" s="84" t="n"/>
    </row>
    <row r="331">
      <c r="K331" s="84" t="n"/>
    </row>
    <row r="332">
      <c r="K332" s="84" t="n"/>
    </row>
    <row r="333">
      <c r="K333" s="84" t="n"/>
    </row>
    <row r="334">
      <c r="K334" s="84" t="n"/>
    </row>
    <row r="335">
      <c r="K335" s="84" t="n"/>
    </row>
    <row r="336">
      <c r="K336" s="84" t="n"/>
    </row>
    <row r="337">
      <c r="K337" s="84" t="n"/>
    </row>
    <row r="338">
      <c r="K338" s="84" t="n"/>
    </row>
    <row r="339">
      <c r="K339" s="84" t="n"/>
    </row>
    <row r="340">
      <c r="K340" s="84" t="n"/>
    </row>
    <row r="341">
      <c r="K341" s="84" t="n"/>
    </row>
    <row r="342">
      <c r="K342" s="84" t="n"/>
    </row>
    <row r="343">
      <c r="K343" s="84" t="n"/>
    </row>
    <row r="344">
      <c r="K344" s="84" t="n"/>
    </row>
    <row r="345">
      <c r="K345" s="84" t="n"/>
    </row>
    <row r="346">
      <c r="K346" s="84" t="n"/>
    </row>
    <row r="347">
      <c r="K347" s="84" t="n"/>
    </row>
    <row r="348">
      <c r="K348" s="84" t="n"/>
    </row>
    <row r="349">
      <c r="K349" s="84" t="n"/>
    </row>
    <row r="350">
      <c r="K350" s="84" t="n"/>
    </row>
    <row r="351">
      <c r="K351" s="84" t="n"/>
    </row>
    <row r="352">
      <c r="K352" s="84" t="n"/>
    </row>
    <row r="353">
      <c r="K353" s="84" t="n"/>
    </row>
    <row r="354">
      <c r="K354" s="84" t="n"/>
    </row>
    <row r="355">
      <c r="K355" s="84" t="n"/>
    </row>
    <row r="356">
      <c r="K356" s="84" t="n"/>
    </row>
    <row r="357">
      <c r="K357" s="84" t="n"/>
    </row>
    <row r="358">
      <c r="K358" s="84" t="n"/>
    </row>
    <row r="359">
      <c r="K359" s="84" t="n"/>
    </row>
    <row r="360">
      <c r="K360" s="84" t="n"/>
    </row>
    <row r="361">
      <c r="K361" s="84" t="n"/>
    </row>
    <row r="362">
      <c r="K362" s="84" t="n"/>
    </row>
    <row r="363">
      <c r="K363" s="84" t="n"/>
    </row>
    <row r="364">
      <c r="K364" s="84" t="n"/>
    </row>
    <row r="365">
      <c r="K365" s="84" t="n"/>
    </row>
    <row r="366">
      <c r="K366" s="84" t="n"/>
    </row>
    <row r="367">
      <c r="K367" s="84" t="n"/>
    </row>
    <row r="368">
      <c r="K368" s="84" t="n"/>
    </row>
    <row r="369">
      <c r="K369" s="84" t="n"/>
    </row>
    <row r="370">
      <c r="K370" s="84" t="n"/>
    </row>
    <row r="371">
      <c r="K371" s="84" t="n"/>
    </row>
    <row r="372">
      <c r="K372" s="84" t="n"/>
    </row>
    <row r="373">
      <c r="K373" s="84" t="n"/>
    </row>
    <row r="374">
      <c r="K374" s="84" t="n"/>
    </row>
    <row r="375">
      <c r="K375" s="84" t="n"/>
    </row>
    <row r="376">
      <c r="K376" s="84" t="n"/>
    </row>
    <row r="377">
      <c r="K377" s="84" t="n"/>
    </row>
    <row r="378">
      <c r="K378" s="84" t="n"/>
    </row>
    <row r="379">
      <c r="K379" s="84" t="n"/>
    </row>
    <row r="380">
      <c r="K380" s="84" t="n"/>
    </row>
    <row r="381">
      <c r="K381" s="84" t="n"/>
    </row>
    <row r="382">
      <c r="K382" s="84" t="n"/>
    </row>
    <row r="383">
      <c r="K383" s="84" t="n"/>
    </row>
    <row r="384">
      <c r="K384" s="84" t="n"/>
    </row>
    <row r="385">
      <c r="K385" s="84" t="n"/>
    </row>
    <row r="386">
      <c r="K386" s="84" t="n"/>
    </row>
    <row r="387">
      <c r="K387" s="84" t="n"/>
    </row>
    <row r="388">
      <c r="K388" s="84" t="n"/>
    </row>
    <row r="389">
      <c r="K389" s="84" t="n"/>
    </row>
    <row r="390">
      <c r="K390" s="84" t="n"/>
    </row>
    <row r="391">
      <c r="K391" s="84" t="n"/>
    </row>
    <row r="392">
      <c r="K392" s="84" t="n"/>
    </row>
    <row r="393">
      <c r="K393" s="84" t="n"/>
    </row>
    <row r="394">
      <c r="K394" s="84" t="n"/>
    </row>
    <row r="395">
      <c r="K395" s="84" t="n"/>
    </row>
    <row r="396">
      <c r="K396" s="84" t="n"/>
    </row>
    <row r="397">
      <c r="K397" s="84" t="n"/>
    </row>
    <row r="398">
      <c r="K398" s="84" t="n"/>
    </row>
    <row r="399">
      <c r="K399" s="84" t="n"/>
    </row>
    <row r="400">
      <c r="K400" s="84" t="n"/>
    </row>
    <row r="401">
      <c r="K401" s="84" t="n"/>
    </row>
    <row r="402">
      <c r="K402" s="84" t="n"/>
    </row>
    <row r="403">
      <c r="K403" s="84" t="n"/>
    </row>
    <row r="404">
      <c r="K404" s="84" t="n"/>
    </row>
    <row r="405">
      <c r="K405" s="84" t="n"/>
    </row>
    <row r="406">
      <c r="K406" s="84" t="n"/>
    </row>
    <row r="407">
      <c r="K407" s="84" t="n"/>
    </row>
    <row r="408">
      <c r="K408" s="84" t="n"/>
    </row>
    <row r="409">
      <c r="K409" s="84" t="n"/>
    </row>
    <row r="410">
      <c r="K410" s="84" t="n"/>
    </row>
    <row r="411">
      <c r="K411" s="84" t="n"/>
    </row>
    <row r="412">
      <c r="K412" s="84" t="n"/>
    </row>
    <row r="413">
      <c r="K413" s="84" t="n"/>
    </row>
    <row r="414">
      <c r="K414" s="84" t="n"/>
    </row>
    <row r="415">
      <c r="K415" s="84" t="n"/>
    </row>
    <row r="416">
      <c r="K416" s="84" t="n"/>
    </row>
    <row r="417">
      <c r="K417" s="84" t="n"/>
    </row>
    <row r="418">
      <c r="K418" s="84" t="n"/>
    </row>
    <row r="419">
      <c r="K419" s="84" t="n"/>
    </row>
    <row r="420">
      <c r="K420" s="84" t="n"/>
    </row>
    <row r="421">
      <c r="K421" s="84" t="n"/>
    </row>
    <row r="422">
      <c r="K422" s="84" t="n"/>
    </row>
    <row r="423">
      <c r="K423" s="84" t="n"/>
    </row>
    <row r="424">
      <c r="K424" s="84" t="n"/>
    </row>
    <row r="425">
      <c r="K425" s="84" t="n"/>
    </row>
    <row r="426">
      <c r="K426" s="84" t="n"/>
    </row>
    <row r="427">
      <c r="K427" s="84" t="n"/>
    </row>
    <row r="428">
      <c r="K428" s="84" t="n"/>
    </row>
    <row r="429">
      <c r="K429" s="84" t="n"/>
    </row>
    <row r="430">
      <c r="K430" s="84" t="n"/>
    </row>
    <row r="431">
      <c r="K431" s="84" t="n"/>
    </row>
    <row r="432">
      <c r="K432" s="84" t="n"/>
    </row>
    <row r="433">
      <c r="K433" s="84" t="n"/>
    </row>
    <row r="434">
      <c r="K434" s="84" t="n"/>
    </row>
    <row r="435">
      <c r="K435" s="84" t="n"/>
    </row>
    <row r="436">
      <c r="K436" s="84" t="n"/>
    </row>
    <row r="437">
      <c r="K437" s="84" t="n"/>
    </row>
    <row r="438">
      <c r="K438" s="84" t="n"/>
    </row>
    <row r="439">
      <c r="K439" s="84" t="n"/>
    </row>
    <row r="440">
      <c r="K440" s="84" t="n"/>
    </row>
    <row r="441">
      <c r="K441" s="84" t="n"/>
    </row>
    <row r="442">
      <c r="K442" s="84" t="n"/>
    </row>
    <row r="443">
      <c r="K443" s="84" t="n"/>
    </row>
    <row r="444">
      <c r="K444" s="84" t="n"/>
    </row>
    <row r="445">
      <c r="K445" s="84" t="n"/>
    </row>
    <row r="446">
      <c r="K446" s="84" t="n"/>
    </row>
    <row r="447">
      <c r="K447" s="84" t="n"/>
    </row>
    <row r="448">
      <c r="K448" s="84" t="n"/>
    </row>
    <row r="449">
      <c r="K449" s="84" t="n"/>
    </row>
    <row r="450">
      <c r="K450" s="84" t="n"/>
    </row>
    <row r="451">
      <c r="K451" s="84" t="n"/>
    </row>
    <row r="452">
      <c r="K452" s="84" t="n"/>
    </row>
    <row r="453">
      <c r="K453" s="84" t="n"/>
    </row>
    <row r="454">
      <c r="K454" s="84" t="n"/>
    </row>
    <row r="455">
      <c r="K455" s="84" t="n"/>
    </row>
    <row r="456">
      <c r="K456" s="84" t="n"/>
    </row>
    <row r="457">
      <c r="K457" s="84" t="n"/>
    </row>
    <row r="458">
      <c r="K458" s="84" t="n"/>
    </row>
    <row r="459">
      <c r="K459" s="84" t="n"/>
    </row>
    <row r="460">
      <c r="K460" s="84" t="n"/>
    </row>
    <row r="461">
      <c r="K461" s="84" t="n"/>
    </row>
    <row r="462">
      <c r="K462" s="84" t="n"/>
    </row>
    <row r="463">
      <c r="K463" s="84" t="n"/>
    </row>
    <row r="464">
      <c r="K464" s="84" t="n"/>
    </row>
    <row r="465">
      <c r="K465" s="84" t="n"/>
    </row>
    <row r="466">
      <c r="K466" s="84" t="n"/>
    </row>
    <row r="467">
      <c r="K467" s="84" t="n"/>
    </row>
    <row r="468">
      <c r="K468" s="84" t="n"/>
    </row>
    <row r="469">
      <c r="K469" s="84" t="n"/>
    </row>
    <row r="470">
      <c r="K470" s="84" t="n"/>
    </row>
    <row r="471">
      <c r="K471" s="84" t="n"/>
    </row>
    <row r="472">
      <c r="K472" s="84" t="n"/>
    </row>
    <row r="473">
      <c r="K473" s="84" t="n"/>
    </row>
    <row r="474">
      <c r="K474" s="84" t="n"/>
    </row>
    <row r="475">
      <c r="K475" s="84" t="n"/>
    </row>
    <row r="476">
      <c r="K476" s="84" t="n"/>
    </row>
    <row r="477">
      <c r="K477" s="84" t="n"/>
    </row>
    <row r="478">
      <c r="K478" s="84" t="n"/>
    </row>
    <row r="479">
      <c r="K479" s="84" t="n"/>
    </row>
    <row r="480">
      <c r="K480" s="84" t="n"/>
    </row>
    <row r="481">
      <c r="K481" s="84" t="n"/>
    </row>
    <row r="482">
      <c r="K482" s="84" t="n"/>
    </row>
    <row r="483">
      <c r="K483" s="84" t="n"/>
    </row>
    <row r="484">
      <c r="K484" s="84" t="n"/>
    </row>
    <row r="485">
      <c r="K485" s="84" t="n"/>
    </row>
    <row r="486">
      <c r="K486" s="84" t="n"/>
    </row>
    <row r="487">
      <c r="K487" s="84" t="n"/>
    </row>
    <row r="488">
      <c r="K488" s="84" t="n"/>
    </row>
    <row r="489">
      <c r="K489" s="84" t="n"/>
    </row>
    <row r="490">
      <c r="K490" s="84" t="n"/>
    </row>
    <row r="491">
      <c r="K491" s="84" t="n"/>
    </row>
    <row r="492">
      <c r="K492" s="84" t="n"/>
    </row>
    <row r="493">
      <c r="K493" s="84" t="n"/>
    </row>
    <row r="494">
      <c r="K494" s="84" t="n"/>
    </row>
    <row r="495">
      <c r="K495" s="84" t="n"/>
    </row>
    <row r="496">
      <c r="K496" s="84" t="n"/>
    </row>
    <row r="497">
      <c r="K497" s="84" t="n"/>
    </row>
    <row r="498">
      <c r="K498" s="84" t="n"/>
    </row>
    <row r="499">
      <c r="K499" s="84" t="n"/>
    </row>
    <row r="500">
      <c r="K500" s="84" t="n"/>
    </row>
    <row r="501">
      <c r="K501" s="84" t="n"/>
    </row>
    <row r="502">
      <c r="K502" s="84" t="n"/>
    </row>
    <row r="503">
      <c r="K503" s="84" t="n"/>
    </row>
    <row r="504">
      <c r="K504" s="84" t="n"/>
    </row>
    <row r="505">
      <c r="K505" s="84" t="n"/>
    </row>
    <row r="506">
      <c r="K506" s="84" t="n"/>
    </row>
    <row r="507">
      <c r="K507" s="84" t="n"/>
    </row>
    <row r="508">
      <c r="K508" s="84" t="n"/>
    </row>
    <row r="509">
      <c r="K509" s="84" t="n"/>
    </row>
    <row r="510">
      <c r="K510" s="84" t="n"/>
    </row>
    <row r="511">
      <c r="K511" s="84" t="n"/>
    </row>
    <row r="512">
      <c r="K512" s="84" t="n"/>
    </row>
    <row r="513">
      <c r="K513" s="84" t="n"/>
    </row>
    <row r="514">
      <c r="K514" s="84" t="n"/>
    </row>
    <row r="515">
      <c r="K515" s="84" t="n"/>
    </row>
    <row r="516">
      <c r="K516" s="84" t="n"/>
    </row>
    <row r="517">
      <c r="K517" s="84" t="n"/>
    </row>
    <row r="518">
      <c r="K518" s="84" t="n"/>
    </row>
    <row r="519">
      <c r="K519" s="84" t="n"/>
    </row>
    <row r="520">
      <c r="K520" s="84" t="n"/>
    </row>
    <row r="521">
      <c r="K521" s="84" t="n"/>
    </row>
    <row r="522">
      <c r="K522" s="84" t="n"/>
    </row>
    <row r="523">
      <c r="K523" s="84" t="n"/>
    </row>
    <row r="524">
      <c r="K524" s="84" t="n"/>
    </row>
    <row r="525">
      <c r="K525" s="84" t="n"/>
    </row>
    <row r="526">
      <c r="K526" s="84" t="n"/>
    </row>
    <row r="527">
      <c r="K527" s="84" t="n"/>
    </row>
    <row r="528">
      <c r="K528" s="84" t="n"/>
    </row>
    <row r="529">
      <c r="K529" s="84" t="n"/>
    </row>
    <row r="530">
      <c r="K530" s="84" t="n"/>
    </row>
    <row r="531">
      <c r="K531" s="84" t="n"/>
    </row>
    <row r="532">
      <c r="K532" s="84" t="n"/>
    </row>
    <row r="533">
      <c r="K533" s="84" t="n"/>
    </row>
    <row r="534">
      <c r="K534" s="84" t="n"/>
    </row>
    <row r="535">
      <c r="K535" s="84" t="n"/>
    </row>
    <row r="536">
      <c r="K536" s="84" t="n"/>
    </row>
    <row r="537">
      <c r="K537" s="84" t="n"/>
    </row>
    <row r="538">
      <c r="K538" s="84" t="n"/>
    </row>
    <row r="539">
      <c r="K539" s="84" t="n"/>
    </row>
    <row r="540">
      <c r="K540" s="84" t="n"/>
    </row>
    <row r="541">
      <c r="K541" s="84" t="n"/>
    </row>
    <row r="542">
      <c r="K542" s="84" t="n"/>
    </row>
    <row r="543">
      <c r="K543" s="84" t="n"/>
    </row>
    <row r="544">
      <c r="K544" s="84" t="n"/>
    </row>
    <row r="545">
      <c r="K545" s="84" t="n"/>
    </row>
    <row r="546">
      <c r="K546" s="84" t="n"/>
    </row>
    <row r="547">
      <c r="K547" s="84" t="n"/>
    </row>
    <row r="548">
      <c r="K548" s="84" t="n"/>
    </row>
    <row r="549">
      <c r="K549" s="84" t="n"/>
    </row>
    <row r="550">
      <c r="K550" s="84" t="n"/>
    </row>
    <row r="551">
      <c r="K551" s="84" t="n"/>
    </row>
    <row r="552">
      <c r="K552" s="84" t="n"/>
    </row>
    <row r="553">
      <c r="K553" s="84" t="n"/>
    </row>
    <row r="554">
      <c r="K554" s="84" t="n"/>
    </row>
    <row r="555">
      <c r="K555" s="84" t="n"/>
    </row>
    <row r="556">
      <c r="K556" s="84" t="n"/>
    </row>
    <row r="557">
      <c r="K557" s="84" t="n"/>
    </row>
    <row r="558">
      <c r="K558" s="84" t="n"/>
    </row>
    <row r="559">
      <c r="K559" s="84" t="n"/>
    </row>
    <row r="560">
      <c r="K560" s="84" t="n"/>
    </row>
    <row r="561">
      <c r="K561" s="84" t="n"/>
    </row>
    <row r="562">
      <c r="K562" s="84" t="n"/>
    </row>
    <row r="563">
      <c r="K563" s="84" t="n"/>
    </row>
    <row r="564">
      <c r="K564" s="84" t="n"/>
    </row>
    <row r="565">
      <c r="K565" s="84" t="n"/>
    </row>
    <row r="566">
      <c r="K566" s="84" t="n"/>
    </row>
    <row r="567">
      <c r="K567" s="84" t="n"/>
    </row>
    <row r="568">
      <c r="K568" s="84" t="n"/>
    </row>
    <row r="569">
      <c r="K569" s="84" t="n"/>
    </row>
    <row r="570">
      <c r="K570" s="84" t="n"/>
    </row>
    <row r="571">
      <c r="K571" s="84" t="n"/>
    </row>
    <row r="572">
      <c r="K572" s="84" t="n"/>
    </row>
    <row r="573">
      <c r="K573" s="84" t="n"/>
    </row>
    <row r="574">
      <c r="K574" s="84" t="n"/>
    </row>
    <row r="575">
      <c r="K575" s="84" t="n"/>
    </row>
    <row r="576">
      <c r="K576" s="84" t="n"/>
    </row>
    <row r="577">
      <c r="K577" s="84" t="n"/>
    </row>
    <row r="578">
      <c r="K578" s="84" t="n"/>
    </row>
    <row r="579">
      <c r="K579" s="84" t="n"/>
    </row>
    <row r="580">
      <c r="K580" s="84" t="n"/>
    </row>
    <row r="581">
      <c r="K581" s="84" t="n"/>
    </row>
    <row r="582">
      <c r="K582" s="84" t="n"/>
    </row>
    <row r="583">
      <c r="K583" s="84" t="n"/>
    </row>
    <row r="584">
      <c r="K584" s="84" t="n"/>
    </row>
    <row r="585">
      <c r="K585" s="84" t="n"/>
    </row>
    <row r="586">
      <c r="K586" s="84" t="n"/>
    </row>
    <row r="587">
      <c r="K587" s="84" t="n"/>
    </row>
    <row r="588">
      <c r="K588" s="84" t="n"/>
    </row>
    <row r="589">
      <c r="K589" s="84" t="n"/>
    </row>
    <row r="590">
      <c r="K590" s="84" t="n"/>
    </row>
    <row r="591">
      <c r="K591" s="84" t="n"/>
    </row>
    <row r="592">
      <c r="K592" s="84" t="n"/>
    </row>
    <row r="593">
      <c r="K593" s="84" t="n"/>
    </row>
    <row r="594">
      <c r="K594" s="84" t="n"/>
    </row>
    <row r="595">
      <c r="K595" s="84" t="n"/>
    </row>
    <row r="596">
      <c r="K596" s="84" t="n"/>
    </row>
    <row r="597">
      <c r="K597" s="84" t="n"/>
    </row>
    <row r="598">
      <c r="K598" s="84" t="n"/>
    </row>
    <row r="599">
      <c r="K599" s="84" t="n"/>
    </row>
    <row r="600">
      <c r="K600" s="84" t="n"/>
    </row>
    <row r="601">
      <c r="K601" s="84" t="n"/>
    </row>
    <row r="602">
      <c r="K602" s="84" t="n"/>
    </row>
    <row r="603">
      <c r="K603" s="84" t="n"/>
    </row>
    <row r="604">
      <c r="K604" s="84" t="n"/>
    </row>
    <row r="605">
      <c r="K605" s="84" t="n"/>
    </row>
    <row r="606">
      <c r="K606" s="84" t="n"/>
    </row>
    <row r="607">
      <c r="K607" s="84" t="n"/>
    </row>
    <row r="608">
      <c r="K608" s="84" t="n"/>
    </row>
    <row r="609">
      <c r="K609" s="84" t="n"/>
    </row>
    <row r="610">
      <c r="K610" s="84" t="n"/>
    </row>
    <row r="611">
      <c r="K611" s="84" t="n"/>
    </row>
    <row r="612">
      <c r="K612" s="84" t="n"/>
    </row>
    <row r="613">
      <c r="K613" s="84" t="n"/>
    </row>
    <row r="614">
      <c r="K614" s="84" t="n"/>
    </row>
    <row r="615">
      <c r="K615" s="84" t="n"/>
    </row>
    <row r="616">
      <c r="K616" s="84" t="n"/>
    </row>
    <row r="617">
      <c r="K617" s="84" t="n"/>
    </row>
    <row r="618">
      <c r="K618" s="84" t="n"/>
    </row>
    <row r="619">
      <c r="K619" s="84" t="n"/>
    </row>
    <row r="620">
      <c r="K620" s="84" t="n"/>
    </row>
    <row r="621">
      <c r="K621" s="84" t="n"/>
    </row>
    <row r="622">
      <c r="K622" s="84" t="n"/>
    </row>
    <row r="623">
      <c r="K623" s="84" t="n"/>
    </row>
    <row r="624">
      <c r="K624" s="84" t="n"/>
    </row>
    <row r="625">
      <c r="K625" s="84" t="n"/>
    </row>
    <row r="626">
      <c r="K626" s="84" t="n"/>
    </row>
    <row r="627">
      <c r="K627" s="84" t="n"/>
    </row>
    <row r="628">
      <c r="K628" s="84" t="n"/>
    </row>
    <row r="629">
      <c r="K629" s="84" t="n"/>
    </row>
    <row r="630">
      <c r="K630" s="84" t="n"/>
    </row>
    <row r="631">
      <c r="K631" s="84" t="n"/>
    </row>
    <row r="632">
      <c r="K632" s="84" t="n"/>
    </row>
    <row r="633">
      <c r="K633" s="84" t="n"/>
    </row>
    <row r="634">
      <c r="K634" s="84" t="n"/>
    </row>
    <row r="635">
      <c r="K635" s="84" t="n"/>
    </row>
    <row r="636">
      <c r="K636" s="84" t="n"/>
    </row>
    <row r="637">
      <c r="K637" s="84" t="n"/>
    </row>
    <row r="638">
      <c r="K638" s="84" t="n"/>
    </row>
    <row r="639">
      <c r="K639" s="84" t="n"/>
    </row>
    <row r="640">
      <c r="K640" s="84" t="n"/>
    </row>
    <row r="641">
      <c r="K641" s="84" t="n"/>
    </row>
    <row r="642">
      <c r="K642" s="84" t="n"/>
    </row>
    <row r="643">
      <c r="K643" s="84" t="n"/>
    </row>
    <row r="644">
      <c r="K644" s="84" t="n"/>
    </row>
    <row r="645">
      <c r="K645" s="84" t="n"/>
    </row>
    <row r="646">
      <c r="K646" s="84" t="n"/>
    </row>
    <row r="647">
      <c r="K647" s="84" t="n"/>
    </row>
    <row r="648">
      <c r="K648" s="84" t="n"/>
    </row>
    <row r="649">
      <c r="K649" s="84" t="n"/>
    </row>
    <row r="650">
      <c r="K650" s="84" t="n"/>
    </row>
    <row r="651">
      <c r="K651" s="84" t="n"/>
    </row>
    <row r="652">
      <c r="K652" s="84" t="n"/>
    </row>
    <row r="653">
      <c r="K653" s="84" t="n"/>
    </row>
    <row r="654">
      <c r="K654" s="84" t="n"/>
    </row>
    <row r="655">
      <c r="K655" s="84" t="n"/>
    </row>
    <row r="656">
      <c r="K656" s="84" t="n"/>
    </row>
    <row r="657">
      <c r="K657" s="84" t="n"/>
    </row>
    <row r="658">
      <c r="K658" s="84" t="n"/>
    </row>
    <row r="659">
      <c r="K659" s="84" t="n"/>
    </row>
    <row r="660">
      <c r="K660" s="84" t="n"/>
    </row>
    <row r="661">
      <c r="K661" s="84" t="n"/>
    </row>
    <row r="662">
      <c r="K662" s="84" t="n"/>
    </row>
    <row r="663">
      <c r="K663" s="84" t="n"/>
    </row>
    <row r="664">
      <c r="K664" s="84" t="n"/>
    </row>
    <row r="665">
      <c r="K665" s="84" t="n"/>
    </row>
    <row r="666">
      <c r="K666" s="84" t="n"/>
    </row>
    <row r="667">
      <c r="K667" s="84" t="n"/>
    </row>
    <row r="668">
      <c r="K668" s="84" t="n"/>
    </row>
    <row r="669">
      <c r="K669" s="84" t="n"/>
    </row>
    <row r="670">
      <c r="K670" s="84" t="n"/>
    </row>
    <row r="671">
      <c r="K671" s="84" t="n"/>
    </row>
    <row r="672">
      <c r="K672" s="84" t="n"/>
    </row>
    <row r="673">
      <c r="K673" s="84" t="n"/>
    </row>
    <row r="674">
      <c r="K674" s="84" t="n"/>
    </row>
    <row r="675">
      <c r="K675" s="84" t="n"/>
    </row>
    <row r="676">
      <c r="K676" s="84" t="n"/>
    </row>
    <row r="677">
      <c r="K677" s="84" t="n"/>
    </row>
    <row r="678">
      <c r="K678" s="84" t="n"/>
    </row>
    <row r="679">
      <c r="K679" s="84" t="n"/>
    </row>
    <row r="680">
      <c r="K680" s="84" t="n"/>
    </row>
    <row r="681">
      <c r="K681" s="84" t="n"/>
    </row>
    <row r="682">
      <c r="K682" s="84" t="n"/>
    </row>
    <row r="683">
      <c r="K683" s="84" t="n"/>
    </row>
    <row r="684">
      <c r="K684" s="84" t="n"/>
    </row>
    <row r="685">
      <c r="K685" s="84" t="n"/>
    </row>
    <row r="686">
      <c r="K686" s="84" t="n"/>
    </row>
    <row r="687">
      <c r="K687" s="84" t="n"/>
    </row>
    <row r="688">
      <c r="K688" s="84" t="n"/>
    </row>
    <row r="689">
      <c r="K689" s="84" t="n"/>
    </row>
    <row r="690">
      <c r="K690" s="84" t="n"/>
    </row>
    <row r="691">
      <c r="K691" s="84" t="n"/>
    </row>
    <row r="692">
      <c r="K692" s="84" t="n"/>
    </row>
    <row r="693">
      <c r="K693" s="84" t="n"/>
    </row>
    <row r="694">
      <c r="K694" s="84" t="n"/>
    </row>
    <row r="695">
      <c r="K695" s="84" t="n"/>
    </row>
    <row r="696">
      <c r="K696" s="84" t="n"/>
    </row>
    <row r="697">
      <c r="K697" s="84" t="n"/>
    </row>
    <row r="698">
      <c r="K698" s="84" t="n"/>
    </row>
    <row r="699">
      <c r="K699" s="84" t="n"/>
    </row>
    <row r="700">
      <c r="K700" s="84" t="n"/>
    </row>
    <row r="701">
      <c r="K701" s="84" t="n"/>
    </row>
    <row r="702">
      <c r="K702" s="84" t="n"/>
    </row>
    <row r="703">
      <c r="K703" s="84" t="n"/>
    </row>
    <row r="704">
      <c r="K704" s="84" t="n"/>
    </row>
    <row r="705">
      <c r="K705" s="84" t="n"/>
    </row>
    <row r="706">
      <c r="K706" s="84" t="n"/>
    </row>
    <row r="707">
      <c r="K707" s="84" t="n"/>
    </row>
    <row r="708">
      <c r="K708" s="84" t="n"/>
    </row>
    <row r="709">
      <c r="K709" s="84" t="n"/>
    </row>
    <row r="710">
      <c r="K710" s="84" t="n"/>
    </row>
    <row r="711">
      <c r="K711" s="84" t="n"/>
    </row>
    <row r="712">
      <c r="K712" s="84" t="n"/>
    </row>
    <row r="713">
      <c r="K713" s="84" t="n"/>
    </row>
    <row r="714">
      <c r="K714" s="84" t="n"/>
    </row>
    <row r="715">
      <c r="K715" s="84" t="n"/>
    </row>
    <row r="716">
      <c r="K716" s="84" t="n"/>
    </row>
    <row r="717">
      <c r="K717" s="84" t="n"/>
    </row>
    <row r="718">
      <c r="K718" s="84" t="n"/>
    </row>
    <row r="719">
      <c r="K719" s="84" t="n"/>
    </row>
    <row r="720">
      <c r="K720" s="84" t="n"/>
    </row>
    <row r="721">
      <c r="K721" s="84" t="n"/>
    </row>
    <row r="722">
      <c r="K722" s="84" t="n"/>
    </row>
    <row r="723">
      <c r="K723" s="84" t="n"/>
    </row>
    <row r="724">
      <c r="K724" s="84" t="n"/>
    </row>
    <row r="725">
      <c r="K725" s="84" t="n"/>
    </row>
    <row r="726">
      <c r="K726" s="84" t="n"/>
    </row>
    <row r="727">
      <c r="K727" s="84" t="n"/>
    </row>
    <row r="728">
      <c r="K728" s="84" t="n"/>
    </row>
    <row r="729">
      <c r="K729" s="84" t="n"/>
    </row>
    <row r="730">
      <c r="K730" s="84" t="n"/>
    </row>
    <row r="731">
      <c r="K731" s="84" t="n"/>
    </row>
    <row r="732">
      <c r="K732" s="84" t="n"/>
    </row>
    <row r="733">
      <c r="K733" s="84" t="n"/>
    </row>
    <row r="734">
      <c r="K734" s="84" t="n"/>
    </row>
    <row r="735">
      <c r="K735" s="84" t="n"/>
    </row>
    <row r="736">
      <c r="K736" s="84" t="n"/>
    </row>
    <row r="737">
      <c r="K737" s="84" t="n"/>
    </row>
    <row r="738">
      <c r="K738" s="84" t="n"/>
    </row>
    <row r="739">
      <c r="K739" s="84" t="n"/>
    </row>
    <row r="740">
      <c r="K740" s="84" t="n"/>
    </row>
    <row r="741">
      <c r="K741" s="84" t="n"/>
    </row>
    <row r="742">
      <c r="K742" s="84" t="n"/>
    </row>
    <row r="743">
      <c r="K743" s="84" t="n"/>
    </row>
    <row r="744">
      <c r="K744" s="84" t="n"/>
    </row>
    <row r="745">
      <c r="K745" s="84" t="n"/>
    </row>
    <row r="746">
      <c r="K746" s="84" t="n"/>
    </row>
    <row r="747">
      <c r="K747" s="84" t="n"/>
    </row>
    <row r="748">
      <c r="K748" s="84" t="n"/>
    </row>
    <row r="749">
      <c r="K749" s="84" t="n"/>
    </row>
    <row r="750">
      <c r="K750" s="84" t="n"/>
    </row>
    <row r="751">
      <c r="K751" s="84" t="n"/>
    </row>
    <row r="752">
      <c r="K752" s="84" t="n"/>
    </row>
    <row r="753">
      <c r="K753" s="84" t="n"/>
    </row>
    <row r="754">
      <c r="K754" s="84" t="n"/>
    </row>
    <row r="755">
      <c r="K755" s="84" t="n"/>
    </row>
    <row r="756">
      <c r="K756" s="84" t="n"/>
    </row>
    <row r="757">
      <c r="K757" s="84" t="n"/>
    </row>
    <row r="758">
      <c r="K758" s="84" t="n"/>
    </row>
    <row r="759">
      <c r="K759" s="84" t="n"/>
    </row>
    <row r="760">
      <c r="K760" s="84" t="n"/>
    </row>
    <row r="761">
      <c r="K761" s="84" t="n"/>
    </row>
    <row r="762">
      <c r="K762" s="84" t="n"/>
    </row>
    <row r="763">
      <c r="K763" s="84" t="n"/>
    </row>
    <row r="764">
      <c r="K764" s="84" t="n"/>
    </row>
    <row r="765">
      <c r="K765" s="84" t="n"/>
    </row>
    <row r="766">
      <c r="K766" s="84" t="n"/>
    </row>
    <row r="767">
      <c r="K767" s="84" t="n"/>
    </row>
    <row r="768">
      <c r="K768" s="84" t="n"/>
    </row>
    <row r="769">
      <c r="K769" s="84" t="n"/>
    </row>
    <row r="770">
      <c r="K770" s="84" t="n"/>
    </row>
    <row r="771">
      <c r="K771" s="84" t="n"/>
    </row>
    <row r="772">
      <c r="K772" s="84" t="n"/>
    </row>
    <row r="773">
      <c r="K773" s="84" t="n"/>
    </row>
    <row r="774">
      <c r="K774" s="84" t="n"/>
    </row>
    <row r="775">
      <c r="K775" s="84" t="n"/>
    </row>
    <row r="776">
      <c r="K776" s="84" t="n"/>
    </row>
    <row r="777">
      <c r="K777" s="84" t="n"/>
    </row>
    <row r="778">
      <c r="K778" s="84" t="n"/>
    </row>
    <row r="779">
      <c r="K779" s="84" t="n"/>
    </row>
    <row r="780">
      <c r="K780" s="84" t="n"/>
    </row>
    <row r="781">
      <c r="K781" s="84" t="n"/>
    </row>
    <row r="782">
      <c r="K782" s="84" t="n"/>
    </row>
    <row r="783">
      <c r="K783" s="84" t="n"/>
    </row>
    <row r="784">
      <c r="K784" s="84" t="n"/>
    </row>
    <row r="785">
      <c r="K785" s="84" t="n"/>
    </row>
    <row r="786">
      <c r="K786" s="84" t="n"/>
    </row>
    <row r="787">
      <c r="K787" s="84" t="n"/>
    </row>
    <row r="788">
      <c r="K788" s="84" t="n"/>
    </row>
    <row r="789">
      <c r="K789" s="84" t="n"/>
    </row>
    <row r="790">
      <c r="K790" s="84" t="n"/>
    </row>
    <row r="791">
      <c r="K791" s="84" t="n"/>
    </row>
    <row r="792">
      <c r="K792" s="84" t="n"/>
    </row>
    <row r="793">
      <c r="K793" s="84" t="n"/>
    </row>
    <row r="794">
      <c r="K794" s="84" t="n"/>
    </row>
    <row r="795">
      <c r="K795" s="84" t="n"/>
    </row>
    <row r="796">
      <c r="K796" s="84" t="n"/>
    </row>
    <row r="797">
      <c r="K797" s="84" t="n"/>
    </row>
    <row r="798">
      <c r="K798" s="84" t="n"/>
    </row>
    <row r="799">
      <c r="K799" s="84" t="n"/>
    </row>
    <row r="800">
      <c r="K800" s="84" t="n"/>
    </row>
    <row r="801">
      <c r="K801" s="84" t="n"/>
    </row>
    <row r="802">
      <c r="K802" s="84" t="n"/>
    </row>
    <row r="803">
      <c r="K803" s="84" t="n"/>
    </row>
    <row r="804">
      <c r="K804" s="84" t="n"/>
    </row>
    <row r="805">
      <c r="K805" s="84" t="n"/>
    </row>
    <row r="806">
      <c r="K806" s="84" t="n"/>
    </row>
    <row r="807">
      <c r="K807" s="84" t="n"/>
    </row>
    <row r="808">
      <c r="K808" s="84" t="n"/>
    </row>
    <row r="809">
      <c r="K809" s="84" t="n"/>
    </row>
    <row r="810">
      <c r="K810" s="84" t="n"/>
    </row>
    <row r="811">
      <c r="K811" s="84" t="n"/>
    </row>
    <row r="812">
      <c r="K812" s="84" t="n"/>
    </row>
    <row r="813">
      <c r="K813" s="84" t="n"/>
    </row>
    <row r="814">
      <c r="K814" s="84" t="n"/>
    </row>
    <row r="815">
      <c r="K815" s="84" t="n"/>
    </row>
    <row r="816">
      <c r="K816" s="84" t="n"/>
    </row>
    <row r="817">
      <c r="K817" s="84" t="n"/>
    </row>
    <row r="818">
      <c r="K818" s="84" t="n"/>
    </row>
    <row r="819">
      <c r="K819" s="84" t="n"/>
    </row>
    <row r="820">
      <c r="K820" s="84" t="n"/>
    </row>
    <row r="821">
      <c r="K821" s="84" t="n"/>
    </row>
    <row r="822">
      <c r="K822" s="84" t="n"/>
    </row>
    <row r="823">
      <c r="K823" s="84" t="n"/>
    </row>
    <row r="824">
      <c r="K824" s="84" t="n"/>
    </row>
    <row r="825">
      <c r="K825" s="84" t="n"/>
    </row>
    <row r="826">
      <c r="K826" s="84" t="n"/>
    </row>
    <row r="827">
      <c r="K827" s="84" t="n"/>
    </row>
    <row r="828">
      <c r="K828" s="84" t="n"/>
    </row>
    <row r="829">
      <c r="K829" s="84" t="n"/>
    </row>
    <row r="830">
      <c r="K830" s="84" t="n"/>
    </row>
    <row r="831">
      <c r="K831" s="84" t="n"/>
    </row>
    <row r="832">
      <c r="K832" s="84" t="n"/>
    </row>
    <row r="833">
      <c r="K833" s="84" t="n"/>
    </row>
    <row r="834">
      <c r="K834" s="84" t="n"/>
    </row>
    <row r="835">
      <c r="K835" s="84" t="n"/>
    </row>
    <row r="836">
      <c r="K836" s="84" t="n"/>
    </row>
    <row r="837">
      <c r="K837" s="84" t="n"/>
    </row>
    <row r="838">
      <c r="K838" s="84" t="n"/>
    </row>
    <row r="839">
      <c r="K839" s="84" t="n"/>
    </row>
    <row r="840">
      <c r="K840" s="84" t="n"/>
    </row>
    <row r="841">
      <c r="K841" s="84" t="n"/>
    </row>
    <row r="842">
      <c r="K842" s="84" t="n"/>
    </row>
    <row r="843">
      <c r="K843" s="84" t="n"/>
    </row>
    <row r="844">
      <c r="K844" s="84" t="n"/>
    </row>
    <row r="845">
      <c r="K845" s="84" t="n"/>
    </row>
    <row r="846">
      <c r="K846" s="84" t="n"/>
    </row>
    <row r="847">
      <c r="K847" s="84" t="n"/>
    </row>
    <row r="848">
      <c r="K848" s="84" t="n"/>
    </row>
    <row r="849">
      <c r="K849" s="84" t="n"/>
    </row>
    <row r="850">
      <c r="K850" s="84" t="n"/>
    </row>
    <row r="851">
      <c r="K851" s="84" t="n"/>
    </row>
    <row r="852">
      <c r="K852" s="84" t="n"/>
    </row>
    <row r="853">
      <c r="K853" s="84" t="n"/>
    </row>
    <row r="854">
      <c r="K854" s="84" t="n"/>
    </row>
    <row r="855">
      <c r="K855" s="84" t="n"/>
    </row>
    <row r="856">
      <c r="K856" s="84" t="n"/>
    </row>
    <row r="857">
      <c r="K857" s="84" t="n"/>
    </row>
    <row r="858">
      <c r="K858" s="84" t="n"/>
    </row>
    <row r="859">
      <c r="K859" s="84" t="n"/>
    </row>
    <row r="860">
      <c r="K860" s="84" t="n"/>
    </row>
    <row r="861">
      <c r="K861" s="84" t="n"/>
    </row>
    <row r="862">
      <c r="K862" s="84" t="n"/>
    </row>
    <row r="863">
      <c r="K863" s="84" t="n"/>
    </row>
    <row r="864">
      <c r="K864" s="84" t="n"/>
    </row>
    <row r="865">
      <c r="K865" s="84" t="n"/>
    </row>
    <row r="866">
      <c r="K866" s="84" t="n"/>
    </row>
    <row r="867">
      <c r="K867" s="84" t="n"/>
    </row>
    <row r="868">
      <c r="K868" s="84" t="n"/>
    </row>
    <row r="869">
      <c r="K869" s="84" t="n"/>
    </row>
    <row r="870">
      <c r="K870" s="84" t="n"/>
    </row>
    <row r="871">
      <c r="K871" s="84" t="n"/>
    </row>
    <row r="872">
      <c r="K872" s="84" t="n"/>
    </row>
    <row r="873">
      <c r="K873" s="84" t="n"/>
    </row>
    <row r="874">
      <c r="K874" s="84" t="n"/>
    </row>
    <row r="875">
      <c r="K875" s="84" t="n"/>
    </row>
    <row r="876">
      <c r="K876" s="84" t="n"/>
    </row>
    <row r="877">
      <c r="K877" s="84" t="n"/>
    </row>
    <row r="878">
      <c r="K878" s="84" t="n"/>
    </row>
    <row r="879">
      <c r="K879" s="84" t="n"/>
    </row>
    <row r="880">
      <c r="K880" s="84" t="n"/>
    </row>
    <row r="881">
      <c r="K881" s="84" t="n"/>
    </row>
    <row r="882">
      <c r="K882" s="84" t="n"/>
    </row>
    <row r="883">
      <c r="K883" s="84" t="n"/>
    </row>
    <row r="884">
      <c r="K884" s="84" t="n"/>
    </row>
    <row r="885">
      <c r="K885" s="84" t="n"/>
    </row>
    <row r="886">
      <c r="K886" s="84" t="n"/>
    </row>
    <row r="887">
      <c r="K887" s="84" t="n"/>
    </row>
    <row r="888">
      <c r="K888" s="84" t="n"/>
    </row>
    <row r="889">
      <c r="K889" s="84" t="n"/>
    </row>
    <row r="890">
      <c r="K890" s="84" t="n"/>
    </row>
    <row r="891">
      <c r="K891" s="84" t="n"/>
    </row>
    <row r="892">
      <c r="K892" s="84" t="n"/>
    </row>
    <row r="893">
      <c r="K893" s="84" t="n"/>
    </row>
    <row r="894">
      <c r="K894" s="84" t="n"/>
    </row>
    <row r="895">
      <c r="K895" s="84" t="n"/>
    </row>
    <row r="896">
      <c r="K896" s="84" t="n"/>
    </row>
    <row r="897">
      <c r="K897" s="84" t="n"/>
    </row>
    <row r="898">
      <c r="K898" s="84" t="n"/>
    </row>
    <row r="899">
      <c r="K899" s="84" t="n"/>
    </row>
    <row r="900">
      <c r="K900" s="84" t="n"/>
    </row>
    <row r="901">
      <c r="K901" s="84" t="n"/>
    </row>
    <row r="902">
      <c r="K902" s="84" t="n"/>
    </row>
    <row r="903">
      <c r="K903" s="84" t="n"/>
    </row>
    <row r="904">
      <c r="K904" s="84" t="n"/>
    </row>
    <row r="905">
      <c r="K905" s="84" t="n"/>
    </row>
    <row r="906">
      <c r="K906" s="84" t="n"/>
    </row>
    <row r="907">
      <c r="K907" s="84" t="n"/>
    </row>
    <row r="908">
      <c r="K908" s="84" t="n"/>
    </row>
    <row r="909">
      <c r="K909" s="84" t="n"/>
    </row>
    <row r="910">
      <c r="K910" s="84" t="n"/>
    </row>
    <row r="911">
      <c r="K911" s="84" t="n"/>
    </row>
    <row r="912">
      <c r="K912" s="84" t="n"/>
    </row>
    <row r="913">
      <c r="K913" s="84" t="n"/>
    </row>
    <row r="914">
      <c r="K914" s="84" t="n"/>
    </row>
    <row r="915">
      <c r="K915" s="84" t="n"/>
    </row>
    <row r="916">
      <c r="K916" s="84" t="n"/>
    </row>
    <row r="917">
      <c r="K917" s="84" t="n"/>
    </row>
    <row r="918">
      <c r="K918" s="84" t="n"/>
    </row>
    <row r="919">
      <c r="K919" s="84" t="n"/>
    </row>
    <row r="920">
      <c r="K920" s="84" t="n"/>
    </row>
    <row r="921">
      <c r="K921" s="84" t="n"/>
    </row>
    <row r="922">
      <c r="K922" s="84" t="n"/>
    </row>
    <row r="923">
      <c r="K923" s="84" t="n"/>
    </row>
    <row r="924">
      <c r="K924" s="84" t="n"/>
    </row>
    <row r="925">
      <c r="K925" s="84" t="n"/>
    </row>
    <row r="926">
      <c r="K926" s="84" t="n"/>
    </row>
    <row r="927">
      <c r="K927" s="84" t="n"/>
    </row>
    <row r="928">
      <c r="K928" s="84" t="n"/>
    </row>
    <row r="929">
      <c r="K929" s="84" t="n"/>
    </row>
    <row r="930">
      <c r="K930" s="84" t="n"/>
    </row>
    <row r="931">
      <c r="K931" s="84" t="n"/>
    </row>
    <row r="932">
      <c r="K932" s="84" t="n"/>
    </row>
    <row r="933">
      <c r="K933" s="84" t="n"/>
    </row>
    <row r="934">
      <c r="K934" s="84" t="n"/>
    </row>
    <row r="935">
      <c r="K935" s="84" t="n"/>
    </row>
    <row r="936">
      <c r="K936" s="84" t="n"/>
    </row>
    <row r="937">
      <c r="K937" s="84" t="n"/>
    </row>
    <row r="938">
      <c r="K938" s="84" t="n"/>
    </row>
    <row r="939">
      <c r="K939" s="84" t="n"/>
    </row>
    <row r="940">
      <c r="K940" s="84" t="n"/>
    </row>
    <row r="941">
      <c r="K941" s="84" t="n"/>
    </row>
    <row r="942">
      <c r="K942" s="84" t="n"/>
    </row>
    <row r="943">
      <c r="K943" s="84" t="n"/>
    </row>
    <row r="944">
      <c r="K944" s="84" t="n"/>
    </row>
    <row r="945">
      <c r="K945" s="84" t="n"/>
    </row>
    <row r="946">
      <c r="K946" s="84" t="n"/>
    </row>
    <row r="947">
      <c r="K947" s="84" t="n"/>
    </row>
    <row r="948">
      <c r="K948" s="84" t="n"/>
    </row>
    <row r="949">
      <c r="K949" s="84" t="n"/>
    </row>
    <row r="950">
      <c r="K950" s="84" t="n"/>
    </row>
    <row r="951">
      <c r="K951" s="84" t="n"/>
    </row>
    <row r="952">
      <c r="K952" s="84" t="n"/>
    </row>
    <row r="953">
      <c r="K953" s="84" t="n"/>
    </row>
    <row r="954">
      <c r="K954" s="84" t="n"/>
    </row>
    <row r="955">
      <c r="K955" s="84" t="n"/>
    </row>
    <row r="956">
      <c r="K956" s="84" t="n"/>
    </row>
    <row r="957">
      <c r="K957" s="84" t="n"/>
    </row>
    <row r="958">
      <c r="K958" s="84" t="n"/>
    </row>
    <row r="959">
      <c r="K959" s="84" t="n"/>
    </row>
    <row r="960">
      <c r="K960" s="84" t="n"/>
    </row>
    <row r="961">
      <c r="K961" s="84" t="n"/>
    </row>
    <row r="962">
      <c r="K962" s="84" t="n"/>
    </row>
    <row r="963">
      <c r="K963" s="84" t="n"/>
    </row>
    <row r="964">
      <c r="K964" s="84" t="n"/>
    </row>
    <row r="965">
      <c r="K965" s="84" t="n"/>
    </row>
    <row r="966">
      <c r="K966" s="84" t="n"/>
    </row>
    <row r="967">
      <c r="K967" s="84" t="n"/>
    </row>
    <row r="968">
      <c r="K968" s="84" t="n"/>
    </row>
    <row r="969">
      <c r="K969" s="84" t="n"/>
    </row>
    <row r="970">
      <c r="K970" s="84" t="n"/>
    </row>
    <row r="971">
      <c r="K971" s="84" t="n"/>
    </row>
    <row r="972">
      <c r="K972" s="84" t="n"/>
    </row>
    <row r="973">
      <c r="K973" s="84" t="n"/>
    </row>
    <row r="974">
      <c r="K974" s="84" t="n"/>
    </row>
    <row r="975">
      <c r="K975" s="84" t="n"/>
    </row>
    <row r="976">
      <c r="K976" s="84" t="n"/>
    </row>
    <row r="977">
      <c r="K977" s="84" t="n"/>
    </row>
    <row r="978">
      <c r="K978" s="84" t="n"/>
    </row>
    <row r="979">
      <c r="K979" s="84" t="n"/>
    </row>
    <row r="980">
      <c r="K980" s="84" t="n"/>
    </row>
    <row r="981">
      <c r="K981" s="84" t="n"/>
    </row>
    <row r="982">
      <c r="K982" s="84" t="n"/>
    </row>
    <row r="983">
      <c r="K983" s="84" t="n"/>
    </row>
    <row r="984">
      <c r="K984" s="84" t="n"/>
    </row>
    <row r="985">
      <c r="K985" s="84" t="n"/>
    </row>
    <row r="986">
      <c r="K986" s="84" t="n"/>
    </row>
    <row r="987">
      <c r="K987" s="84" t="n"/>
    </row>
    <row r="988">
      <c r="K988" s="84" t="n"/>
    </row>
    <row r="989">
      <c r="K989" s="84" t="n"/>
    </row>
    <row r="990">
      <c r="K990" s="84" t="n"/>
    </row>
    <row r="991">
      <c r="K991" s="84" t="n"/>
    </row>
    <row r="992">
      <c r="K992" s="84" t="n"/>
    </row>
    <row r="993">
      <c r="K993" s="84" t="n"/>
    </row>
    <row r="994">
      <c r="K994" s="84" t="n"/>
    </row>
    <row r="995">
      <c r="K995" s="84" t="n"/>
    </row>
  </sheetData>
  <dataValidations count="1">
    <dataValidation sqref="L2:L23 L26:L52 L56:L76 L80:L102 L106:L124 L127:L148 N56:N76" showDropDown="0" showInputMessage="0" showErrorMessage="1" allowBlank="1" type="list">
      <formula1>"EMILIANO,JORGE,Ari"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N91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18" min="1" max="1"/>
    <col width="16.63" customWidth="1" style="118" min="2" max="2"/>
    <col width="20" customWidth="1" style="118" min="12" max="12"/>
    <col width="16.75" customWidth="1" style="118" min="13" max="13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28" t="inlineStr">
        <is>
          <t>Duration （Formula）</t>
        </is>
      </c>
      <c r="K1" s="58" t="inlineStr">
        <is>
          <t>Start date</t>
        </is>
      </c>
      <c r="L1" s="71" t="inlineStr">
        <is>
          <t>HOST1</t>
        </is>
      </c>
      <c r="M1" s="71" t="inlineStr">
        <is>
          <t xml:space="preserve">HOST 2 </t>
        </is>
      </c>
      <c r="N1" s="71" t="inlineStr">
        <is>
          <t>Operator</t>
        </is>
      </c>
    </row>
    <row r="2">
      <c r="A2" s="96" t="inlineStr">
        <is>
          <t>7658454638492584705</t>
        </is>
      </c>
      <c r="B2" s="96" t="inlineStr">
        <is>
          <t>imperio_del_perfume</t>
        </is>
      </c>
      <c r="C2" s="89" t="inlineStr">
        <is>
          <t>MX</t>
        </is>
      </c>
      <c r="D2" s="114" t="n">
        <v>1026.4</v>
      </c>
      <c r="E2" s="40">
        <f>D2/1.16</f>
        <v/>
      </c>
      <c r="F2" s="114">
        <f>D2/J2</f>
        <v/>
      </c>
      <c r="G2" s="40">
        <f>F2/1.16</f>
        <v/>
      </c>
      <c r="H2" s="114" t="n">
        <v>0</v>
      </c>
      <c r="I2" s="115" t="n">
        <v>4.1</v>
      </c>
      <c r="J2" s="89">
        <f>LET(dec, I2-INT(I2), IF(dec&lt;0.1, INT(I2), IF(dec&lt;=0.7, INT(I2)+0.5, INT(I2)+1)))</f>
        <v/>
      </c>
      <c r="K2" s="116" t="n">
        <v>46206</v>
      </c>
      <c r="L2" s="63" t="inlineStr">
        <is>
          <t>DANIEL NAHMAD</t>
        </is>
      </c>
      <c r="M2" s="36" t="inlineStr">
        <is>
          <t>JORGE DURAN</t>
        </is>
      </c>
      <c r="N2" s="89" t="inlineStr">
        <is>
          <t>DIEGO</t>
        </is>
      </c>
    </row>
    <row r="3">
      <c r="A3" s="96" t="inlineStr">
        <is>
          <t>7659564854696479489</t>
        </is>
      </c>
      <c r="B3" s="96" t="inlineStr">
        <is>
          <t>imperio_del_perfume</t>
        </is>
      </c>
      <c r="C3" s="89" t="inlineStr">
        <is>
          <t>MX</t>
        </is>
      </c>
      <c r="D3" s="114" t="n">
        <v>5854.52</v>
      </c>
      <c r="E3" s="40">
        <f>D3/1.16</f>
        <v/>
      </c>
      <c r="F3" s="114">
        <f>D3/J3</f>
        <v/>
      </c>
      <c r="G3" s="40">
        <f>F3/1.16</f>
        <v/>
      </c>
      <c r="H3" s="114" t="n">
        <v>0</v>
      </c>
      <c r="I3" s="115" t="n">
        <v>4.27</v>
      </c>
      <c r="J3" s="89">
        <f>LET(dec, I3-INT(I3), IF(dec&lt;0.1, INT(I3), IF(dec&lt;=0.7, INT(I3)+0.5, INT(I3)+1)))</f>
        <v/>
      </c>
      <c r="K3" s="116" t="n">
        <v>46209</v>
      </c>
      <c r="L3" s="63" t="inlineStr">
        <is>
          <t>DANIEL NAHMAD</t>
        </is>
      </c>
      <c r="M3" s="36" t="inlineStr">
        <is>
          <t>JORGE DURAN</t>
        </is>
      </c>
      <c r="N3" s="89" t="inlineStr">
        <is>
          <t>DIEGO</t>
        </is>
      </c>
    </row>
    <row r="4">
      <c r="A4" s="96" t="inlineStr">
        <is>
          <t>7659926181113842449</t>
        </is>
      </c>
      <c r="B4" s="96" t="inlineStr">
        <is>
          <t>imperio_del_perfume</t>
        </is>
      </c>
      <c r="C4" s="89" t="inlineStr">
        <is>
          <t>MX</t>
        </is>
      </c>
      <c r="D4" s="114" t="n">
        <v>3805.01</v>
      </c>
      <c r="E4" s="40">
        <f>D4/1.16</f>
        <v/>
      </c>
      <c r="F4" s="114">
        <f>D4/J4</f>
        <v/>
      </c>
      <c r="G4" s="40">
        <f>F4/1.16</f>
        <v/>
      </c>
      <c r="H4" s="114" t="n">
        <v>0</v>
      </c>
      <c r="I4" s="115" t="n">
        <v>5.01</v>
      </c>
      <c r="J4" s="89">
        <f>LET(dec, I4-INT(I4), IF(dec&lt;0.1, INT(I4), IF(dec&lt;=0.7, INT(I4)+0.5, INT(I4)+1)))</f>
        <v/>
      </c>
      <c r="K4" s="116" t="n">
        <v>46210</v>
      </c>
      <c r="L4" s="63" t="inlineStr">
        <is>
          <t>DANIEL NAHMAD</t>
        </is>
      </c>
      <c r="M4" s="36" t="inlineStr">
        <is>
          <t>JORGE DURAN</t>
        </is>
      </c>
      <c r="N4" s="89" t="inlineStr">
        <is>
          <t>DIEGO</t>
        </is>
      </c>
    </row>
    <row r="5">
      <c r="A5" s="96" t="inlineStr">
        <is>
          <t>7660297594651904769</t>
        </is>
      </c>
      <c r="B5" s="96" t="inlineStr">
        <is>
          <t>imperio_del_perfume</t>
        </is>
      </c>
      <c r="C5" s="89" t="inlineStr">
        <is>
          <t>MX</t>
        </is>
      </c>
      <c r="D5" s="114" t="n">
        <v>5502.88</v>
      </c>
      <c r="E5" s="40">
        <f>D5/1.16</f>
        <v/>
      </c>
      <c r="F5" s="114">
        <f>D5/J5</f>
        <v/>
      </c>
      <c r="G5" s="40">
        <f>F5/1.16</f>
        <v/>
      </c>
      <c r="H5" s="114" t="n">
        <v>0</v>
      </c>
      <c r="I5" s="115" t="n">
        <v>3.33</v>
      </c>
      <c r="J5" s="89">
        <f>LET(dec, I5-INT(I5), IF(dec&lt;0.1, INT(I5), IF(dec&lt;=0.7, INT(I5)+0.5, INT(I5)+1)))</f>
        <v/>
      </c>
      <c r="K5" s="116" t="n">
        <v>46211</v>
      </c>
      <c r="L5" s="63" t="inlineStr">
        <is>
          <t>DANIEL NAHMAD</t>
        </is>
      </c>
      <c r="M5" s="36" t="inlineStr">
        <is>
          <t>JORGE DURAN</t>
        </is>
      </c>
      <c r="N5" s="89" t="inlineStr">
        <is>
          <t>DIEGO</t>
        </is>
      </c>
    </row>
    <row r="6">
      <c r="A6" s="96" t="inlineStr">
        <is>
          <t>7660349668488661761</t>
        </is>
      </c>
      <c r="B6" s="96" t="inlineStr">
        <is>
          <t>imperio_del_perfume</t>
        </is>
      </c>
      <c r="C6" s="89" t="inlineStr">
        <is>
          <t>MX</t>
        </is>
      </c>
      <c r="D6" s="114" t="n">
        <v>3937.04</v>
      </c>
      <c r="E6" s="40">
        <f>D6/1.16</f>
        <v/>
      </c>
      <c r="F6" s="114">
        <f>D6/J6</f>
        <v/>
      </c>
      <c r="G6" s="40">
        <f>F6/1.16</f>
        <v/>
      </c>
      <c r="H6" s="114" t="n">
        <v>0</v>
      </c>
      <c r="I6" s="115" t="n">
        <v>1.51</v>
      </c>
      <c r="J6" s="89">
        <f>LET(dec, I6-INT(I6), IF(dec&lt;0.1, INT(I6), IF(dec&lt;=0.7, INT(I6)+0.5, INT(I6)+1)))</f>
        <v/>
      </c>
      <c r="K6" s="116" t="n">
        <v>46211</v>
      </c>
      <c r="L6" s="63" t="inlineStr">
        <is>
          <t>DANIEL NAHMAD</t>
        </is>
      </c>
      <c r="M6" s="36" t="inlineStr">
        <is>
          <t>JORGE DURAN</t>
        </is>
      </c>
      <c r="N6" s="89" t="inlineStr">
        <is>
          <t>DIEGO</t>
        </is>
      </c>
    </row>
    <row r="7">
      <c r="A7" s="96" t="inlineStr">
        <is>
          <t>7660670585332189953</t>
        </is>
      </c>
      <c r="B7" s="96" t="inlineStr">
        <is>
          <t>imperio_del_perfume</t>
        </is>
      </c>
      <c r="C7" s="89" t="inlineStr">
        <is>
          <t>MX</t>
        </is>
      </c>
      <c r="D7" s="114" t="n">
        <v>5962.24</v>
      </c>
      <c r="E7" s="40">
        <f>D7/1.16</f>
        <v/>
      </c>
      <c r="F7" s="114">
        <f>D7/J7</f>
        <v/>
      </c>
      <c r="G7" s="40">
        <f>F7/1.16</f>
        <v/>
      </c>
      <c r="H7" s="114" t="n">
        <v>0</v>
      </c>
      <c r="I7" s="115" t="n">
        <v>5.02</v>
      </c>
      <c r="J7" s="89">
        <f>LET(dec, I7-INT(I7), IF(dec&lt;0.1, INT(I7), IF(dec&lt;=0.7, INT(I7)+0.5, INT(I7)+1)))</f>
        <v/>
      </c>
      <c r="K7" s="116" t="n">
        <v>46212</v>
      </c>
      <c r="L7" s="63" t="inlineStr">
        <is>
          <t>DANIEL NAHMAD</t>
        </is>
      </c>
      <c r="M7" s="36" t="inlineStr">
        <is>
          <t>JORGE DURAN</t>
        </is>
      </c>
      <c r="N7" s="89" t="inlineStr">
        <is>
          <t>DIEGO</t>
        </is>
      </c>
    </row>
    <row r="8">
      <c r="A8" s="96" t="inlineStr">
        <is>
          <t>7661015180440095505</t>
        </is>
      </c>
      <c r="B8" s="96" t="inlineStr">
        <is>
          <t>imperio_del_perfume</t>
        </is>
      </c>
      <c r="C8" s="89" t="inlineStr">
        <is>
          <t>MX</t>
        </is>
      </c>
      <c r="D8" s="114" t="n">
        <v>26261.23</v>
      </c>
      <c r="E8" s="40">
        <f>D8/1.16</f>
        <v/>
      </c>
      <c r="F8" s="114">
        <f>D8/J8</f>
        <v/>
      </c>
      <c r="G8" s="40">
        <f>F8/1.16</f>
        <v/>
      </c>
      <c r="H8" s="114" t="n">
        <v>0</v>
      </c>
      <c r="I8" s="115" t="n">
        <v>5</v>
      </c>
      <c r="J8" s="89">
        <f>LET(dec, I8-INT(I8), IF(dec&lt;0.1, INT(I8), IF(dec&lt;=0.7, INT(I8)+0.5, INT(I8)+1)))</f>
        <v/>
      </c>
      <c r="K8" s="116" t="n">
        <v>46213</v>
      </c>
      <c r="L8" s="63" t="inlineStr">
        <is>
          <t>DANIEL NAHMAD</t>
        </is>
      </c>
      <c r="M8" s="36" t="inlineStr">
        <is>
          <t>JORGE DURAN</t>
        </is>
      </c>
      <c r="N8" s="89" t="inlineStr">
        <is>
          <t>DIEGO</t>
        </is>
      </c>
    </row>
    <row r="9">
      <c r="A9" s="96" t="inlineStr">
        <is>
          <t>7662122911746018049</t>
        </is>
      </c>
      <c r="B9" s="96" t="inlineStr">
        <is>
          <t>imperio_del_perfume</t>
        </is>
      </c>
      <c r="C9" s="89" t="inlineStr">
        <is>
          <t>MX</t>
        </is>
      </c>
      <c r="D9" s="114" t="n">
        <v>26393.29</v>
      </c>
      <c r="E9" s="40">
        <f>D9/1.16</f>
        <v/>
      </c>
      <c r="F9" s="114">
        <f>D9/J9</f>
        <v/>
      </c>
      <c r="G9" s="40">
        <f>F9/1.16</f>
        <v/>
      </c>
      <c r="H9" s="114" t="n">
        <v>0</v>
      </c>
      <c r="I9" s="115" t="n">
        <v>6.83</v>
      </c>
      <c r="J9" s="89">
        <f>LET(dec, I9-INT(I9), IF(dec&lt;0.1, INT(I9), IF(dec&lt;=0.7, INT(I9)+0.5, INT(I9)+1)))</f>
        <v/>
      </c>
      <c r="K9" s="116" t="n">
        <v>46216</v>
      </c>
      <c r="L9" s="63" t="inlineStr">
        <is>
          <t>DANIEL NAHMAD</t>
        </is>
      </c>
      <c r="M9" s="36" t="inlineStr">
        <is>
          <t>JORGE DURAN</t>
        </is>
      </c>
      <c r="N9" s="89" t="inlineStr">
        <is>
          <t>DIEGO</t>
        </is>
      </c>
    </row>
    <row r="10">
      <c r="A10" s="96" t="inlineStr">
        <is>
          <t>7662475806010116880</t>
        </is>
      </c>
      <c r="B10" s="96" t="inlineStr">
        <is>
          <t>imperio_del_perfume</t>
        </is>
      </c>
      <c r="C10" s="89" t="inlineStr">
        <is>
          <t>MX</t>
        </is>
      </c>
      <c r="D10" s="114" t="n">
        <v>32473.5</v>
      </c>
      <c r="E10" s="40">
        <f>D10/1.16</f>
        <v/>
      </c>
      <c r="F10" s="114">
        <f>D10/J10</f>
        <v/>
      </c>
      <c r="G10" s="40">
        <f>F10/1.16</f>
        <v/>
      </c>
      <c r="H10" s="114" t="n">
        <v>0</v>
      </c>
      <c r="I10" s="115" t="n">
        <v>8.050000000000001</v>
      </c>
      <c r="J10" s="89">
        <f>LET(dec, I10-INT(I10), IF(dec&lt;0.1, INT(I10), IF(dec&lt;=0.7, INT(I10)+0.5, INT(I10)+1)))</f>
        <v/>
      </c>
      <c r="K10" s="116" t="n">
        <v>46217</v>
      </c>
      <c r="L10" s="63" t="inlineStr">
        <is>
          <t>DANIEL NAHMAD</t>
        </is>
      </c>
      <c r="M10" s="36" t="inlineStr">
        <is>
          <t>JORGE DURAN</t>
        </is>
      </c>
      <c r="N10" s="89" t="inlineStr">
        <is>
          <t>DIEGO</t>
        </is>
      </c>
    </row>
    <row r="11">
      <c r="A11" s="96" t="inlineStr">
        <is>
          <t>7662855492672719636</t>
        </is>
      </c>
      <c r="B11" s="96" t="inlineStr">
        <is>
          <t>imperio_del_perfume</t>
        </is>
      </c>
      <c r="C11" s="89" t="inlineStr">
        <is>
          <t>MX</t>
        </is>
      </c>
      <c r="D11" s="114" t="n">
        <v>21223.68</v>
      </c>
      <c r="E11" s="40">
        <f>D11/1.16</f>
        <v/>
      </c>
      <c r="F11" s="114">
        <f>D11/J11</f>
        <v/>
      </c>
      <c r="G11" s="40">
        <f>F11/1.16</f>
        <v/>
      </c>
      <c r="H11" s="114" t="n">
        <v>0</v>
      </c>
      <c r="I11" s="115" t="n">
        <v>7.54</v>
      </c>
      <c r="J11" s="89">
        <f>LET(dec, I11-INT(I11), IF(dec&lt;0.1, INT(I11), IF(dec&lt;=0.7, INT(I11)+0.5, INT(I11)+1)))</f>
        <v/>
      </c>
      <c r="K11" s="116" t="n">
        <v>46218</v>
      </c>
      <c r="L11" s="63" t="inlineStr">
        <is>
          <t>DANIEL NAHMAD</t>
        </is>
      </c>
      <c r="M11" s="36" t="inlineStr">
        <is>
          <t>JORGE DURAN</t>
        </is>
      </c>
      <c r="N11" s="89" t="inlineStr">
        <is>
          <t>DIEGO</t>
        </is>
      </c>
    </row>
    <row r="12">
      <c r="A12" s="96" t="inlineStr">
        <is>
          <t>7663218846283320085</t>
        </is>
      </c>
      <c r="B12" s="96" t="inlineStr">
        <is>
          <t>imperio_del_perfume</t>
        </is>
      </c>
      <c r="C12" s="89" t="inlineStr">
        <is>
          <t>MX</t>
        </is>
      </c>
      <c r="D12" s="114" t="n">
        <v>40490.56</v>
      </c>
      <c r="E12" s="40">
        <f>D12/1.16</f>
        <v/>
      </c>
      <c r="F12" s="114">
        <f>D12/J12</f>
        <v/>
      </c>
      <c r="G12" s="40">
        <f>F12/1.16</f>
        <v/>
      </c>
      <c r="H12" s="114" t="n">
        <v>0</v>
      </c>
      <c r="I12" s="115" t="n">
        <v>8.01</v>
      </c>
      <c r="J12" s="89">
        <f>LET(dec, I12-INT(I12), IF(dec&lt;0.1, INT(I12), IF(dec&lt;=0.7, INT(I12)+0.5, INT(I12)+1)))</f>
        <v/>
      </c>
      <c r="K12" s="116" t="n">
        <v>46219</v>
      </c>
      <c r="L12" s="63" t="inlineStr">
        <is>
          <t>DANIEL NAHMAD</t>
        </is>
      </c>
      <c r="M12" s="36" t="inlineStr">
        <is>
          <t>JORGE DURAN</t>
        </is>
      </c>
      <c r="N12" s="89" t="inlineStr">
        <is>
          <t>DIEGO</t>
        </is>
      </c>
    </row>
    <row r="13">
      <c r="A13" s="96" t="inlineStr">
        <is>
          <t>7663597583903099668</t>
        </is>
      </c>
      <c r="B13" s="96" t="inlineStr">
        <is>
          <t>imperio_del_perfume</t>
        </is>
      </c>
      <c r="C13" s="89" t="inlineStr">
        <is>
          <t>MX</t>
        </is>
      </c>
      <c r="D13" s="114" t="n">
        <v>48159.46</v>
      </c>
      <c r="E13" s="40">
        <f>D13/1.16</f>
        <v/>
      </c>
      <c r="F13" s="114">
        <f>D13/J13</f>
        <v/>
      </c>
      <c r="G13" s="40">
        <f>F13/1.16</f>
        <v/>
      </c>
      <c r="H13" s="114" t="n">
        <v>0</v>
      </c>
      <c r="I13" s="115" t="n">
        <v>7.5</v>
      </c>
      <c r="J13" s="89">
        <f>LET(dec, I13-INT(I13), IF(dec&lt;0.1, INT(I13), IF(dec&lt;=0.7, INT(I13)+0.5, INT(I13)+1)))</f>
        <v/>
      </c>
      <c r="K13" s="116" t="n">
        <v>46220</v>
      </c>
      <c r="L13" s="63" t="inlineStr">
        <is>
          <t>DANIEL NAHMAD</t>
        </is>
      </c>
      <c r="M13" s="36" t="inlineStr">
        <is>
          <t>JORGE DURAN</t>
        </is>
      </c>
      <c r="N13" s="89" t="inlineStr">
        <is>
          <t>DIEGO</t>
        </is>
      </c>
    </row>
    <row r="14">
      <c r="A14" s="96" t="inlineStr">
        <is>
          <t>7664709115623213844</t>
        </is>
      </c>
      <c r="B14" s="96" t="inlineStr">
        <is>
          <t>imperio_del_perfume</t>
        </is>
      </c>
      <c r="C14" s="89" t="inlineStr">
        <is>
          <t>MX</t>
        </is>
      </c>
      <c r="D14" s="114" t="n">
        <v>0</v>
      </c>
      <c r="E14" s="40">
        <f>D14/1.16</f>
        <v/>
      </c>
      <c r="F14" s="114">
        <f>D14/J14</f>
        <v/>
      </c>
      <c r="G14" s="40">
        <f>F14/1.16</f>
        <v/>
      </c>
      <c r="H14" s="114" t="n">
        <v>0</v>
      </c>
      <c r="I14" s="115" t="n">
        <v>0.01</v>
      </c>
      <c r="J14" s="89">
        <f>LET(dec, I14-INT(I14), IF(dec&lt;0.1, INT(I14), IF(dec&lt;=0.7, INT(I14)+0.5, INT(I14)+1)))</f>
        <v/>
      </c>
      <c r="K14" s="116" t="n">
        <v>46223</v>
      </c>
      <c r="L14" s="63" t="inlineStr">
        <is>
          <t>DANIEL NAHMAD</t>
        </is>
      </c>
      <c r="M14" s="36" t="inlineStr">
        <is>
          <t>JORGE DURAN</t>
        </is>
      </c>
      <c r="N14" s="89" t="inlineStr">
        <is>
          <t>DIEGO</t>
        </is>
      </c>
    </row>
    <row r="15">
      <c r="A15" s="96" t="inlineStr">
        <is>
          <t>7664710221109627668</t>
        </is>
      </c>
      <c r="B15" s="96" t="inlineStr">
        <is>
          <t>imperio_del_perfume</t>
        </is>
      </c>
      <c r="C15" s="89" t="inlineStr">
        <is>
          <t>MX</t>
        </is>
      </c>
      <c r="D15" s="114" t="n">
        <v>90042.05</v>
      </c>
      <c r="E15" s="40">
        <f>D15/1.16</f>
        <v/>
      </c>
      <c r="F15" s="114">
        <f>D15/J15</f>
        <v/>
      </c>
      <c r="G15" s="40">
        <f>F15/1.16</f>
        <v/>
      </c>
      <c r="H15" s="114" t="n">
        <v>0</v>
      </c>
      <c r="I15" s="115" t="n">
        <v>7.51</v>
      </c>
      <c r="J15" s="89">
        <f>LET(dec, I15-INT(I15), IF(dec&lt;0.1, INT(I15), IF(dec&lt;=0.7, INT(I15)+0.5, INT(I15)+1)))</f>
        <v/>
      </c>
      <c r="K15" s="116" t="n">
        <v>46223</v>
      </c>
      <c r="L15" s="63" t="inlineStr">
        <is>
          <t>DANIEL NAHMAD</t>
        </is>
      </c>
      <c r="M15" s="36" t="inlineStr">
        <is>
          <t>JORGE DURAN</t>
        </is>
      </c>
      <c r="N15" s="89" t="inlineStr">
        <is>
          <t>DIEGO</t>
        </is>
      </c>
    </row>
    <row r="16">
      <c r="A16" s="96" t="inlineStr">
        <is>
          <t>7665076410876840725</t>
        </is>
      </c>
      <c r="B16" s="96" t="inlineStr">
        <is>
          <t>imperio_del_perfume</t>
        </is>
      </c>
      <c r="C16" s="89" t="inlineStr">
        <is>
          <t>MX</t>
        </is>
      </c>
      <c r="D16" s="114" t="n">
        <v>141795.35</v>
      </c>
      <c r="E16" s="40">
        <f>D16/1.16</f>
        <v/>
      </c>
      <c r="F16" s="114">
        <f>D16/J16</f>
        <v/>
      </c>
      <c r="G16" s="40">
        <f>F16/1.16</f>
        <v/>
      </c>
      <c r="H16" s="114" t="n">
        <v>0</v>
      </c>
      <c r="I16" s="115" t="n">
        <v>8</v>
      </c>
      <c r="J16" s="89">
        <f>LET(dec, I16-INT(I16), IF(dec&lt;0.1, INT(I16), IF(dec&lt;=0.7, INT(I16)+0.5, INT(I16)+1)))</f>
        <v/>
      </c>
      <c r="K16" s="116" t="n">
        <v>46224</v>
      </c>
      <c r="L16" s="63" t="inlineStr">
        <is>
          <t>DANIEL NAHMAD</t>
        </is>
      </c>
      <c r="M16" s="36" t="inlineStr">
        <is>
          <t>JORGE DURAN</t>
        </is>
      </c>
      <c r="N16" s="89" t="inlineStr">
        <is>
          <t>DIEGO</t>
        </is>
      </c>
    </row>
    <row r="17">
      <c r="A17" s="96" t="inlineStr">
        <is>
          <t>7665445172334955285</t>
        </is>
      </c>
      <c r="B17" s="96" t="inlineStr">
        <is>
          <t>imperio_del_perfume</t>
        </is>
      </c>
      <c r="C17" s="89" t="inlineStr">
        <is>
          <t>MX</t>
        </is>
      </c>
      <c r="D17" s="114" t="n">
        <v>84993.21000000001</v>
      </c>
      <c r="E17" s="40">
        <f>D17/1.16</f>
        <v/>
      </c>
      <c r="F17" s="114">
        <f>D17/J17</f>
        <v/>
      </c>
      <c r="G17" s="40">
        <f>F17/1.16</f>
        <v/>
      </c>
      <c r="H17" s="114" t="n">
        <v>0</v>
      </c>
      <c r="I17" s="115" t="n">
        <v>8.01</v>
      </c>
      <c r="J17" s="89">
        <f>LET(dec, I17-INT(I17), IF(dec&lt;0.1, INT(I17), IF(dec&lt;=0.7, INT(I17)+0.5, INT(I17)+1)))</f>
        <v/>
      </c>
      <c r="K17" s="116" t="n">
        <v>46225</v>
      </c>
      <c r="L17" s="63" t="inlineStr">
        <is>
          <t>DANIEL NAHMAD</t>
        </is>
      </c>
      <c r="M17" s="36" t="inlineStr">
        <is>
          <t>JORGE DURAN</t>
        </is>
      </c>
      <c r="N17" s="89" t="inlineStr">
        <is>
          <t>DIEGO</t>
        </is>
      </c>
    </row>
    <row r="18">
      <c r="A18" s="96" t="inlineStr">
        <is>
          <t>7665815631475952405</t>
        </is>
      </c>
      <c r="B18" s="96" t="inlineStr">
        <is>
          <t>imperio_del_perfume</t>
        </is>
      </c>
      <c r="C18" s="89" t="inlineStr">
        <is>
          <t>MX</t>
        </is>
      </c>
      <c r="D18" s="114" t="n">
        <v>67795.89999999999</v>
      </c>
      <c r="E18" s="40">
        <f>D18/1.16</f>
        <v/>
      </c>
      <c r="F18" s="114">
        <f>D18/J18</f>
        <v/>
      </c>
      <c r="G18" s="40">
        <f>F18/1.16</f>
        <v/>
      </c>
      <c r="H18" s="114" t="n">
        <v>0</v>
      </c>
      <c r="I18" s="115" t="n">
        <v>8.16</v>
      </c>
      <c r="J18" s="89">
        <f>LET(dec, I18-INT(I18), IF(dec&lt;0.1, INT(I18), IF(dec&lt;=0.7, INT(I18)+0.5, INT(I18)+1)))</f>
        <v/>
      </c>
      <c r="K18" s="116" t="n">
        <v>46226</v>
      </c>
      <c r="L18" s="63" t="inlineStr">
        <is>
          <t>DANIEL NAHMAD</t>
        </is>
      </c>
      <c r="M18" s="36" t="inlineStr">
        <is>
          <t>JORGE DURAN</t>
        </is>
      </c>
      <c r="N18" s="89" t="inlineStr">
        <is>
          <t>DIEGO</t>
        </is>
      </c>
    </row>
    <row r="19">
      <c r="A19" s="96" t="inlineStr">
        <is>
          <t>7666187988326714132</t>
        </is>
      </c>
      <c r="B19" s="96" t="inlineStr">
        <is>
          <t>imperio_del_perfume</t>
        </is>
      </c>
      <c r="C19" s="89" t="inlineStr">
        <is>
          <t>MX</t>
        </is>
      </c>
      <c r="D19" s="114" t="n">
        <v>100045.06</v>
      </c>
      <c r="E19" s="40">
        <f>D19/1.16</f>
        <v/>
      </c>
      <c r="F19" s="114">
        <f>D19/J19</f>
        <v/>
      </c>
      <c r="G19" s="40">
        <f>F19/1.16</f>
        <v/>
      </c>
      <c r="H19" s="114" t="n">
        <v>0</v>
      </c>
      <c r="I19" s="115" t="n">
        <v>8</v>
      </c>
      <c r="J19" s="89">
        <f>LET(dec, I19-INT(I19), IF(dec&lt;0.1, INT(I19), IF(dec&lt;=0.7, INT(I19)+0.5, INT(I19)+1)))</f>
        <v/>
      </c>
      <c r="K19" s="116" t="n">
        <v>46227</v>
      </c>
      <c r="L19" s="63" t="inlineStr">
        <is>
          <t>DANIEL NAHMAD</t>
        </is>
      </c>
      <c r="M19" s="36" t="inlineStr">
        <is>
          <t>JORGE DURAN</t>
        </is>
      </c>
      <c r="N19" s="89" t="inlineStr">
        <is>
          <t>DIEGO</t>
        </is>
      </c>
    </row>
    <row r="20">
      <c r="A20" s="96" t="inlineStr">
        <is>
          <t>7667301084125563669</t>
        </is>
      </c>
      <c r="B20" s="96" t="inlineStr">
        <is>
          <t>imperio_del_perfume</t>
        </is>
      </c>
      <c r="C20" s="89" t="inlineStr">
        <is>
          <t>MX</t>
        </is>
      </c>
      <c r="D20" s="114" t="n">
        <v>94591.97</v>
      </c>
      <c r="E20" s="40">
        <f>D20/1.16</f>
        <v/>
      </c>
      <c r="F20" s="114">
        <f>D20/J20</f>
        <v/>
      </c>
      <c r="G20" s="40">
        <f>F20/1.16</f>
        <v/>
      </c>
      <c r="H20" s="114" t="n">
        <v>0</v>
      </c>
      <c r="I20" s="115" t="n">
        <v>8.039999999999999</v>
      </c>
      <c r="J20" s="89">
        <f>LET(dec, I20-INT(I20), IF(dec&lt;0.1, INT(I20), IF(dec&lt;=0.7, INT(I20)+0.5, INT(I20)+1)))</f>
        <v/>
      </c>
      <c r="K20" s="116" t="n">
        <v>46230</v>
      </c>
      <c r="L20" s="63" t="inlineStr">
        <is>
          <t>DANIEL NAHMAD</t>
        </is>
      </c>
      <c r="M20" s="36" t="inlineStr">
        <is>
          <t>JORGE DURAN</t>
        </is>
      </c>
      <c r="N20" s="89" t="inlineStr">
        <is>
          <t>DIEGO</t>
        </is>
      </c>
    </row>
    <row r="22">
      <c r="A22" s="7" t="inlineStr">
        <is>
          <t>Room ID</t>
        </is>
      </c>
      <c r="B22" s="7" t="inlineStr">
        <is>
          <t>TT Handle</t>
        </is>
      </c>
      <c r="C22" s="7" t="inlineStr">
        <is>
          <t>Country</t>
        </is>
      </c>
      <c r="D22" s="7" t="inlineStr">
        <is>
          <t>GMV</t>
        </is>
      </c>
      <c r="E22" s="7" t="inlineStr">
        <is>
          <t>GMV/sin EVA</t>
        </is>
      </c>
      <c r="F22" s="7" t="inlineStr">
        <is>
          <t>GMV PER HOUR</t>
        </is>
      </c>
      <c r="G22" s="7" t="inlineStr">
        <is>
          <t>GMV PER HOUR/sin EVA</t>
        </is>
      </c>
      <c r="H22" s="7" t="inlineStr">
        <is>
          <t>Ads Cost</t>
        </is>
      </c>
      <c r="I22" s="7" t="inlineStr">
        <is>
          <t>Duration (H)</t>
        </is>
      </c>
      <c r="J22" s="28" t="inlineStr">
        <is>
          <t>Duration （Formula）</t>
        </is>
      </c>
      <c r="K22" s="58" t="inlineStr">
        <is>
          <t>Start date</t>
        </is>
      </c>
      <c r="L22" s="71" t="inlineStr">
        <is>
          <t>HOST1</t>
        </is>
      </c>
      <c r="M22" s="71" t="inlineStr">
        <is>
          <t xml:space="preserve">HOST 2 </t>
        </is>
      </c>
      <c r="N22" s="71" t="inlineStr">
        <is>
          <t>Operator</t>
        </is>
      </c>
    </row>
    <row r="23">
      <c r="A23" s="96" t="inlineStr">
        <is>
          <t>7667671793708141333</t>
        </is>
      </c>
      <c r="B23" s="96" t="inlineStr">
        <is>
          <t>imperio_del_perfume</t>
        </is>
      </c>
      <c r="C23" s="89" t="inlineStr">
        <is>
          <t>MX</t>
        </is>
      </c>
      <c r="D23" s="114" t="n">
        <v>72478.92</v>
      </c>
      <c r="E23" s="40">
        <f>D23/1.16</f>
        <v/>
      </c>
      <c r="F23" s="114">
        <f>D23/I23</f>
        <v/>
      </c>
      <c r="G23" s="40">
        <f>F23/1.16</f>
        <v/>
      </c>
      <c r="H23" s="114" t="n">
        <v>0</v>
      </c>
      <c r="I23" s="115" t="n">
        <v>8.02</v>
      </c>
      <c r="J23" s="89">
        <f>LET(dec, I23-INT(I23), IF(dec&lt;0.1, INT(I23), IF(dec&lt;=0.7, INT(I23)+0.5, INT(I23)+1)))</f>
        <v/>
      </c>
      <c r="K23" s="116" t="n">
        <v>46231</v>
      </c>
      <c r="L23" s="63" t="inlineStr">
        <is>
          <t>DANIEL NAHMAD</t>
        </is>
      </c>
      <c r="M23" s="36" t="inlineStr">
        <is>
          <t>JORGE DURAN</t>
        </is>
      </c>
      <c r="N23" s="89" t="inlineStr">
        <is>
          <t>DIEGO</t>
        </is>
      </c>
    </row>
    <row r="24">
      <c r="A24" s="96" t="inlineStr">
        <is>
          <t>7668045402160319253</t>
        </is>
      </c>
      <c r="B24" s="96" t="inlineStr">
        <is>
          <t>imperio_del_perfume</t>
        </is>
      </c>
      <c r="C24" s="89" t="inlineStr">
        <is>
          <t>MX</t>
        </is>
      </c>
      <c r="D24" s="114" t="n">
        <v>63959.23</v>
      </c>
      <c r="E24" s="40">
        <f>D24/1.16</f>
        <v/>
      </c>
      <c r="F24" s="114">
        <f>D24/I24</f>
        <v/>
      </c>
      <c r="G24" s="40">
        <f>F24/1.16</f>
        <v/>
      </c>
      <c r="H24" s="114" t="n">
        <v>0</v>
      </c>
      <c r="I24" s="115" t="n">
        <v>8</v>
      </c>
      <c r="J24" s="89">
        <f>LET(dec, I24-INT(I24), IF(dec&lt;0.1, INT(I24), IF(dec&lt;=0.7, INT(I24)+0.5, INT(I24)+1)))</f>
        <v/>
      </c>
      <c r="K24" s="116" t="n">
        <v>46232</v>
      </c>
      <c r="L24" s="63" t="inlineStr">
        <is>
          <t>DANIEL NAHMAD</t>
        </is>
      </c>
      <c r="M24" s="36" t="inlineStr">
        <is>
          <t>JORGE DURAN</t>
        </is>
      </c>
      <c r="N24" s="89" t="inlineStr">
        <is>
          <t>DIEGO</t>
        </is>
      </c>
    </row>
    <row r="25">
      <c r="A25" s="96" t="inlineStr">
        <is>
          <t>7668422597143038740</t>
        </is>
      </c>
      <c r="B25" s="96" t="inlineStr">
        <is>
          <t>imperio_del_perfume</t>
        </is>
      </c>
      <c r="C25" s="89" t="inlineStr">
        <is>
          <t>MX</t>
        </is>
      </c>
      <c r="D25" s="114" t="n">
        <v>83729.39</v>
      </c>
      <c r="E25" s="40">
        <f>D25/1.16</f>
        <v/>
      </c>
      <c r="F25" s="114">
        <f>D25/I25</f>
        <v/>
      </c>
      <c r="G25" s="40">
        <f>F25/1.16</f>
        <v/>
      </c>
      <c r="H25" s="114" t="n">
        <v>0</v>
      </c>
      <c r="I25" s="115" t="n">
        <v>7.76</v>
      </c>
      <c r="J25" s="89">
        <f>LET(dec, I25-INT(I25), IF(dec&lt;0.1, INT(I25), IF(dec&lt;=0.7, INT(I25)+0.5, INT(I25)+1)))</f>
        <v/>
      </c>
      <c r="K25" s="116" t="n">
        <v>46233</v>
      </c>
      <c r="L25" s="63" t="inlineStr">
        <is>
          <t>DANIEL NAHMAD</t>
        </is>
      </c>
      <c r="M25" s="36" t="inlineStr">
        <is>
          <t>JORGE DURAN</t>
        </is>
      </c>
      <c r="N25" s="89" t="inlineStr">
        <is>
          <t>DIEGO</t>
        </is>
      </c>
    </row>
    <row r="26">
      <c r="A26" s="96" t="inlineStr">
        <is>
          <t>7668794056142523143</t>
        </is>
      </c>
      <c r="B26" s="96" t="inlineStr">
        <is>
          <t>imperio_del_perfume</t>
        </is>
      </c>
      <c r="C26" s="89" t="inlineStr">
        <is>
          <t>MX</t>
        </is>
      </c>
      <c r="D26" s="114" t="n">
        <v>80877.64999999999</v>
      </c>
      <c r="E26" s="40">
        <f>D26/1.16</f>
        <v/>
      </c>
      <c r="F26" s="114">
        <f>D26/I26</f>
        <v/>
      </c>
      <c r="G26" s="40">
        <f>F26/1.16</f>
        <v/>
      </c>
      <c r="H26" s="114" t="n">
        <v>0</v>
      </c>
      <c r="I26" s="115" t="n">
        <v>8.02</v>
      </c>
      <c r="J26" s="89">
        <f>LET(dec, I26-INT(I26), IF(dec&lt;0.1, INT(I26), IF(dec&lt;=0.7, INT(I26)+0.5, INT(I26)+1)))</f>
        <v/>
      </c>
      <c r="K26" s="116" t="n">
        <v>46234</v>
      </c>
      <c r="L26" s="63" t="inlineStr">
        <is>
          <t>DANIEL NAHMAD</t>
        </is>
      </c>
      <c r="M26" s="36" t="inlineStr">
        <is>
          <t>JORGE DURAN</t>
        </is>
      </c>
      <c r="N26" s="89" t="inlineStr">
        <is>
          <t>DIEGO</t>
        </is>
      </c>
    </row>
    <row r="27">
      <c r="A27" s="96" t="inlineStr">
        <is>
          <t>7670642844645821191</t>
        </is>
      </c>
      <c r="B27" s="96" t="inlineStr">
        <is>
          <t>imperio_del_perfume</t>
        </is>
      </c>
      <c r="C27" s="89" t="inlineStr">
        <is>
          <t>MX</t>
        </is>
      </c>
      <c r="D27" s="114" t="n">
        <v>66950.63</v>
      </c>
      <c r="E27" s="40">
        <f>D27/1.16</f>
        <v/>
      </c>
      <c r="F27" s="114">
        <f>D27/I27</f>
        <v/>
      </c>
      <c r="G27" s="40">
        <f>F27/1.16</f>
        <v/>
      </c>
      <c r="H27" s="114" t="n">
        <v>0</v>
      </c>
      <c r="I27" s="115" t="n">
        <v>8.050000000000001</v>
      </c>
      <c r="J27" s="89">
        <f>LET(dec, I27-INT(I27), IF(dec&lt;0.1, INT(I27), IF(dec&lt;=0.7, INT(I27)+0.5, INT(I27)+1)))</f>
        <v/>
      </c>
      <c r="K27" s="116" t="n">
        <v>46239</v>
      </c>
      <c r="L27" s="63" t="inlineStr">
        <is>
          <t>DANIEL NAHMAD</t>
        </is>
      </c>
      <c r="M27" s="36" t="inlineStr">
        <is>
          <t>JORGE DURAN</t>
        </is>
      </c>
      <c r="N27" s="89" t="inlineStr">
        <is>
          <t>DIEGO</t>
        </is>
      </c>
    </row>
    <row r="28">
      <c r="A28" s="96" t="inlineStr">
        <is>
          <t>7671015666123574034</t>
        </is>
      </c>
      <c r="B28" s="96" t="inlineStr">
        <is>
          <t>imperio_del_perfume</t>
        </is>
      </c>
      <c r="C28" s="89" t="inlineStr">
        <is>
          <t>MX</t>
        </is>
      </c>
      <c r="D28" s="114" t="n">
        <v>69453</v>
      </c>
      <c r="E28" s="40">
        <f>D28/1.16</f>
        <v/>
      </c>
      <c r="F28" s="114">
        <f>D28/I28</f>
        <v/>
      </c>
      <c r="G28" s="40">
        <f>F28/1.16</f>
        <v/>
      </c>
      <c r="H28" s="114" t="n">
        <v>0</v>
      </c>
      <c r="I28" s="115" t="n">
        <v>8.02</v>
      </c>
      <c r="J28" s="89">
        <f>LET(dec, I28-INT(I28), IF(dec&lt;0.1, INT(I28), IF(dec&lt;=0.7, INT(I28)+0.5, INT(I28)+1)))</f>
        <v/>
      </c>
      <c r="K28" s="116" t="n">
        <v>46240</v>
      </c>
      <c r="L28" s="63" t="inlineStr">
        <is>
          <t>DANIEL NAHMAD</t>
        </is>
      </c>
      <c r="M28" s="36" t="inlineStr">
        <is>
          <t>JORGE DURAN</t>
        </is>
      </c>
      <c r="N28" s="89" t="inlineStr">
        <is>
          <t>DIEGO</t>
        </is>
      </c>
    </row>
    <row r="29">
      <c r="A29" s="96" t="inlineStr">
        <is>
          <t>7671383621520968469</t>
        </is>
      </c>
      <c r="B29" s="96" t="inlineStr">
        <is>
          <t>imperio_del_perfume</t>
        </is>
      </c>
      <c r="C29" s="89" t="inlineStr">
        <is>
          <t>MX</t>
        </is>
      </c>
      <c r="D29" s="114" t="n">
        <v>91772.37</v>
      </c>
      <c r="E29" s="40">
        <f>D29/1.16</f>
        <v/>
      </c>
      <c r="F29" s="114">
        <f>D29/I29</f>
        <v/>
      </c>
      <c r="G29" s="40">
        <f>F29/1.16</f>
        <v/>
      </c>
      <c r="H29" s="114" t="n">
        <v>0</v>
      </c>
      <c r="I29" s="115" t="n">
        <v>8.02</v>
      </c>
      <c r="J29" s="89">
        <f>LET(dec, I29-INT(I29), IF(dec&lt;0.1, INT(I29), IF(dec&lt;=0.7, INT(I29)+0.5, INT(I29)+1)))</f>
        <v/>
      </c>
      <c r="K29" s="116" t="n">
        <v>46241</v>
      </c>
      <c r="L29" s="63" t="inlineStr">
        <is>
          <t>DANIEL NAHMAD</t>
        </is>
      </c>
      <c r="M29" s="36" t="inlineStr">
        <is>
          <t>JORGE DURAN</t>
        </is>
      </c>
      <c r="N29" s="89" t="inlineStr">
        <is>
          <t>DIEGO</t>
        </is>
      </c>
    </row>
    <row r="30">
      <c r="A30" s="96" t="inlineStr">
        <is>
          <t>7672495918897957652</t>
        </is>
      </c>
      <c r="B30" s="96" t="inlineStr">
        <is>
          <t>imperio_del_perfume</t>
        </is>
      </c>
      <c r="C30" s="89" t="inlineStr">
        <is>
          <t>MX</t>
        </is>
      </c>
      <c r="D30" s="114" t="n">
        <v>73835.95</v>
      </c>
      <c r="E30" s="40">
        <f>D30/1.16</f>
        <v/>
      </c>
      <c r="F30" s="114">
        <f>D30/I30</f>
        <v/>
      </c>
      <c r="G30" s="40">
        <f>F30/1.16</f>
        <v/>
      </c>
      <c r="H30" s="114" t="n">
        <v>0</v>
      </c>
      <c r="I30" s="115" t="n">
        <v>8.050000000000001</v>
      </c>
      <c r="J30" s="89">
        <f>LET(dec, I30-INT(I30), IF(dec&lt;0.1, INT(I30), IF(dec&lt;=0.7, INT(I30)+0.5, INT(I30)+1)))</f>
        <v/>
      </c>
      <c r="K30" s="116" t="n">
        <v>46244</v>
      </c>
      <c r="L30" s="63" t="inlineStr">
        <is>
          <t>DANIEL NAHMAD</t>
        </is>
      </c>
      <c r="M30" s="36" t="inlineStr">
        <is>
          <t>JORGE DURAN</t>
        </is>
      </c>
      <c r="N30" s="89" t="inlineStr">
        <is>
          <t>DIEGO</t>
        </is>
      </c>
    </row>
    <row r="31">
      <c r="A31" s="96" t="inlineStr">
        <is>
          <t>7672870497580714773</t>
        </is>
      </c>
      <c r="B31" s="96" t="inlineStr">
        <is>
          <t>imperio_del_perfume</t>
        </is>
      </c>
      <c r="C31" s="89" t="inlineStr">
        <is>
          <t>MX</t>
        </is>
      </c>
      <c r="D31" s="114" t="n">
        <v>63112.2</v>
      </c>
      <c r="E31" s="40">
        <f>D31/1.16</f>
        <v/>
      </c>
      <c r="F31" s="114">
        <f>D31/I31</f>
        <v/>
      </c>
      <c r="G31" s="40">
        <f>F31/1.16</f>
        <v/>
      </c>
      <c r="H31" s="114" t="n">
        <v>0</v>
      </c>
      <c r="I31" s="115" t="n">
        <v>8.01</v>
      </c>
      <c r="J31" s="89">
        <f>LET(dec, I31-INT(I31), IF(dec&lt;0.1, INT(I31), IF(dec&lt;=0.7, INT(I31)+0.5, INT(I31)+1)))</f>
        <v/>
      </c>
      <c r="K31" s="116" t="n">
        <v>46245</v>
      </c>
      <c r="L31" s="63" t="inlineStr">
        <is>
          <t>DANIEL NAHMAD</t>
        </is>
      </c>
      <c r="M31" s="36" t="inlineStr">
        <is>
          <t>JORGE DURAN</t>
        </is>
      </c>
      <c r="N31" s="89" t="inlineStr">
        <is>
          <t>DIEGO</t>
        </is>
      </c>
    </row>
    <row r="32">
      <c r="A32" s="96" t="inlineStr">
        <is>
          <t>7673206502551751444</t>
        </is>
      </c>
      <c r="B32" s="96" t="inlineStr">
        <is>
          <t>imperio_del_perfume</t>
        </is>
      </c>
      <c r="C32" s="89" t="inlineStr">
        <is>
          <t>MX</t>
        </is>
      </c>
      <c r="D32" s="114" t="n">
        <v>49718.44</v>
      </c>
      <c r="E32" s="40">
        <f>D32/1.16</f>
        <v/>
      </c>
      <c r="F32" s="114">
        <f>D32/I32</f>
        <v/>
      </c>
      <c r="G32" s="40">
        <f>F32/1.16</f>
        <v/>
      </c>
      <c r="H32" s="114" t="n">
        <v>0</v>
      </c>
      <c r="I32" s="115" t="n">
        <v>10</v>
      </c>
      <c r="J32" s="89">
        <f>LET(dec, I32-INT(I32), IF(dec&lt;0.1, INT(I32), IF(dec&lt;=0.7, INT(I32)+0.5, INT(I32)+1)))</f>
        <v/>
      </c>
      <c r="K32" s="116" t="n">
        <v>46246</v>
      </c>
      <c r="L32" s="63" t="inlineStr">
        <is>
          <t>DANIEL NAHMAD</t>
        </is>
      </c>
      <c r="M32" s="36" t="inlineStr">
        <is>
          <t>JORGE DURAN</t>
        </is>
      </c>
      <c r="N32" s="89" t="inlineStr">
        <is>
          <t>DIEGO</t>
        </is>
      </c>
    </row>
    <row r="33">
      <c r="A33" s="96" t="inlineStr">
        <is>
          <t>7673583951765834516</t>
        </is>
      </c>
      <c r="B33" s="96" t="inlineStr">
        <is>
          <t>imperio_del_perfume</t>
        </is>
      </c>
      <c r="C33" s="89" t="inlineStr">
        <is>
          <t>MX</t>
        </is>
      </c>
      <c r="D33" s="114" t="n">
        <v>64850.79</v>
      </c>
      <c r="E33" s="40">
        <f>D33/1.16</f>
        <v/>
      </c>
      <c r="F33" s="114">
        <f>D33/I33</f>
        <v/>
      </c>
      <c r="G33" s="40">
        <f>F33/1.16</f>
        <v/>
      </c>
      <c r="H33" s="114" t="n">
        <v>0</v>
      </c>
      <c r="I33" s="115" t="n">
        <v>10</v>
      </c>
      <c r="J33" s="89">
        <f>LET(dec, I33-INT(I33), IF(dec&lt;0.1, INT(I33), IF(dec&lt;=0.7, INT(I33)+0.5, INT(I33)+1)))</f>
        <v/>
      </c>
      <c r="K33" s="116" t="n">
        <v>46247</v>
      </c>
      <c r="L33" s="63" t="inlineStr">
        <is>
          <t>DANIEL NAHMAD</t>
        </is>
      </c>
      <c r="M33" s="36" t="inlineStr">
        <is>
          <t>JORGE DURAN</t>
        </is>
      </c>
      <c r="N33" s="89" t="inlineStr">
        <is>
          <t>DIEGO</t>
        </is>
      </c>
    </row>
    <row r="34">
      <c r="A34" s="96" t="inlineStr">
        <is>
          <t>7673949731772500756</t>
        </is>
      </c>
      <c r="B34" s="96" t="inlineStr">
        <is>
          <t>imperio_del_perfume</t>
        </is>
      </c>
      <c r="C34" s="89" t="inlineStr">
        <is>
          <t>MX</t>
        </is>
      </c>
      <c r="D34" s="114" t="n">
        <v>131272.69</v>
      </c>
      <c r="E34" s="40">
        <f>D34/1.16</f>
        <v/>
      </c>
      <c r="F34" s="114">
        <f>D34/I34</f>
        <v/>
      </c>
      <c r="G34" s="40">
        <f>F34/1.16</f>
        <v/>
      </c>
      <c r="H34" s="114" t="n">
        <v>0</v>
      </c>
      <c r="I34" s="115" t="n">
        <v>10</v>
      </c>
      <c r="J34" s="89">
        <f>LET(dec, I34-INT(I34), IF(dec&lt;0.1, INT(I34), IF(dec&lt;=0.7, INT(I34)+0.5, INT(I34)+1)))</f>
        <v/>
      </c>
      <c r="K34" s="116" t="n">
        <v>46248</v>
      </c>
      <c r="L34" s="63" t="inlineStr">
        <is>
          <t>DANIEL NAHMAD</t>
        </is>
      </c>
      <c r="M34" s="36" t="inlineStr">
        <is>
          <t>JORGE DURAN</t>
        </is>
      </c>
      <c r="N34" s="89" t="inlineStr">
        <is>
          <t>DIEGO</t>
        </is>
      </c>
    </row>
    <row r="35">
      <c r="A35" s="96" t="inlineStr">
        <is>
          <t>7675061953498008341</t>
        </is>
      </c>
      <c r="B35" s="96" t="inlineStr">
        <is>
          <t>imperio_del_perfume</t>
        </is>
      </c>
      <c r="C35" s="89" t="inlineStr">
        <is>
          <t>MX</t>
        </is>
      </c>
      <c r="D35" s="114" t="n">
        <v>101332.13</v>
      </c>
      <c r="E35" s="40">
        <f>D35/1.16</f>
        <v/>
      </c>
      <c r="F35" s="114">
        <f>D35/I35</f>
        <v/>
      </c>
      <c r="G35" s="40">
        <f>F35/1.16</f>
        <v/>
      </c>
      <c r="H35" s="114" t="n">
        <v>0</v>
      </c>
      <c r="I35" s="115" t="n">
        <v>10</v>
      </c>
      <c r="J35" s="89">
        <f>LET(dec, I35-INT(I35), IF(dec&lt;0.1, INT(I35), IF(dec&lt;=0.7, INT(I35)+0.5, INT(I35)+1)))</f>
        <v/>
      </c>
      <c r="K35" s="116" t="n">
        <v>46251</v>
      </c>
      <c r="L35" s="63" t="inlineStr">
        <is>
          <t>DANIEL NAHMAD</t>
        </is>
      </c>
      <c r="M35" s="36" t="inlineStr">
        <is>
          <t>JORGE DURAN</t>
        </is>
      </c>
      <c r="N35" s="89" t="inlineStr">
        <is>
          <t>DIEGO</t>
        </is>
      </c>
    </row>
    <row r="36">
      <c r="A36" s="96" t="inlineStr">
        <is>
          <t>7675433997068978952</t>
        </is>
      </c>
      <c r="B36" s="96" t="inlineStr">
        <is>
          <t>imperio_del_perfume</t>
        </is>
      </c>
      <c r="C36" s="89" t="inlineStr">
        <is>
          <t>MX</t>
        </is>
      </c>
      <c r="D36" s="114" t="n">
        <v>94851.71000000001</v>
      </c>
      <c r="E36" s="40">
        <f>D36/1.16</f>
        <v/>
      </c>
      <c r="F36" s="114">
        <f>D36/I36</f>
        <v/>
      </c>
      <c r="G36" s="40">
        <f>F36/1.16</f>
        <v/>
      </c>
      <c r="H36" s="114" t="n">
        <v>0</v>
      </c>
      <c r="I36" s="115" t="n">
        <v>10.19</v>
      </c>
      <c r="J36" s="89">
        <f>LET(dec, I36-INT(I36), IF(dec&lt;0.1, INT(I36), IF(dec&lt;=0.7, INT(I36)+0.5, INT(I36)+1)))</f>
        <v/>
      </c>
      <c r="K36" s="116" t="n">
        <v>46252</v>
      </c>
      <c r="L36" s="63" t="inlineStr">
        <is>
          <t>DANIEL NAHMAD</t>
        </is>
      </c>
      <c r="M36" s="36" t="inlineStr">
        <is>
          <t>JORGE DURAN</t>
        </is>
      </c>
      <c r="N36" s="89" t="inlineStr">
        <is>
          <t>DIEGO</t>
        </is>
      </c>
    </row>
    <row r="37">
      <c r="A37" s="96" t="inlineStr">
        <is>
          <t>7675809823082646293</t>
        </is>
      </c>
      <c r="B37" s="96" t="inlineStr">
        <is>
          <t>imperio_del_perfume</t>
        </is>
      </c>
      <c r="C37" s="89" t="inlineStr">
        <is>
          <t>MX</t>
        </is>
      </c>
      <c r="D37" s="114" t="n">
        <v>31611.08</v>
      </c>
      <c r="E37" s="40">
        <f>D37/1.16</f>
        <v/>
      </c>
      <c r="F37" s="114">
        <f>D37/I37</f>
        <v/>
      </c>
      <c r="G37" s="40">
        <f>F37/1.16</f>
        <v/>
      </c>
      <c r="H37" s="114" t="n">
        <v>0</v>
      </c>
      <c r="I37" s="115" t="n">
        <v>9.710000000000001</v>
      </c>
      <c r="J37" s="89">
        <f>LET(dec, I37-INT(I37), IF(dec&lt;0.1, INT(I37), IF(dec&lt;=0.7, INT(I37)+0.5, INT(I37)+1)))</f>
        <v/>
      </c>
      <c r="K37" s="116" t="n">
        <v>46253</v>
      </c>
      <c r="L37" s="63" t="inlineStr">
        <is>
          <t>DANIEL NAHMAD</t>
        </is>
      </c>
      <c r="M37" s="36" t="inlineStr">
        <is>
          <t>JORGE DURAN</t>
        </is>
      </c>
      <c r="N37" s="89" t="inlineStr">
        <is>
          <t>DIEGO</t>
        </is>
      </c>
    </row>
    <row r="38">
      <c r="A38" s="96" t="inlineStr">
        <is>
          <t>7676180185254824712</t>
        </is>
      </c>
      <c r="B38" s="96" t="inlineStr">
        <is>
          <t>imperio_del_perfume</t>
        </is>
      </c>
      <c r="C38" s="89" t="inlineStr">
        <is>
          <t>MX</t>
        </is>
      </c>
      <c r="D38" s="114" t="n">
        <v>71847.03999999999</v>
      </c>
      <c r="E38" s="40">
        <f>D38/1.16</f>
        <v/>
      </c>
      <c r="F38" s="114">
        <f>D38/I38</f>
        <v/>
      </c>
      <c r="G38" s="40">
        <f>F38/1.16</f>
        <v/>
      </c>
      <c r="H38" s="114" t="n">
        <v>0</v>
      </c>
      <c r="I38" s="115" t="n">
        <v>10</v>
      </c>
      <c r="J38" s="89">
        <f>LET(dec, I38-INT(I38), IF(dec&lt;0.1, INT(I38), IF(dec&lt;=0.7, INT(I38)+0.5, INT(I38)+1)))</f>
        <v/>
      </c>
      <c r="K38" s="116" t="n">
        <v>46254</v>
      </c>
      <c r="L38" s="63" t="inlineStr">
        <is>
          <t>DANIEL NAHMAD</t>
        </is>
      </c>
      <c r="M38" s="36" t="inlineStr">
        <is>
          <t>JORGE DURAN</t>
        </is>
      </c>
      <c r="N38" s="89" t="inlineStr">
        <is>
          <t>DIEGO</t>
        </is>
      </c>
    </row>
    <row r="39">
      <c r="A39" s="96" t="inlineStr">
        <is>
          <t>7676547846829394695</t>
        </is>
      </c>
      <c r="B39" s="96" t="inlineStr">
        <is>
          <t>imperio_del_perfume</t>
        </is>
      </c>
      <c r="C39" s="89" t="inlineStr">
        <is>
          <t>MX</t>
        </is>
      </c>
      <c r="D39" s="114" t="n">
        <v>61653.41</v>
      </c>
      <c r="E39" s="40">
        <f>D39/1.16</f>
        <v/>
      </c>
      <c r="F39" s="114">
        <f>D39/I39</f>
        <v/>
      </c>
      <c r="G39" s="40">
        <f>F39/1.16</f>
        <v/>
      </c>
      <c r="H39" s="114" t="n">
        <v>0</v>
      </c>
      <c r="I39" s="115" t="n">
        <v>10.01</v>
      </c>
      <c r="J39" s="89">
        <f>LET(dec, I39-INT(I39), IF(dec&lt;0.1, INT(I39), IF(dec&lt;=0.7, INT(I39)+0.5, INT(I39)+1)))</f>
        <v/>
      </c>
      <c r="K39" s="116" t="n">
        <v>46255</v>
      </c>
      <c r="L39" s="63" t="inlineStr">
        <is>
          <t>DANIEL NAHMAD</t>
        </is>
      </c>
      <c r="M39" s="36" t="inlineStr">
        <is>
          <t>JORGE DURAN</t>
        </is>
      </c>
      <c r="N39" s="89" t="inlineStr">
        <is>
          <t>DIEGO</t>
        </is>
      </c>
    </row>
    <row r="40">
      <c r="A40" s="96" t="inlineStr">
        <is>
          <t>7677664549630511890</t>
        </is>
      </c>
      <c r="B40" s="96" t="inlineStr">
        <is>
          <t>imperio_del_perfume</t>
        </is>
      </c>
      <c r="C40" s="89" t="inlineStr">
        <is>
          <t>MX</t>
        </is>
      </c>
      <c r="D40" s="114" t="n">
        <v>64321.4</v>
      </c>
      <c r="E40" s="40">
        <f>D40/1.16</f>
        <v/>
      </c>
      <c r="F40" s="114">
        <f>D40/I40</f>
        <v/>
      </c>
      <c r="G40" s="40">
        <f>F40/1.16</f>
        <v/>
      </c>
      <c r="H40" s="114" t="n">
        <v>0</v>
      </c>
      <c r="I40" s="115" t="n">
        <v>10.03</v>
      </c>
      <c r="J40" s="89">
        <f>LET(dec, I40-INT(I40), IF(dec&lt;0.1, INT(I40), IF(dec&lt;=0.7, INT(I40)+0.5, INT(I40)+1)))</f>
        <v/>
      </c>
      <c r="K40" s="116" t="n">
        <v>46258</v>
      </c>
      <c r="L40" s="63" t="inlineStr">
        <is>
          <t>DANIEL NAHMAD</t>
        </is>
      </c>
      <c r="M40" s="36" t="inlineStr">
        <is>
          <t>JORGE DURAN</t>
        </is>
      </c>
      <c r="N40" s="89" t="inlineStr">
        <is>
          <t>DIEGO</t>
        </is>
      </c>
    </row>
    <row r="41">
      <c r="A41" s="96" t="inlineStr">
        <is>
          <t>7678031079235685127</t>
        </is>
      </c>
      <c r="B41" s="96" t="inlineStr">
        <is>
          <t>imperio_del_perfume</t>
        </is>
      </c>
      <c r="C41" s="89" t="inlineStr">
        <is>
          <t>MX</t>
        </is>
      </c>
      <c r="D41" s="114" t="n">
        <v>45073.45</v>
      </c>
      <c r="E41" s="40">
        <f>D41/1.16</f>
        <v/>
      </c>
      <c r="F41" s="114">
        <f>D41/I41</f>
        <v/>
      </c>
      <c r="G41" s="40">
        <f>F41/1.16</f>
        <v/>
      </c>
      <c r="H41" s="114" t="n">
        <v>0</v>
      </c>
      <c r="I41" s="115" t="n">
        <v>10.02</v>
      </c>
      <c r="J41" s="89">
        <f>LET(dec, I41-INT(I41), IF(dec&lt;0.1, INT(I41), IF(dec&lt;=0.7, INT(I41)+0.5, INT(I41)+1)))</f>
        <v/>
      </c>
      <c r="K41" s="116" t="n">
        <v>46259</v>
      </c>
      <c r="L41" s="63" t="inlineStr">
        <is>
          <t>DANIEL NAHMAD</t>
        </is>
      </c>
      <c r="M41" s="36" t="inlineStr">
        <is>
          <t>JORGE DURAN</t>
        </is>
      </c>
      <c r="N41" s="89" t="inlineStr">
        <is>
          <t>DIEGO</t>
        </is>
      </c>
    </row>
    <row r="42">
      <c r="A42" s="96" t="inlineStr">
        <is>
          <t>7678402645007403796</t>
        </is>
      </c>
      <c r="B42" s="96" t="inlineStr">
        <is>
          <t>imperio_del_perfume</t>
        </is>
      </c>
      <c r="C42" s="89" t="inlineStr">
        <is>
          <t>MX</t>
        </is>
      </c>
      <c r="D42" s="114" t="n">
        <v>63376.85</v>
      </c>
      <c r="E42" s="40">
        <f>D42/1.16</f>
        <v/>
      </c>
      <c r="F42" s="114">
        <f>D42/I42</f>
        <v/>
      </c>
      <c r="G42" s="40">
        <f>F42/1.16</f>
        <v/>
      </c>
      <c r="H42" s="114" t="n">
        <v>0</v>
      </c>
      <c r="I42" s="115" t="n">
        <v>10.04</v>
      </c>
      <c r="J42" s="89">
        <f>LET(dec, I42-INT(I42), IF(dec&lt;0.1, INT(I42), IF(dec&lt;=0.7, INT(I42)+0.5, INT(I42)+1)))</f>
        <v/>
      </c>
      <c r="K42" s="116" t="n">
        <v>46260</v>
      </c>
      <c r="L42" s="63" t="inlineStr">
        <is>
          <t>DANIEL NAHMAD</t>
        </is>
      </c>
      <c r="M42" s="36" t="inlineStr">
        <is>
          <t>JORGE DURAN</t>
        </is>
      </c>
      <c r="N42" s="89" t="inlineStr">
        <is>
          <t>DIEGO</t>
        </is>
      </c>
    </row>
    <row r="43">
      <c r="A43" s="96" t="inlineStr">
        <is>
          <t>7678774198437366549</t>
        </is>
      </c>
      <c r="B43" s="96" t="inlineStr">
        <is>
          <t>imperio_del_perfume</t>
        </is>
      </c>
      <c r="C43" s="89" t="inlineStr">
        <is>
          <t>MX</t>
        </is>
      </c>
      <c r="D43" s="114" t="n">
        <v>55667.44</v>
      </c>
      <c r="E43" s="40">
        <f>D43/1.16</f>
        <v/>
      </c>
      <c r="F43" s="114">
        <f>D43/I43</f>
        <v/>
      </c>
      <c r="G43" s="40">
        <f>F43/1.16</f>
        <v/>
      </c>
      <c r="H43" s="114" t="n">
        <v>0</v>
      </c>
      <c r="I43" s="115" t="n">
        <v>10</v>
      </c>
      <c r="J43" s="89">
        <f>LET(dec, I43-INT(I43), IF(dec&lt;0.1, INT(I43), IF(dec&lt;=0.7, INT(I43)+0.5, INT(I43)+1)))</f>
        <v/>
      </c>
      <c r="K43" s="116" t="n">
        <v>46261</v>
      </c>
      <c r="L43" s="63" t="inlineStr">
        <is>
          <t>DANIEL NAHMAD</t>
        </is>
      </c>
      <c r="M43" s="36" t="inlineStr">
        <is>
          <t>JORGE DURAN</t>
        </is>
      </c>
      <c r="N43" s="89" t="inlineStr">
        <is>
          <t>DIEGO</t>
        </is>
      </c>
    </row>
    <row r="45">
      <c r="A45" s="7" t="inlineStr">
        <is>
          <t>Room ID</t>
        </is>
      </c>
      <c r="B45" s="7" t="inlineStr">
        <is>
          <t>TT Handle</t>
        </is>
      </c>
      <c r="C45" s="7" t="inlineStr">
        <is>
          <t>Country</t>
        </is>
      </c>
      <c r="D45" s="7" t="inlineStr">
        <is>
          <t>GMV</t>
        </is>
      </c>
      <c r="E45" s="7" t="inlineStr">
        <is>
          <t>GMV/sin EVA</t>
        </is>
      </c>
      <c r="F45" s="7" t="inlineStr">
        <is>
          <t>GMV PER HOUR</t>
        </is>
      </c>
      <c r="G45" s="7" t="inlineStr">
        <is>
          <t>GMV PER HOUR/sin EVA</t>
        </is>
      </c>
      <c r="H45" s="7" t="inlineStr">
        <is>
          <t>Ads Cost</t>
        </is>
      </c>
      <c r="I45" s="7" t="inlineStr">
        <is>
          <t>Duration (H)</t>
        </is>
      </c>
      <c r="J45" s="28" t="inlineStr">
        <is>
          <t>Duration （Formula）</t>
        </is>
      </c>
      <c r="K45" s="58" t="inlineStr">
        <is>
          <t>Start date</t>
        </is>
      </c>
      <c r="L45" s="71" t="inlineStr">
        <is>
          <t>HOST1</t>
        </is>
      </c>
      <c r="M45" s="71" t="inlineStr">
        <is>
          <t xml:space="preserve">HOST 2 </t>
        </is>
      </c>
      <c r="N45" s="71" t="inlineStr">
        <is>
          <t>Operator</t>
        </is>
      </c>
    </row>
    <row r="46">
      <c r="A46" s="96" t="inlineStr">
        <is>
          <t>7679153034693921543</t>
        </is>
      </c>
      <c r="B46" s="96" t="inlineStr">
        <is>
          <t>imperio_del_perfume</t>
        </is>
      </c>
      <c r="C46" s="89" t="inlineStr">
        <is>
          <t>MX</t>
        </is>
      </c>
      <c r="D46" s="114" t="n">
        <v>110263.93</v>
      </c>
      <c r="E46" s="40">
        <f>D46/1.16</f>
        <v/>
      </c>
      <c r="F46" s="114">
        <f>D46/J46</f>
        <v/>
      </c>
      <c r="G46" s="40">
        <f>F46/1.16</f>
        <v/>
      </c>
      <c r="H46" s="114" t="n">
        <v>0</v>
      </c>
      <c r="I46" s="115" t="n">
        <v>10.05</v>
      </c>
      <c r="J46" s="89">
        <f>LET(dec, I46-INT(I46), IF(dec&lt;0.1, INT(I46), IF(dec&lt;=0.7, INT(I46)+0.5, INT(I46)+1)))</f>
        <v/>
      </c>
      <c r="K46" s="116" t="n">
        <v>46262</v>
      </c>
      <c r="L46" s="63" t="inlineStr">
        <is>
          <t>DANIEL NAHMAD</t>
        </is>
      </c>
      <c r="M46" s="36" t="inlineStr">
        <is>
          <t>JORGE DURAN</t>
        </is>
      </c>
      <c r="N46" s="89" t="inlineStr">
        <is>
          <t>DIEGO</t>
        </is>
      </c>
    </row>
    <row r="47">
      <c r="A47" s="96" t="inlineStr">
        <is>
          <t>7680335299671280405</t>
        </is>
      </c>
      <c r="B47" s="96" t="inlineStr">
        <is>
          <t>imperio_del_perfume</t>
        </is>
      </c>
      <c r="C47" s="89" t="inlineStr">
        <is>
          <t>MX</t>
        </is>
      </c>
      <c r="D47" s="114" t="n">
        <v>49970.43</v>
      </c>
      <c r="E47" s="40">
        <f>D47/1.16</f>
        <v/>
      </c>
      <c r="F47" s="114">
        <f>D47/J47</f>
        <v/>
      </c>
      <c r="G47" s="40">
        <f>F47/1.16</f>
        <v/>
      </c>
      <c r="H47" s="114" t="n">
        <v>0</v>
      </c>
      <c r="I47" s="115" t="n">
        <v>5</v>
      </c>
      <c r="J47" s="89">
        <f>LET(dec, I47-INT(I47), IF(dec&lt;0.1, INT(I47), IF(dec&lt;=0.7, INT(I47)+0.5, INT(I47)+1)))</f>
        <v/>
      </c>
      <c r="K47" s="116" t="n">
        <v>46265</v>
      </c>
      <c r="L47" s="63" t="inlineStr">
        <is>
          <t>DANIEL NAHMAD</t>
        </is>
      </c>
      <c r="M47" s="36" t="inlineStr">
        <is>
          <t>JORGE DURAN</t>
        </is>
      </c>
      <c r="N47" s="89" t="inlineStr">
        <is>
          <t>DIEGO</t>
        </is>
      </c>
    </row>
    <row r="48">
      <c r="A48" s="96" t="inlineStr">
        <is>
          <t>7680615569498540807</t>
        </is>
      </c>
      <c r="B48" s="96" t="inlineStr">
        <is>
          <t>imperio_del_perfume</t>
        </is>
      </c>
      <c r="C48" s="89" t="inlineStr">
        <is>
          <t>MX</t>
        </is>
      </c>
      <c r="D48" s="114" t="n">
        <v>121325.23</v>
      </c>
      <c r="E48" s="40">
        <f>D48/1.16</f>
        <v/>
      </c>
      <c r="F48" s="114">
        <f>D48/J48</f>
        <v/>
      </c>
      <c r="G48" s="40">
        <f>F48/1.16</f>
        <v/>
      </c>
      <c r="H48" s="114" t="n">
        <v>0</v>
      </c>
      <c r="I48" s="115" t="n">
        <v>10.88</v>
      </c>
      <c r="J48" s="89">
        <f>LET(dec, I48-INT(I48), IF(dec&lt;0.1, INT(I48), IF(dec&lt;=0.7, INT(I48)+0.5, INT(I48)+1)))</f>
        <v/>
      </c>
      <c r="K48" s="116" t="n">
        <v>46266</v>
      </c>
      <c r="L48" s="63" t="inlineStr">
        <is>
          <t>DANIEL NAHMAD</t>
        </is>
      </c>
      <c r="M48" s="36" t="inlineStr">
        <is>
          <t>JORGE DURAN</t>
        </is>
      </c>
      <c r="N48" s="89" t="inlineStr">
        <is>
          <t>DIEGO</t>
        </is>
      </c>
    </row>
    <row r="49">
      <c r="A49" s="96" t="inlineStr">
        <is>
          <t>7681007322109610772</t>
        </is>
      </c>
      <c r="B49" s="96" t="inlineStr">
        <is>
          <t>imperio_del_perfume</t>
        </is>
      </c>
      <c r="C49" s="89" t="inlineStr">
        <is>
          <t>MX</t>
        </is>
      </c>
      <c r="D49" s="114" t="n">
        <v>61046.33</v>
      </c>
      <c r="E49" s="40">
        <f>D49/1.16</f>
        <v/>
      </c>
      <c r="F49" s="114">
        <f>D49/J49</f>
        <v/>
      </c>
      <c r="G49" s="40">
        <f>F49/1.16</f>
        <v/>
      </c>
      <c r="H49" s="114" t="n">
        <v>0</v>
      </c>
      <c r="I49" s="115" t="n">
        <v>10.01</v>
      </c>
      <c r="J49" s="89">
        <f>LET(dec, I49-INT(I49), IF(dec&lt;0.1, INT(I49), IF(dec&lt;=0.7, INT(I49)+0.5, INT(I49)+1)))</f>
        <v/>
      </c>
      <c r="K49" s="116" t="n">
        <v>46267</v>
      </c>
      <c r="L49" s="63" t="inlineStr">
        <is>
          <t>DANIEL NAHMAD</t>
        </is>
      </c>
      <c r="M49" s="36" t="inlineStr">
        <is>
          <t>JORGE DURAN</t>
        </is>
      </c>
      <c r="N49" s="38" t="inlineStr">
        <is>
          <t>RODRIGO LOPEZ</t>
        </is>
      </c>
    </row>
    <row r="50">
      <c r="A50" s="96" t="inlineStr">
        <is>
          <t>7681371409947314964</t>
        </is>
      </c>
      <c r="B50" s="96" t="inlineStr">
        <is>
          <t>imperio_del_perfume</t>
        </is>
      </c>
      <c r="C50" s="89" t="inlineStr">
        <is>
          <t>MX</t>
        </is>
      </c>
      <c r="D50" s="114" t="n">
        <v>110666.89</v>
      </c>
      <c r="E50" s="40">
        <f>D50/1.16</f>
        <v/>
      </c>
      <c r="F50" s="114">
        <f>D50/J50</f>
        <v/>
      </c>
      <c r="G50" s="40">
        <f>F50/1.16</f>
        <v/>
      </c>
      <c r="H50" s="114" t="n">
        <v>0</v>
      </c>
      <c r="I50" s="115" t="n">
        <v>10.01</v>
      </c>
      <c r="J50" s="89">
        <f>LET(dec, I50-INT(I50), IF(dec&lt;0.1, INT(I50), IF(dec&lt;=0.7, INT(I50)+0.5, INT(I50)+1)))</f>
        <v/>
      </c>
      <c r="K50" s="116" t="n">
        <v>46268</v>
      </c>
      <c r="L50" s="63" t="inlineStr">
        <is>
          <t>DANIEL NAHMAD</t>
        </is>
      </c>
      <c r="M50" s="36" t="inlineStr">
        <is>
          <t>JORGE DURAN</t>
        </is>
      </c>
      <c r="N50" s="38" t="inlineStr">
        <is>
          <t>RODRIGO LOPEZ</t>
        </is>
      </c>
    </row>
    <row r="51">
      <c r="A51" s="96" t="inlineStr">
        <is>
          <t>7681745695426693895</t>
        </is>
      </c>
      <c r="B51" s="96" t="inlineStr">
        <is>
          <t>imperio_del_perfume</t>
        </is>
      </c>
      <c r="C51" s="89" t="inlineStr">
        <is>
          <t>MX</t>
        </is>
      </c>
      <c r="D51" s="114" t="n">
        <v>53785.63</v>
      </c>
      <c r="E51" s="40">
        <f>D51/1.16</f>
        <v/>
      </c>
      <c r="F51" s="114">
        <f>D51/J51</f>
        <v/>
      </c>
      <c r="G51" s="40">
        <f>F51/1.16</f>
        <v/>
      </c>
      <c r="H51" s="114" t="n">
        <v>0</v>
      </c>
      <c r="I51" s="115" t="n">
        <v>10.01</v>
      </c>
      <c r="J51" s="89">
        <f>LET(dec, I51-INT(I51), IF(dec&lt;0.1, INT(I51), IF(dec&lt;=0.7, INT(I51)+0.5, INT(I51)+1)))</f>
        <v/>
      </c>
      <c r="K51" s="116" t="n">
        <v>46269</v>
      </c>
      <c r="L51" s="63" t="inlineStr">
        <is>
          <t>DANIEL NAHMAD</t>
        </is>
      </c>
      <c r="M51" s="36" t="inlineStr">
        <is>
          <t>JORGE DURAN</t>
        </is>
      </c>
      <c r="N51" s="38" t="inlineStr">
        <is>
          <t>RODRIGO LOPEZ</t>
        </is>
      </c>
    </row>
    <row r="52">
      <c r="A52" s="96" t="inlineStr">
        <is>
          <t>7682856338384390919</t>
        </is>
      </c>
      <c r="B52" s="96" t="inlineStr">
        <is>
          <t>imperio_del_perfume</t>
        </is>
      </c>
      <c r="C52" s="89" t="inlineStr">
        <is>
          <t>MX</t>
        </is>
      </c>
      <c r="D52" s="114" t="n">
        <v>72872.38</v>
      </c>
      <c r="E52" s="40">
        <f>D52/1.16</f>
        <v/>
      </c>
      <c r="F52" s="114">
        <f>D52/J52</f>
        <v/>
      </c>
      <c r="G52" s="40">
        <f>F52/1.16</f>
        <v/>
      </c>
      <c r="H52" s="114" t="n">
        <v>0</v>
      </c>
      <c r="I52" s="115" t="n">
        <v>10.01</v>
      </c>
      <c r="J52" s="89">
        <f>LET(dec, I52-INT(I52), IF(dec&lt;0.1, INT(I52), IF(dec&lt;=0.7, INT(I52)+0.5, INT(I52)+1)))</f>
        <v/>
      </c>
      <c r="K52" s="116" t="n">
        <v>46272</v>
      </c>
      <c r="L52" s="63" t="inlineStr">
        <is>
          <t>DANIEL NAHMAD</t>
        </is>
      </c>
      <c r="M52" s="36" t="inlineStr">
        <is>
          <t>JORGE DURAN</t>
        </is>
      </c>
      <c r="N52" s="89" t="inlineStr">
        <is>
          <t>DIEGO</t>
        </is>
      </c>
    </row>
    <row r="53">
      <c r="A53" s="96" t="inlineStr">
        <is>
          <t>7683228903809190676</t>
        </is>
      </c>
      <c r="B53" s="96" t="inlineStr">
        <is>
          <t>imperio_del_perfume</t>
        </is>
      </c>
      <c r="C53" s="89" t="inlineStr">
        <is>
          <t>MX</t>
        </is>
      </c>
      <c r="D53" s="114" t="n">
        <v>44037.67</v>
      </c>
      <c r="E53" s="40">
        <f>D53/1.16</f>
        <v/>
      </c>
      <c r="F53" s="114">
        <f>D53/J53</f>
        <v/>
      </c>
      <c r="G53" s="40">
        <f>F53/1.16</f>
        <v/>
      </c>
      <c r="H53" s="114" t="n">
        <v>0</v>
      </c>
      <c r="I53" s="115" t="n">
        <v>10</v>
      </c>
      <c r="J53" s="89">
        <f>LET(dec, I53-INT(I53), IF(dec&lt;0.1, INT(I53), IF(dec&lt;=0.7, INT(I53)+0.5, INT(I53)+1)))</f>
        <v/>
      </c>
      <c r="K53" s="116" t="n">
        <v>46273</v>
      </c>
      <c r="L53" s="63" t="inlineStr">
        <is>
          <t>DANIEL NAHMAD</t>
        </is>
      </c>
      <c r="M53" s="36" t="inlineStr">
        <is>
          <t>JORGE DURAN</t>
        </is>
      </c>
      <c r="N53" s="89" t="inlineStr">
        <is>
          <t>DIEGO</t>
        </is>
      </c>
    </row>
    <row r="54">
      <c r="A54" s="96" t="inlineStr">
        <is>
          <t>7683601870363511560</t>
        </is>
      </c>
      <c r="B54" s="96" t="inlineStr">
        <is>
          <t>imperio_del_perfume</t>
        </is>
      </c>
      <c r="C54" s="89" t="inlineStr">
        <is>
          <t>MX</t>
        </is>
      </c>
      <c r="D54" s="114" t="n">
        <v>67593.92999999999</v>
      </c>
      <c r="E54" s="40">
        <f>D54/1.16</f>
        <v/>
      </c>
      <c r="F54" s="114">
        <f>D54/J54</f>
        <v/>
      </c>
      <c r="G54" s="40">
        <f>F54/1.16</f>
        <v/>
      </c>
      <c r="H54" s="114" t="n">
        <v>0</v>
      </c>
      <c r="I54" s="115" t="n">
        <v>10</v>
      </c>
      <c r="J54" s="89">
        <f>LET(dec, I54-INT(I54), IF(dec&lt;0.1, INT(I54), IF(dec&lt;=0.7, INT(I54)+0.5, INT(I54)+1)))</f>
        <v/>
      </c>
      <c r="K54" s="116" t="n">
        <v>46274</v>
      </c>
      <c r="L54" s="63" t="inlineStr">
        <is>
          <t>DANIEL NAHMAD</t>
        </is>
      </c>
      <c r="M54" s="36" t="inlineStr">
        <is>
          <t>JORGE DURAN</t>
        </is>
      </c>
      <c r="N54" s="89" t="inlineStr">
        <is>
          <t>DIEGO</t>
        </is>
      </c>
    </row>
    <row r="55">
      <c r="A55" s="96" t="inlineStr">
        <is>
          <t>7683999044598795028</t>
        </is>
      </c>
      <c r="B55" s="96" t="inlineStr">
        <is>
          <t>imperio_del_perfume</t>
        </is>
      </c>
      <c r="C55" s="89" t="inlineStr">
        <is>
          <t>MX</t>
        </is>
      </c>
      <c r="D55" s="114" t="n">
        <v>63033.38</v>
      </c>
      <c r="E55" s="40">
        <f>D55/1.16</f>
        <v/>
      </c>
      <c r="F55" s="114">
        <f>D55/J55</f>
        <v/>
      </c>
      <c r="G55" s="40">
        <f>F55/1.16</f>
        <v/>
      </c>
      <c r="H55" s="114" t="n">
        <v>0</v>
      </c>
      <c r="I55" s="115" t="n">
        <v>8</v>
      </c>
      <c r="J55" s="89">
        <f>LET(dec, I55-INT(I55), IF(dec&lt;0.1, INT(I55), IF(dec&lt;=0.7, INT(I55)+0.5, INT(I55)+1)))</f>
        <v/>
      </c>
      <c r="K55" s="116" t="n">
        <v>46275</v>
      </c>
      <c r="L55" s="63" t="inlineStr">
        <is>
          <t>DANIEL NAHMAD</t>
        </is>
      </c>
      <c r="M55" s="36" t="inlineStr">
        <is>
          <t>JORGE DURAN</t>
        </is>
      </c>
      <c r="N55" s="89" t="inlineStr">
        <is>
          <t>DIEGO</t>
        </is>
      </c>
    </row>
    <row r="56">
      <c r="A56" s="96" t="inlineStr">
        <is>
          <t>7684372492766677780</t>
        </is>
      </c>
      <c r="B56" s="96" t="inlineStr">
        <is>
          <t>imperio_del_perfume</t>
        </is>
      </c>
      <c r="C56" s="89" t="inlineStr">
        <is>
          <t>MX</t>
        </is>
      </c>
      <c r="D56" s="114" t="n">
        <v>6912.09</v>
      </c>
      <c r="E56" s="40">
        <f>D56/1.16</f>
        <v/>
      </c>
      <c r="F56" s="114">
        <f>D56/J56</f>
        <v/>
      </c>
      <c r="G56" s="40">
        <f>F56/1.16</f>
        <v/>
      </c>
      <c r="H56" s="114" t="n">
        <v>0</v>
      </c>
      <c r="I56" s="115" t="n">
        <v>1.61</v>
      </c>
      <c r="J56" s="89">
        <f>LET(dec, I56-INT(I56), IF(dec&lt;0.1, INT(I56), IF(dec&lt;=0.7, INT(I56)+0.5, INT(I56)+1)))</f>
        <v/>
      </c>
      <c r="K56" s="116" t="n">
        <v>46276</v>
      </c>
      <c r="L56" s="63" t="inlineStr">
        <is>
          <t>DANIEL NAHMAD</t>
        </is>
      </c>
      <c r="M56" s="36" t="inlineStr">
        <is>
          <t>JORGE DURAN</t>
        </is>
      </c>
      <c r="N56" s="89" t="inlineStr">
        <is>
          <t>DIEGO</t>
        </is>
      </c>
    </row>
    <row r="57">
      <c r="A57" s="96" t="inlineStr">
        <is>
          <t>7684400983689956117</t>
        </is>
      </c>
      <c r="B57" s="96" t="inlineStr">
        <is>
          <t>imperio_del_perfume</t>
        </is>
      </c>
      <c r="C57" s="89" t="inlineStr">
        <is>
          <t>MX</t>
        </is>
      </c>
      <c r="D57" s="114" t="n">
        <v>45993.31</v>
      </c>
      <c r="E57" s="40">
        <f>D57/1.16</f>
        <v/>
      </c>
      <c r="F57" s="114">
        <f>D57/J57</f>
        <v/>
      </c>
      <c r="G57" s="40">
        <f>F57/1.16</f>
        <v/>
      </c>
      <c r="H57" s="114" t="n">
        <v>0</v>
      </c>
      <c r="I57" s="115" t="n">
        <v>6.22</v>
      </c>
      <c r="J57" s="89">
        <f>LET(dec, I57-INT(I57), IF(dec&lt;0.1, INT(I57), IF(dec&lt;=0.7, INT(I57)+0.5, INT(I57)+1)))</f>
        <v/>
      </c>
      <c r="K57" s="116" t="n">
        <v>46276</v>
      </c>
      <c r="L57" s="63" t="inlineStr">
        <is>
          <t>DANIEL NAHMAD</t>
        </is>
      </c>
      <c r="M57" s="36" t="inlineStr">
        <is>
          <t>JORGE DURAN</t>
        </is>
      </c>
      <c r="N57" s="89" t="inlineStr">
        <is>
          <t>DIEGO</t>
        </is>
      </c>
    </row>
    <row r="58">
      <c r="A58" s="96" t="inlineStr">
        <is>
          <t>7685467685064297224</t>
        </is>
      </c>
      <c r="B58" s="96" t="inlineStr">
        <is>
          <t>imperio_del_perfume</t>
        </is>
      </c>
      <c r="C58" s="89" t="inlineStr">
        <is>
          <t>MX</t>
        </is>
      </c>
      <c r="D58" s="114" t="n">
        <v>48474.69</v>
      </c>
      <c r="E58" s="40">
        <f>D58/1.16</f>
        <v/>
      </c>
      <c r="F58" s="114">
        <f>D58/J58</f>
        <v/>
      </c>
      <c r="G58" s="40">
        <f>F58/1.16</f>
        <v/>
      </c>
      <c r="H58" s="114" t="n">
        <v>0</v>
      </c>
      <c r="I58" s="115" t="n">
        <v>9</v>
      </c>
      <c r="J58" s="89">
        <f>LET(dec, I58-INT(I58), IF(dec&lt;0.1, INT(I58), IF(dec&lt;=0.7, INT(I58)+0.5, INT(I58)+1)))</f>
        <v/>
      </c>
      <c r="K58" s="116" t="n">
        <v>46279</v>
      </c>
      <c r="L58" s="63" t="inlineStr">
        <is>
          <t>DANIEL NAHMAD</t>
        </is>
      </c>
      <c r="M58" s="36" t="inlineStr">
        <is>
          <t>JORGE DURAN</t>
        </is>
      </c>
      <c r="N58" s="89" t="inlineStr">
        <is>
          <t>DIEGO</t>
        </is>
      </c>
    </row>
    <row r="59">
      <c r="A59" s="96" t="inlineStr">
        <is>
          <t>7685764155915127572</t>
        </is>
      </c>
      <c r="B59" s="96" t="inlineStr">
        <is>
          <t>imperio_del_perfume</t>
        </is>
      </c>
      <c r="C59" s="89" t="inlineStr">
        <is>
          <t>MX</t>
        </is>
      </c>
      <c r="D59" s="114" t="n">
        <v>42945.15</v>
      </c>
      <c r="E59" s="40">
        <f>D59/1.16</f>
        <v/>
      </c>
      <c r="F59" s="114">
        <f>D59/J59</f>
        <v/>
      </c>
      <c r="G59" s="40">
        <f>F59/1.16</f>
        <v/>
      </c>
      <c r="H59" s="114" t="n">
        <v>0</v>
      </c>
      <c r="I59" s="115" t="n">
        <v>10.02</v>
      </c>
      <c r="J59" s="89">
        <f>LET(dec, I59-INT(I59), IF(dec&lt;0.1, INT(I59), IF(dec&lt;=0.7, INT(I59)+0.5, INT(I59)+1)))</f>
        <v/>
      </c>
      <c r="K59" s="116" t="n">
        <v>46280</v>
      </c>
      <c r="L59" s="63" t="inlineStr">
        <is>
          <t>DANIEL NAHMAD</t>
        </is>
      </c>
      <c r="M59" s="36" t="inlineStr">
        <is>
          <t>JORGE DURAN</t>
        </is>
      </c>
      <c r="N59" s="89" t="inlineStr">
        <is>
          <t>DIEGO</t>
        </is>
      </c>
    </row>
    <row r="60">
      <c r="A60" s="96" t="inlineStr">
        <is>
          <t>7686565151422171925</t>
        </is>
      </c>
      <c r="B60" s="96" t="inlineStr">
        <is>
          <t>imperio_del_perfume</t>
        </is>
      </c>
      <c r="C60" s="89" t="inlineStr">
        <is>
          <t>MX</t>
        </is>
      </c>
      <c r="D60" s="114" t="n">
        <v>117076.61</v>
      </c>
      <c r="E60" s="40">
        <f>D60/1.16</f>
        <v/>
      </c>
      <c r="F60" s="114">
        <f>D60/J60</f>
        <v/>
      </c>
      <c r="G60" s="40">
        <f>F60/1.16</f>
        <v/>
      </c>
      <c r="H60" s="114" t="n">
        <v>0</v>
      </c>
      <c r="I60" s="115" t="n">
        <v>10.01</v>
      </c>
      <c r="J60" s="89">
        <f>LET(dec, I60-INT(I60), IF(dec&lt;0.1, INT(I60), IF(dec&lt;=0.7, INT(I60)+0.5, INT(I60)+1)))</f>
        <v/>
      </c>
      <c r="K60" s="116" t="n">
        <v>46282</v>
      </c>
      <c r="L60" s="63" t="inlineStr">
        <is>
          <t>DANIEL NAHMAD</t>
        </is>
      </c>
      <c r="M60" s="36" t="inlineStr">
        <is>
          <t>JORGE DURAN</t>
        </is>
      </c>
      <c r="N60" s="89" t="inlineStr">
        <is>
          <t>DIEGO</t>
        </is>
      </c>
    </row>
    <row r="61">
      <c r="A61" s="96" t="inlineStr">
        <is>
          <t>7686937235870714631</t>
        </is>
      </c>
      <c r="B61" s="96" t="inlineStr">
        <is>
          <t>imperio_del_perfume</t>
        </is>
      </c>
      <c r="C61" s="89" t="inlineStr">
        <is>
          <t>MX</t>
        </is>
      </c>
      <c r="D61" s="114" t="n">
        <v>87741.27</v>
      </c>
      <c r="E61" s="40">
        <f>D61/1.16</f>
        <v/>
      </c>
      <c r="F61" s="114">
        <f>D61/J61</f>
        <v/>
      </c>
      <c r="G61" s="40">
        <f>F61/1.16</f>
        <v/>
      </c>
      <c r="H61" s="114" t="n">
        <v>0</v>
      </c>
      <c r="I61" s="115" t="n">
        <v>10.06</v>
      </c>
      <c r="J61" s="89">
        <f>LET(dec, I61-INT(I61), IF(dec&lt;0.1, INT(I61), IF(dec&lt;=0.7, INT(I61)+0.5, INT(I61)+1)))</f>
        <v/>
      </c>
      <c r="K61" s="116" t="n">
        <v>46283</v>
      </c>
      <c r="L61" s="63" t="inlineStr">
        <is>
          <t>DANIEL NAHMAD</t>
        </is>
      </c>
      <c r="M61" s="36" t="inlineStr">
        <is>
          <t>JORGE DURAN</t>
        </is>
      </c>
      <c r="N61" s="89" t="inlineStr">
        <is>
          <t>DIEGO</t>
        </is>
      </c>
    </row>
    <row r="62">
      <c r="A62" s="96" t="inlineStr">
        <is>
          <t>7688051148218927890</t>
        </is>
      </c>
      <c r="B62" s="96" t="inlineStr">
        <is>
          <t>imperio_del_perfume</t>
        </is>
      </c>
      <c r="C62" s="89" t="inlineStr">
        <is>
          <t>MX</t>
        </is>
      </c>
      <c r="D62" s="114" t="n">
        <v>48113.85</v>
      </c>
      <c r="E62" s="40">
        <f>D62/1.16</f>
        <v/>
      </c>
      <c r="F62" s="114">
        <f>D62/J62</f>
        <v/>
      </c>
      <c r="G62" s="40">
        <f>F62/1.16</f>
        <v/>
      </c>
      <c r="H62" s="114" t="n">
        <v>0</v>
      </c>
      <c r="I62" s="115" t="n">
        <v>9.02</v>
      </c>
      <c r="J62" s="89">
        <f>LET(dec, I62-INT(I62), IF(dec&lt;0.1, INT(I62), IF(dec&lt;=0.7, INT(I62)+0.5, INT(I62)+1)))</f>
        <v/>
      </c>
      <c r="K62" s="116" t="n">
        <v>46286</v>
      </c>
      <c r="L62" s="63" t="inlineStr">
        <is>
          <t>DANIEL NAHMAD</t>
        </is>
      </c>
      <c r="M62" s="36" t="inlineStr">
        <is>
          <t>JORGE DURAN</t>
        </is>
      </c>
      <c r="N62" s="89" t="inlineStr">
        <is>
          <t>DIEGO</t>
        </is>
      </c>
    </row>
    <row r="63">
      <c r="A63" s="96" t="inlineStr">
        <is>
          <t>7688421589509819154</t>
        </is>
      </c>
      <c r="B63" s="96" t="inlineStr">
        <is>
          <t>imperio_del_perfume</t>
        </is>
      </c>
      <c r="C63" s="89" t="inlineStr">
        <is>
          <t>MX</t>
        </is>
      </c>
      <c r="D63" s="114" t="n">
        <v>63939.67</v>
      </c>
      <c r="E63" s="40">
        <f>D63/1.16</f>
        <v/>
      </c>
      <c r="F63" s="114">
        <f>D63/J63</f>
        <v/>
      </c>
      <c r="G63" s="40">
        <f>F63/1.16</f>
        <v/>
      </c>
      <c r="H63" s="114" t="n">
        <v>0</v>
      </c>
      <c r="I63" s="115" t="n">
        <v>10.01</v>
      </c>
      <c r="J63" s="89">
        <f>LET(dec, I63-INT(I63), IF(dec&lt;0.1, INT(I63), IF(dec&lt;=0.7, INT(I63)+0.5, INT(I63)+1)))</f>
        <v/>
      </c>
      <c r="K63" s="116" t="n">
        <v>46287</v>
      </c>
      <c r="L63" s="63" t="inlineStr">
        <is>
          <t>DANIEL NAHMAD</t>
        </is>
      </c>
      <c r="M63" s="36" t="inlineStr">
        <is>
          <t>JORGE DURAN</t>
        </is>
      </c>
      <c r="N63" s="89" t="inlineStr">
        <is>
          <t>DIEGO</t>
        </is>
      </c>
    </row>
    <row r="64">
      <c r="A64" s="96" t="inlineStr">
        <is>
          <t>7688792032433933057</t>
        </is>
      </c>
      <c r="B64" s="96" t="inlineStr">
        <is>
          <t>imperio_del_perfume</t>
        </is>
      </c>
      <c r="C64" s="89" t="inlineStr">
        <is>
          <t>MX</t>
        </is>
      </c>
      <c r="D64" s="114" t="n">
        <v>44166.69</v>
      </c>
      <c r="E64" s="40">
        <f>D64/1.16</f>
        <v/>
      </c>
      <c r="F64" s="114">
        <f>D64/J64</f>
        <v/>
      </c>
      <c r="G64" s="40">
        <f>F64/1.16</f>
        <v/>
      </c>
      <c r="H64" s="114" t="n">
        <v>0</v>
      </c>
      <c r="I64" s="115" t="n">
        <v>10</v>
      </c>
      <c r="J64" s="89">
        <f>LET(dec, I64-INT(I64), IF(dec&lt;0.1, INT(I64), IF(dec&lt;=0.7, INT(I64)+0.5, INT(I64)+1)))</f>
        <v/>
      </c>
      <c r="K64" s="116" t="n">
        <v>46288</v>
      </c>
      <c r="L64" s="63" t="inlineStr">
        <is>
          <t>DANIEL NAHMAD</t>
        </is>
      </c>
      <c r="M64" s="36" t="inlineStr">
        <is>
          <t>JORGE DURAN</t>
        </is>
      </c>
      <c r="N64" s="89" t="inlineStr">
        <is>
          <t>DIEGO</t>
        </is>
      </c>
    </row>
    <row r="65">
      <c r="A65" s="96" t="inlineStr">
        <is>
          <t>7689164418491403009</t>
        </is>
      </c>
      <c r="B65" s="96" t="inlineStr">
        <is>
          <t>imperio_del_perfume</t>
        </is>
      </c>
      <c r="C65" s="89" t="inlineStr">
        <is>
          <t>MX</t>
        </is>
      </c>
      <c r="D65" s="114" t="n">
        <v>33443.84</v>
      </c>
      <c r="E65" s="40">
        <f>D65/1.16</f>
        <v/>
      </c>
      <c r="F65" s="114">
        <f>D65/J65</f>
        <v/>
      </c>
      <c r="G65" s="40">
        <f>F65/1.16</f>
        <v/>
      </c>
      <c r="H65" s="114" t="n">
        <v>0</v>
      </c>
      <c r="I65" s="115" t="n">
        <v>10.01</v>
      </c>
      <c r="J65" s="89">
        <f>LET(dec, I65-INT(I65), IF(dec&lt;0.1, INT(I65), IF(dec&lt;=0.7, INT(I65)+0.5, INT(I65)+1)))</f>
        <v/>
      </c>
      <c r="K65" s="116" t="n">
        <v>46289</v>
      </c>
      <c r="L65" s="63" t="inlineStr">
        <is>
          <t>DANIEL NAHMAD</t>
        </is>
      </c>
      <c r="M65" s="36" t="inlineStr">
        <is>
          <t>JORGE DURAN</t>
        </is>
      </c>
      <c r="N65" s="89" t="inlineStr">
        <is>
          <t>DIEGO</t>
        </is>
      </c>
    </row>
    <row r="66">
      <c r="A66" s="96" t="inlineStr">
        <is>
          <t>7689537442227014420</t>
        </is>
      </c>
      <c r="B66" s="96" t="inlineStr">
        <is>
          <t>imperio_del_perfume</t>
        </is>
      </c>
      <c r="C66" s="89" t="inlineStr">
        <is>
          <t>MX</t>
        </is>
      </c>
      <c r="D66" s="114" t="n">
        <v>49234.86</v>
      </c>
      <c r="E66" s="40">
        <f>D66/1.16</f>
        <v/>
      </c>
      <c r="F66" s="114">
        <f>D66/J66</f>
        <v/>
      </c>
      <c r="G66" s="40">
        <f>F66/1.16</f>
        <v/>
      </c>
      <c r="H66" s="114" t="n">
        <v>0</v>
      </c>
      <c r="I66" s="115" t="n">
        <v>10.02</v>
      </c>
      <c r="J66" s="89">
        <f>LET(dec, I66-INT(I66), IF(dec&lt;0.1, INT(I66), IF(dec&lt;=0.7, INT(I66)+0.5, INT(I66)+1)))</f>
        <v/>
      </c>
      <c r="K66" s="116" t="n">
        <v>46290</v>
      </c>
      <c r="L66" s="63" t="inlineStr">
        <is>
          <t>DANIEL NAHMAD</t>
        </is>
      </c>
      <c r="M66" s="36" t="inlineStr">
        <is>
          <t>JORGE DURAN</t>
        </is>
      </c>
      <c r="N66" s="89" t="inlineStr">
        <is>
          <t>DIEGO</t>
        </is>
      </c>
    </row>
    <row r="68">
      <c r="A68" s="7" t="inlineStr">
        <is>
          <t>Room ID</t>
        </is>
      </c>
      <c r="B68" s="7" t="inlineStr">
        <is>
          <t>TT Handle</t>
        </is>
      </c>
      <c r="C68" s="7" t="inlineStr">
        <is>
          <t>Country</t>
        </is>
      </c>
      <c r="D68" s="7" t="inlineStr">
        <is>
          <t>GMV</t>
        </is>
      </c>
      <c r="E68" s="7" t="inlineStr">
        <is>
          <t>GMV/sin EVA</t>
        </is>
      </c>
      <c r="F68" s="7" t="inlineStr">
        <is>
          <t>GMV PER HOUR</t>
        </is>
      </c>
      <c r="G68" s="7" t="inlineStr">
        <is>
          <t>GMV PER HOUR/sin EVA</t>
        </is>
      </c>
      <c r="H68" s="7" t="inlineStr">
        <is>
          <t>Ads Cost</t>
        </is>
      </c>
      <c r="I68" s="7" t="inlineStr">
        <is>
          <t>Duration (H)</t>
        </is>
      </c>
      <c r="J68" s="28" t="inlineStr">
        <is>
          <t>Duration （Formula）</t>
        </is>
      </c>
      <c r="K68" s="58" t="inlineStr">
        <is>
          <t>Start date</t>
        </is>
      </c>
      <c r="L68" s="71" t="inlineStr">
        <is>
          <t>HOST1</t>
        </is>
      </c>
      <c r="M68" s="71" t="inlineStr">
        <is>
          <t xml:space="preserve">HOST 2 </t>
        </is>
      </c>
      <c r="N68" s="71" t="inlineStr">
        <is>
          <t>Operator</t>
        </is>
      </c>
    </row>
    <row r="69">
      <c r="A69" s="96" t="inlineStr">
        <is>
          <t>7690657916155661074</t>
        </is>
      </c>
      <c r="B69" s="96" t="inlineStr">
        <is>
          <t>imperio_del_perfume</t>
        </is>
      </c>
      <c r="C69" s="89" t="inlineStr">
        <is>
          <t>MX</t>
        </is>
      </c>
      <c r="D69" s="114" t="n">
        <v>45578.08</v>
      </c>
      <c r="E69" s="40">
        <f>D69/1.16</f>
        <v/>
      </c>
      <c r="F69" s="114">
        <f>IFERROR(D69/J69,0)</f>
        <v/>
      </c>
      <c r="G69" s="40">
        <f>F69/1.16</f>
        <v/>
      </c>
      <c r="H69" s="114" t="n"/>
      <c r="I69" s="115" t="n">
        <v>10</v>
      </c>
      <c r="J69" s="89">
        <f>IF(I69-INT(I69)&lt;0.1,INT(I69),IF(I69-INT(I69)&lt;=0.7,INT(I69)+0.5,INT(I69)+1))</f>
        <v/>
      </c>
      <c r="K69" s="116" t="n">
        <v>46293</v>
      </c>
      <c r="L69" s="63" t="inlineStr">
        <is>
          <t>DANIEL NAHMAD</t>
        </is>
      </c>
      <c r="M69" s="36" t="inlineStr">
        <is>
          <t>JORGE DURAN</t>
        </is>
      </c>
      <c r="N69" s="89" t="inlineStr">
        <is>
          <t>DIEGO</t>
        </is>
      </c>
    </row>
    <row r="70">
      <c r="A70" s="96" t="inlineStr">
        <is>
          <t>7691020864623528724</t>
        </is>
      </c>
      <c r="B70" s="96" t="inlineStr">
        <is>
          <t>imperio_del_perfume</t>
        </is>
      </c>
      <c r="C70" s="89" t="inlineStr">
        <is>
          <t>MX</t>
        </is>
      </c>
      <c r="D70" s="114" t="n">
        <v>42756.43</v>
      </c>
      <c r="E70" s="40">
        <f>D70/1.16</f>
        <v/>
      </c>
      <c r="F70" s="114">
        <f>IFERROR(D70/J70,0)</f>
        <v/>
      </c>
      <c r="G70" s="40">
        <f>F70/1.16</f>
        <v/>
      </c>
      <c r="H70" s="114" t="n"/>
      <c r="I70" s="115" t="n">
        <v>10.01</v>
      </c>
      <c r="J70" s="89">
        <f>IF(I70-INT(I70)&lt;0.1,INT(I70),IF(I70-INT(I70)&lt;=0.7,INT(I70)+0.5,INT(I70)+1))</f>
        <v/>
      </c>
      <c r="K70" s="116" t="n">
        <v>46294</v>
      </c>
      <c r="L70" s="63" t="inlineStr">
        <is>
          <t>DANIEL NAHMAD</t>
        </is>
      </c>
      <c r="M70" s="36" t="inlineStr">
        <is>
          <t>JORGE DURAN</t>
        </is>
      </c>
      <c r="N70" s="89" t="inlineStr">
        <is>
          <t>DIEGO</t>
        </is>
      </c>
    </row>
    <row r="71">
      <c r="A71" s="96" t="inlineStr">
        <is>
          <t>7691415345495591698</t>
        </is>
      </c>
      <c r="B71" s="96" t="inlineStr">
        <is>
          <t>imperio_del_perfume</t>
        </is>
      </c>
      <c r="C71" s="89" t="inlineStr">
        <is>
          <t>MX</t>
        </is>
      </c>
      <c r="D71" s="114" t="n">
        <v>11097.73</v>
      </c>
      <c r="E71" s="40">
        <f>D71/1.16</f>
        <v/>
      </c>
      <c r="F71" s="114">
        <f>IFERROR(D71/J71,0)</f>
        <v/>
      </c>
      <c r="G71" s="40">
        <f>F71/1.16</f>
        <v/>
      </c>
      <c r="H71" s="114" t="n"/>
      <c r="I71" s="115" t="n">
        <v>3.34</v>
      </c>
      <c r="J71" s="89">
        <f>IF(I71-INT(I71)&lt;0.1,INT(I71),IF(I71-INT(I71)&lt;=0.7,INT(I71)+0.5,INT(I71)+1))</f>
        <v/>
      </c>
      <c r="K71" s="116" t="n">
        <v>46295</v>
      </c>
      <c r="L71" s="63" t="inlineStr">
        <is>
          <t>DANIEL NAHMAD</t>
        </is>
      </c>
      <c r="M71" s="36" t="inlineStr">
        <is>
          <t>JORGE DURAN</t>
        </is>
      </c>
      <c r="N71" s="89" t="inlineStr">
        <is>
          <t>DIEGO</t>
        </is>
      </c>
    </row>
    <row r="72">
      <c r="A72" s="96" t="inlineStr">
        <is>
          <t>7691760771143453448</t>
        </is>
      </c>
      <c r="B72" s="96" t="inlineStr">
        <is>
          <t>imperio_del_perfume</t>
        </is>
      </c>
      <c r="C72" s="89" t="inlineStr">
        <is>
          <t>MX</t>
        </is>
      </c>
      <c r="D72" s="114" t="n">
        <v>79027.27</v>
      </c>
      <c r="E72" s="40">
        <f>D72/1.16</f>
        <v/>
      </c>
      <c r="F72" s="114">
        <f>IFERROR(D72/J72,0)</f>
        <v/>
      </c>
      <c r="G72" s="40">
        <f>F72/1.16</f>
        <v/>
      </c>
      <c r="H72" s="114" t="n"/>
      <c r="I72" s="115" t="n">
        <v>10.01</v>
      </c>
      <c r="J72" s="89">
        <f>IF(I72-INT(I72)&lt;0.1,INT(I72),IF(I72-INT(I72)&lt;=0.7,INT(I72)+0.5,INT(I72)+1))</f>
        <v/>
      </c>
      <c r="K72" s="116" t="n">
        <v>46296</v>
      </c>
      <c r="L72" s="63" t="inlineStr">
        <is>
          <t>JORGE DURAN</t>
        </is>
      </c>
      <c r="M72" s="36" t="inlineStr">
        <is>
          <t>DANIEL NAHMAD</t>
        </is>
      </c>
      <c r="N72" s="89" t="inlineStr">
        <is>
          <t>DIEGO</t>
        </is>
      </c>
    </row>
    <row r="73">
      <c r="A73" s="96" t="inlineStr">
        <is>
          <t>7692147242972384020</t>
        </is>
      </c>
      <c r="B73" s="96" t="inlineStr">
        <is>
          <t>imperio_del_perfume</t>
        </is>
      </c>
      <c r="C73" s="89" t="inlineStr">
        <is>
          <t>MX</t>
        </is>
      </c>
      <c r="D73" s="114" t="n">
        <v>36969.64</v>
      </c>
      <c r="E73" s="40">
        <f>D73/1.16</f>
        <v/>
      </c>
      <c r="F73" s="114">
        <f>IFERROR(D73/J73,0)</f>
        <v/>
      </c>
      <c r="G73" s="40">
        <f>F73/1.16</f>
        <v/>
      </c>
      <c r="H73" s="114" t="n"/>
      <c r="I73" s="115" t="n">
        <v>10.02</v>
      </c>
      <c r="J73" s="89">
        <f>IF(I73-INT(I73)&lt;0.1,INT(I73),IF(I73-INT(I73)&lt;=0.7,INT(I73)+0.5,INT(I73)+1))</f>
        <v/>
      </c>
      <c r="K73" s="116" t="n">
        <v>46297</v>
      </c>
      <c r="L73" s="63" t="inlineStr">
        <is>
          <t>EMILIANO</t>
        </is>
      </c>
      <c r="M73" s="36" t="inlineStr">
        <is>
          <t>DANIEL NAHMAD</t>
        </is>
      </c>
      <c r="N73" s="89" t="inlineStr">
        <is>
          <t>DIEGO</t>
        </is>
      </c>
    </row>
    <row r="74">
      <c r="A74" s="96" t="inlineStr">
        <is>
          <t>7693244861826960148</t>
        </is>
      </c>
      <c r="B74" s="96" t="inlineStr">
        <is>
          <t>imperio_del_perfume</t>
        </is>
      </c>
      <c r="C74" s="89" t="inlineStr">
        <is>
          <t>MX</t>
        </is>
      </c>
      <c r="D74" s="114" t="n">
        <v>53873.39</v>
      </c>
      <c r="E74" s="40">
        <f>D74/1.16</f>
        <v/>
      </c>
      <c r="F74" s="114">
        <f>IFERROR(D74/J74,0)</f>
        <v/>
      </c>
      <c r="G74" s="40">
        <f>F74/1.16</f>
        <v/>
      </c>
      <c r="H74" s="114" t="n"/>
      <c r="I74" s="115" t="n">
        <v>9.970000000000001</v>
      </c>
      <c r="J74" s="89">
        <f>IF(I74-INT(I74)&lt;0.1,INT(I74),IF(I74-INT(I74)&lt;=0.7,INT(I74)+0.5,INT(I74)+1))</f>
        <v/>
      </c>
      <c r="K74" s="116" t="n">
        <v>46300</v>
      </c>
      <c r="L74" s="63" t="inlineStr">
        <is>
          <t>DANIEL NAHMAD</t>
        </is>
      </c>
      <c r="M74" s="36" t="inlineStr">
        <is>
          <t>JORGE DURAN</t>
        </is>
      </c>
      <c r="N74" s="89" t="inlineStr">
        <is>
          <t>DIEGO</t>
        </is>
      </c>
    </row>
    <row r="75">
      <c r="A75" s="96" t="inlineStr">
        <is>
          <t>7693616621486639878</t>
        </is>
      </c>
      <c r="B75" s="96" t="inlineStr">
        <is>
          <t>imperio_del_perfume</t>
        </is>
      </c>
      <c r="C75" s="89" t="inlineStr">
        <is>
          <t>MX</t>
        </is>
      </c>
      <c r="D75" s="114" t="n">
        <v>3748.16</v>
      </c>
      <c r="E75" s="40">
        <f>D75/1.16</f>
        <v/>
      </c>
      <c r="F75" s="114">
        <f>IFERROR(D75/J75,0)</f>
        <v/>
      </c>
      <c r="G75" s="40">
        <f>F75/1.16</f>
        <v/>
      </c>
      <c r="H75" s="114" t="n"/>
      <c r="I75" s="115" t="n">
        <v>5</v>
      </c>
      <c r="J75" s="89">
        <f>IF(I75-INT(I75)&lt;0.1,INT(I75),IF(I75-INT(I75)&lt;=0.7,INT(I75)+0.5,INT(I75)+1))</f>
        <v/>
      </c>
      <c r="K75" s="116" t="n">
        <v>46301</v>
      </c>
      <c r="L75" s="63" t="inlineStr">
        <is>
          <t>AISHA</t>
        </is>
      </c>
      <c r="M75" s="36" t="n"/>
      <c r="N75" s="89" t="inlineStr">
        <is>
          <t>DIEGO</t>
        </is>
      </c>
    </row>
    <row r="76">
      <c r="A76" s="96" t="inlineStr">
        <is>
          <t>7694048802609859335</t>
        </is>
      </c>
      <c r="B76" s="96" t="inlineStr">
        <is>
          <t>imperio_del_perfume</t>
        </is>
      </c>
      <c r="C76" s="89" t="inlineStr">
        <is>
          <t>MX</t>
        </is>
      </c>
      <c r="D76" s="114" t="n">
        <v>126087</v>
      </c>
      <c r="E76" s="40">
        <f>D76/1.16</f>
        <v/>
      </c>
      <c r="F76" s="114">
        <f>IFERROR(D76/J76,0)</f>
        <v/>
      </c>
      <c r="G76" s="40">
        <f>F76/1.16</f>
        <v/>
      </c>
      <c r="H76" s="114" t="n"/>
      <c r="I76" s="115" t="n">
        <v>5.03</v>
      </c>
      <c r="J76" s="89">
        <f>IF(I76-INT(I76)&lt;0.1,INT(I76),IF(I76-INT(I76)&lt;=0.7,INT(I76)+0.5,INT(I76)+1))</f>
        <v/>
      </c>
      <c r="K76" s="116" t="n">
        <v>46302</v>
      </c>
      <c r="L76" s="63" t="inlineStr">
        <is>
          <t>DANIEL NAHMAD</t>
        </is>
      </c>
      <c r="M76" s="36" t="n"/>
      <c r="N76" s="89" t="inlineStr">
        <is>
          <t>DIEGO</t>
        </is>
      </c>
    </row>
    <row r="77">
      <c r="A77" s="96" t="inlineStr">
        <is>
          <t>7694420874804267784</t>
        </is>
      </c>
      <c r="B77" s="96" t="inlineStr">
        <is>
          <t>imperio_del_perfume</t>
        </is>
      </c>
      <c r="C77" s="89" t="inlineStr">
        <is>
          <t>MX</t>
        </is>
      </c>
      <c r="D77" s="114" t="n">
        <v>110043.16</v>
      </c>
      <c r="E77" s="40">
        <f>D77/1.16</f>
        <v/>
      </c>
      <c r="F77" s="114">
        <f>IFERROR(D77/J77,0)</f>
        <v/>
      </c>
      <c r="G77" s="40">
        <f>F77/1.16</f>
        <v/>
      </c>
      <c r="H77" s="114" t="n"/>
      <c r="I77" s="115" t="n">
        <v>5.01</v>
      </c>
      <c r="J77" s="89">
        <f>IF(I77-INT(I77)&lt;0.1,INT(I77),IF(I77-INT(I77)&lt;=0.7,INT(I77)+0.5,INT(I77)+1))</f>
        <v/>
      </c>
      <c r="K77" s="116" t="n">
        <v>46303</v>
      </c>
      <c r="L77" s="63" t="inlineStr">
        <is>
          <t>DANIEL NAHMAD</t>
        </is>
      </c>
      <c r="M77" s="36" t="n"/>
      <c r="N77" s="89" t="inlineStr">
        <is>
          <t>DIEGO</t>
        </is>
      </c>
    </row>
    <row r="78">
      <c r="A78" s="96" t="inlineStr">
        <is>
          <t>7694791081388477192</t>
        </is>
      </c>
      <c r="B78" s="96" t="inlineStr">
        <is>
          <t>imperio_del_perfume</t>
        </is>
      </c>
      <c r="C78" s="89" t="inlineStr">
        <is>
          <t>MX</t>
        </is>
      </c>
      <c r="D78" s="114" t="n">
        <v>95790.56</v>
      </c>
      <c r="E78" s="40">
        <f>D78/1.16</f>
        <v/>
      </c>
      <c r="F78" s="114">
        <f>IFERROR(D78/J78,0)</f>
        <v/>
      </c>
      <c r="G78" s="40">
        <f>F78/1.16</f>
        <v/>
      </c>
      <c r="H78" s="114" t="n"/>
      <c r="I78" s="115" t="n">
        <v>6.01</v>
      </c>
      <c r="J78" s="89">
        <f>IF(I78-INT(I78)&lt;0.1,INT(I78),IF(I78-INT(I78)&lt;=0.7,INT(I78)+0.5,INT(I78)+1))</f>
        <v/>
      </c>
      <c r="K78" s="116" t="n">
        <v>46304</v>
      </c>
      <c r="L78" s="63" t="inlineStr">
        <is>
          <t>DANIEL NAHMAD</t>
        </is>
      </c>
      <c r="M78" s="36" t="n"/>
      <c r="N78" s="89" t="inlineStr">
        <is>
          <t>DIEGO</t>
        </is>
      </c>
    </row>
    <row r="79">
      <c r="A79" s="96" t="inlineStr">
        <is>
          <t>7695904361668496149</t>
        </is>
      </c>
      <c r="B79" s="96" t="inlineStr">
        <is>
          <t>imperio_del_perfume</t>
        </is>
      </c>
      <c r="C79" s="89" t="inlineStr">
        <is>
          <t>MX</t>
        </is>
      </c>
      <c r="D79" s="114" t="n">
        <v>31634.27</v>
      </c>
      <c r="E79" s="40">
        <f>D79/1.16</f>
        <v/>
      </c>
      <c r="F79" s="114">
        <f>IFERROR(D79/J79,0)</f>
        <v/>
      </c>
      <c r="G79" s="40">
        <f>F79/1.16</f>
        <v/>
      </c>
      <c r="H79" s="114" t="n"/>
      <c r="I79" s="115" t="n">
        <v>5.01</v>
      </c>
      <c r="J79" s="89">
        <f>IF(I79-INT(I79)&lt;0.1,INT(I79),IF(I79-INT(I79)&lt;=0.7,INT(I79)+0.5,INT(I79)+1))</f>
        <v/>
      </c>
      <c r="K79" s="116" t="n">
        <v>46307</v>
      </c>
      <c r="L79" s="63" t="inlineStr">
        <is>
          <t>DANIEL NAHMAD</t>
        </is>
      </c>
      <c r="M79" s="36" t="n"/>
      <c r="N79" s="89" t="inlineStr">
        <is>
          <t>DIEGO</t>
        </is>
      </c>
    </row>
    <row r="80">
      <c r="A80" s="96" t="inlineStr">
        <is>
          <t>7696276488085129991</t>
        </is>
      </c>
      <c r="B80" s="96" t="inlineStr">
        <is>
          <t>imperio_del_perfume</t>
        </is>
      </c>
      <c r="C80" s="89" t="inlineStr">
        <is>
          <t>MX</t>
        </is>
      </c>
      <c r="D80" s="114" t="n">
        <v>26274.03</v>
      </c>
      <c r="E80" s="40">
        <f>D80/1.16</f>
        <v/>
      </c>
      <c r="F80" s="114">
        <f>IFERROR(D80/J80,0)</f>
        <v/>
      </c>
      <c r="G80" s="40">
        <f>F80/1.16</f>
        <v/>
      </c>
      <c r="H80" s="114" t="n"/>
      <c r="I80" s="115" t="n">
        <v>5.02</v>
      </c>
      <c r="J80" s="89">
        <f>IF(I80-INT(I80)&lt;0.1,INT(I80),IF(I80-INT(I80)&lt;=0.7,INT(I80)+0.5,INT(I80)+1))</f>
        <v/>
      </c>
      <c r="K80" s="116" t="n">
        <v>46308</v>
      </c>
      <c r="L80" s="63" t="inlineStr">
        <is>
          <t>DANIEL NAHMAD</t>
        </is>
      </c>
      <c r="M80" s="36" t="n"/>
      <c r="N80" s="89" t="inlineStr">
        <is>
          <t>DIEGO</t>
        </is>
      </c>
    </row>
    <row r="81">
      <c r="A81" s="96" t="inlineStr">
        <is>
          <t>7696586237302164242</t>
        </is>
      </c>
      <c r="B81" s="96" t="inlineStr">
        <is>
          <t>imperio_del_perfume</t>
        </is>
      </c>
      <c r="C81" s="89" t="inlineStr">
        <is>
          <t>MX</t>
        </is>
      </c>
      <c r="D81" s="114" t="n">
        <v>179766.12</v>
      </c>
      <c r="E81" s="40">
        <f>D81/1.16</f>
        <v/>
      </c>
      <c r="F81" s="114">
        <f>IFERROR(D81/J81,0)</f>
        <v/>
      </c>
      <c r="G81" s="40">
        <f>F81/1.16</f>
        <v/>
      </c>
      <c r="H81" s="114" t="n"/>
      <c r="I81" s="115" t="n">
        <v>10.02</v>
      </c>
      <c r="J81" s="89">
        <f>IF(I81-INT(I81)&lt;0.1,INT(I81),IF(I81-INT(I81)&lt;=0.7,INT(I81)+0.5,INT(I81)+1))</f>
        <v/>
      </c>
      <c r="K81" s="116" t="n">
        <v>46309</v>
      </c>
      <c r="L81" s="63" t="inlineStr">
        <is>
          <t>DANIEL NAHMAD</t>
        </is>
      </c>
      <c r="M81" s="36" t="inlineStr">
        <is>
          <t>JORGE DURAN</t>
        </is>
      </c>
      <c r="N81" s="89" t="inlineStr">
        <is>
          <t>DIEGO</t>
        </is>
      </c>
    </row>
    <row r="82">
      <c r="A82" s="96" t="inlineStr">
        <is>
          <t>7697018594030275349</t>
        </is>
      </c>
      <c r="B82" s="96" t="inlineStr">
        <is>
          <t>imperio_del_perfume</t>
        </is>
      </c>
      <c r="C82" s="89" t="inlineStr">
        <is>
          <t>MX</t>
        </is>
      </c>
      <c r="D82" s="114" t="n">
        <v>28671.58</v>
      </c>
      <c r="E82" s="40">
        <f>D82/1.16</f>
        <v/>
      </c>
      <c r="F82" s="114">
        <f>IFERROR(D82/J82,0)</f>
        <v/>
      </c>
      <c r="G82" s="40">
        <f>F82/1.16</f>
        <v/>
      </c>
      <c r="H82" s="114" t="n"/>
      <c r="I82" s="115" t="n">
        <v>5.01</v>
      </c>
      <c r="J82" s="89">
        <f>IF(I82-INT(I82)&lt;0.1,INT(I82),IF(I82-INT(I82)&lt;=0.7,INT(I82)+0.5,INT(I82)+1))</f>
        <v/>
      </c>
      <c r="K82" s="116" t="n">
        <v>46310</v>
      </c>
      <c r="L82" s="63" t="inlineStr">
        <is>
          <t>DANIEL NAHMAD</t>
        </is>
      </c>
      <c r="M82" s="36" t="n"/>
      <c r="N82" s="89" t="inlineStr">
        <is>
          <t>DIEGO</t>
        </is>
      </c>
    </row>
    <row r="83">
      <c r="A83" s="96" t="inlineStr">
        <is>
          <t>7697328017971776277</t>
        </is>
      </c>
      <c r="B83" s="96" t="inlineStr">
        <is>
          <t>imperio_del_perfume</t>
        </is>
      </c>
      <c r="C83" s="89" t="inlineStr">
        <is>
          <t>MX</t>
        </is>
      </c>
      <c r="D83" s="114" t="n">
        <v>25779.11</v>
      </c>
      <c r="E83" s="40">
        <f>D83/1.16</f>
        <v/>
      </c>
      <c r="F83" s="114">
        <f>IFERROR(D83/J83,0)</f>
        <v/>
      </c>
      <c r="G83" s="40">
        <f>F83/1.16</f>
        <v/>
      </c>
      <c r="H83" s="114" t="n"/>
      <c r="I83" s="115" t="n">
        <v>5.01</v>
      </c>
      <c r="J83" s="89">
        <f>IF(I83-INT(I83)&lt;0.1,INT(I83),IF(I83-INT(I83)&lt;=0.7,INT(I83)+0.5,INT(I83)+1))</f>
        <v/>
      </c>
      <c r="K83" s="116" t="n">
        <v>46311</v>
      </c>
      <c r="L83" s="63" t="inlineStr">
        <is>
          <t>DANIEL NAHMAD</t>
        </is>
      </c>
      <c r="M83" s="36" t="inlineStr">
        <is>
          <t>EMILIANO</t>
        </is>
      </c>
      <c r="N83" s="89" t="inlineStr">
        <is>
          <t>DIEGO</t>
        </is>
      </c>
    </row>
    <row r="84">
      <c r="A84" s="96" t="inlineStr">
        <is>
          <t>7697425788784347924</t>
        </is>
      </c>
      <c r="B84" s="96" t="inlineStr">
        <is>
          <t>imperio_del_perfume</t>
        </is>
      </c>
      <c r="C84" s="89" t="inlineStr">
        <is>
          <t>MX</t>
        </is>
      </c>
      <c r="D84" s="114" t="n">
        <v>142437.92</v>
      </c>
      <c r="E84" s="40">
        <f>D84/1.16</f>
        <v/>
      </c>
      <c r="F84" s="114">
        <f>IFERROR(D84/J84,0)</f>
        <v/>
      </c>
      <c r="G84" s="40">
        <f>F84/1.16</f>
        <v/>
      </c>
      <c r="H84" s="114" t="n"/>
      <c r="I84" s="115" t="n">
        <v>6.1</v>
      </c>
      <c r="J84" s="89">
        <f>IF(I84-INT(I84)&lt;0.1,INT(I84),IF(I84-INT(I84)&lt;=0.7,INT(I84)+0.5,INT(I84)+1))</f>
        <v/>
      </c>
      <c r="K84" s="116" t="n">
        <v>46311</v>
      </c>
      <c r="L84" s="63" t="inlineStr">
        <is>
          <t>DANIEL NAHMAD</t>
        </is>
      </c>
      <c r="M84" s="36" t="n"/>
      <c r="N84" s="89" t="inlineStr">
        <is>
          <t>DIEGO</t>
        </is>
      </c>
    </row>
    <row r="85">
      <c r="A85" s="96" t="inlineStr">
        <is>
          <t>7698440204132633352</t>
        </is>
      </c>
      <c r="B85" s="96" t="inlineStr">
        <is>
          <t>imperio_del_perfume</t>
        </is>
      </c>
      <c r="C85" s="89" t="inlineStr">
        <is>
          <t>MX</t>
        </is>
      </c>
      <c r="D85" s="114" t="n">
        <v>141872.39</v>
      </c>
      <c r="E85" s="40">
        <f>D85/1.16</f>
        <v/>
      </c>
      <c r="F85" s="114">
        <f>IFERROR(D85/J85,0)</f>
        <v/>
      </c>
      <c r="G85" s="40">
        <f>F85/1.16</f>
        <v/>
      </c>
      <c r="H85" s="114" t="n"/>
      <c r="I85" s="115" t="n">
        <v>10.03</v>
      </c>
      <c r="J85" s="89">
        <f>IF(I85-INT(I85)&lt;0.1,INT(I85),IF(I85-INT(I85)&lt;=0.7,INT(I85)+0.5,INT(I85)+1))</f>
        <v/>
      </c>
      <c r="K85" s="116" t="n">
        <v>46314</v>
      </c>
      <c r="L85" s="63" t="inlineStr">
        <is>
          <t>DANIEL NAHMAD</t>
        </is>
      </c>
      <c r="M85" s="36" t="inlineStr">
        <is>
          <t>EMILIANO</t>
        </is>
      </c>
      <c r="N85" s="89" t="inlineStr">
        <is>
          <t>DIEGO</t>
        </is>
      </c>
    </row>
    <row r="86">
      <c r="A86" s="96" t="inlineStr">
        <is>
          <t>7698874616869112583</t>
        </is>
      </c>
      <c r="B86" s="96" t="inlineStr">
        <is>
          <t>imperio_del_perfume</t>
        </is>
      </c>
      <c r="C86" s="89" t="inlineStr">
        <is>
          <t>MX</t>
        </is>
      </c>
      <c r="D86" s="114" t="n">
        <v>28888.88</v>
      </c>
      <c r="E86" s="40">
        <f>D86/1.16</f>
        <v/>
      </c>
      <c r="F86" s="114">
        <f>IFERROR(D86/J86,0)</f>
        <v/>
      </c>
      <c r="G86" s="40">
        <f>F86/1.16</f>
        <v/>
      </c>
      <c r="H86" s="114" t="n"/>
      <c r="I86" s="115" t="n">
        <v>5.03</v>
      </c>
      <c r="J86" s="89">
        <f>IF(I86-INT(I86)&lt;0.1,INT(I86),IF(I86-INT(I86)&lt;=0.7,INT(I86)+0.5,INT(I86)+1))</f>
        <v/>
      </c>
      <c r="K86" s="116" t="n">
        <v>46315</v>
      </c>
      <c r="L86" s="63" t="inlineStr">
        <is>
          <t>DANIEL NAHMAD</t>
        </is>
      </c>
      <c r="M86" s="36" t="n"/>
      <c r="N86" s="89" t="inlineStr">
        <is>
          <t>DIEGO</t>
        </is>
      </c>
    </row>
    <row r="87">
      <c r="A87" s="96" t="inlineStr">
        <is>
          <t>7699245845157923604</t>
        </is>
      </c>
      <c r="B87" s="96" t="inlineStr">
        <is>
          <t>imperio_del_perfume</t>
        </is>
      </c>
      <c r="C87" s="89" t="inlineStr">
        <is>
          <t>MX</t>
        </is>
      </c>
      <c r="D87" s="114" t="n">
        <v>31246.48</v>
      </c>
      <c r="E87" s="40">
        <f>D87/1.16</f>
        <v/>
      </c>
      <c r="F87" s="114">
        <f>IFERROR(D87/J87,0)</f>
        <v/>
      </c>
      <c r="G87" s="40">
        <f>F87/1.16</f>
        <v/>
      </c>
      <c r="H87" s="114" t="n"/>
      <c r="I87" s="115" t="n">
        <v>5.5</v>
      </c>
      <c r="J87" s="89">
        <f>IF(I87-INT(I87)&lt;0.1,INT(I87),IF(I87-INT(I87)&lt;=0.7,INT(I87)+0.5,INT(I87)+1))</f>
        <v/>
      </c>
      <c r="K87" s="116" t="n">
        <v>46316</v>
      </c>
      <c r="L87" s="63" t="inlineStr">
        <is>
          <t>DANIEL NAHMAD</t>
        </is>
      </c>
      <c r="M87" s="36" t="n"/>
      <c r="N87" s="89" t="inlineStr">
        <is>
          <t>DIEGO</t>
        </is>
      </c>
    </row>
    <row r="88">
      <c r="A88" s="96" t="inlineStr">
        <is>
          <t>7699616691826739988</t>
        </is>
      </c>
      <c r="B88" s="96" t="inlineStr">
        <is>
          <t>imperio_del_perfume</t>
        </is>
      </c>
      <c r="C88" s="89" t="inlineStr">
        <is>
          <t>MX</t>
        </is>
      </c>
      <c r="D88" s="114" t="n">
        <v>13784.16</v>
      </c>
      <c r="E88" s="40">
        <f>D88/1.16</f>
        <v/>
      </c>
      <c r="F88" s="114">
        <f>IFERROR(D88/J88,0)</f>
        <v/>
      </c>
      <c r="G88" s="40">
        <f>F88/1.16</f>
        <v/>
      </c>
      <c r="H88" s="114" t="n"/>
      <c r="I88" s="115" t="n">
        <v>3.4</v>
      </c>
      <c r="J88" s="89">
        <f>IF(I88-INT(I88)&lt;0.1,INT(I88),IF(I88-INT(I88)&lt;=0.7,INT(I88)+0.5,INT(I88)+1))</f>
        <v/>
      </c>
      <c r="K88" s="116" t="n">
        <v>46317</v>
      </c>
      <c r="L88" s="63" t="inlineStr">
        <is>
          <t>DANIEL NAHMAD</t>
        </is>
      </c>
      <c r="M88" s="36" t="n"/>
      <c r="N88" s="89" t="inlineStr">
        <is>
          <t>DIEGO</t>
        </is>
      </c>
    </row>
    <row r="89">
      <c r="A89" s="96" t="inlineStr">
        <is>
          <t>7699677446533303048</t>
        </is>
      </c>
      <c r="B89" s="96" t="inlineStr">
        <is>
          <t>imperio_del_perfume</t>
        </is>
      </c>
      <c r="C89" s="89" t="inlineStr">
        <is>
          <t>MX</t>
        </is>
      </c>
      <c r="D89" s="114" t="n">
        <v>9289.959999999999</v>
      </c>
      <c r="E89" s="40">
        <f>D89/1.16</f>
        <v/>
      </c>
      <c r="F89" s="114">
        <f>IFERROR(D89/J89,0)</f>
        <v/>
      </c>
      <c r="G89" s="40">
        <f>F89/1.16</f>
        <v/>
      </c>
      <c r="H89" s="114" t="n"/>
      <c r="I89" s="115" t="n">
        <v>1.62</v>
      </c>
      <c r="J89" s="89">
        <f>IF(I89-INT(I89)&lt;0.1,INT(I89),IF(I89-INT(I89)&lt;=0.7,INT(I89)+0.5,INT(I89)+1))</f>
        <v/>
      </c>
      <c r="K89" s="116" t="n">
        <v>46317</v>
      </c>
      <c r="L89" s="63" t="inlineStr">
        <is>
          <t>DANIEL NAHMAD</t>
        </is>
      </c>
      <c r="M89" s="36" t="n"/>
      <c r="N89" s="89" t="inlineStr">
        <is>
          <t>DIEGO</t>
        </is>
      </c>
    </row>
    <row r="90">
      <c r="A90" s="96" t="inlineStr">
        <is>
          <t>7699994064288713473</t>
        </is>
      </c>
      <c r="B90" s="96" t="inlineStr">
        <is>
          <t>imperio_del_perfume</t>
        </is>
      </c>
      <c r="C90" s="89" t="inlineStr">
        <is>
          <t>MX</t>
        </is>
      </c>
      <c r="D90" s="114" t="n">
        <v>44287.38</v>
      </c>
      <c r="E90" s="40">
        <f>D90/1.16</f>
        <v/>
      </c>
      <c r="F90" s="114">
        <f>IFERROR(D90/J90,0)</f>
        <v/>
      </c>
      <c r="G90" s="40">
        <f>F90/1.16</f>
        <v/>
      </c>
      <c r="H90" s="114" t="n"/>
      <c r="I90" s="115" t="n">
        <v>5.52</v>
      </c>
      <c r="J90" s="89">
        <f>IF(I90-INT(I90)&lt;0.1,INT(I90),IF(I90-INT(I90)&lt;=0.7,INT(I90)+0.5,INT(I90)+1))</f>
        <v/>
      </c>
      <c r="K90" s="116" t="n">
        <v>46318</v>
      </c>
      <c r="L90" s="63" t="inlineStr">
        <is>
          <t>DANIEL NAHMAD</t>
        </is>
      </c>
      <c r="M90" s="36" t="n"/>
      <c r="N90" s="89" t="inlineStr">
        <is>
          <t>DIEGO</t>
        </is>
      </c>
    </row>
    <row r="91">
      <c r="A91" s="96" t="inlineStr">
        <is>
          <t>7701109615187381000</t>
        </is>
      </c>
      <c r="B91" s="96" t="inlineStr">
        <is>
          <t>imperio_del_perfume</t>
        </is>
      </c>
      <c r="C91" s="89" t="inlineStr">
        <is>
          <t>MX</t>
        </is>
      </c>
      <c r="D91" s="114" t="n">
        <v>36341.42</v>
      </c>
      <c r="E91" s="40">
        <f>D91/1.16</f>
        <v/>
      </c>
      <c r="F91" s="114">
        <f>IFERROR(D91/J91,0)</f>
        <v/>
      </c>
      <c r="G91" s="40">
        <f>F91/1.16</f>
        <v/>
      </c>
      <c r="H91" s="114" t="n"/>
      <c r="I91" s="115" t="n">
        <v>5.37</v>
      </c>
      <c r="J91" s="89">
        <f>IF(I91-INT(I91)&lt;0.1,INT(I91),IF(I91-INT(I91)&lt;=0.7,INT(I91)+0.5,INT(I91)+1))</f>
        <v/>
      </c>
      <c r="K91" s="116" t="n">
        <v>46321</v>
      </c>
      <c r="L91" s="63" t="inlineStr">
        <is>
          <t>DANIEL NAHMAD</t>
        </is>
      </c>
      <c r="M91" s="36" t="n"/>
      <c r="N91" s="89" t="inlineStr">
        <is>
          <t>DIEGO</t>
        </is>
      </c>
    </row>
  </sheetData>
  <dataValidations count="2">
    <dataValidation sqref="L2:L20 L23:L43 L46:L66 L69:L91" showDropDown="0" showInputMessage="0" showErrorMessage="1" allowBlank="1" type="list">
      <formula1>"NAHOMI,DANIEL NAHMAD"</formula1>
    </dataValidation>
    <dataValidation sqref="M2:M20 M23:M43 M46:M66 M69:M91" showDropDown="0" showInputMessage="0" showErrorMessage="1" allowBlank="1" type="list">
      <formula1>"MARCO,PAOLA LUNA,SILVANA,JORGE DURAN,JORGE HERRERA"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N8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18" min="1" max="1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28" t="inlineStr">
        <is>
          <t>Duration （Formula）</t>
        </is>
      </c>
      <c r="K1" s="58" t="inlineStr">
        <is>
          <t>Start date</t>
        </is>
      </c>
      <c r="L1" s="71" t="inlineStr">
        <is>
          <t>HOST1</t>
        </is>
      </c>
      <c r="M1" s="71" t="inlineStr">
        <is>
          <t xml:space="preserve">HOST 2 </t>
        </is>
      </c>
      <c r="N1" s="71" t="inlineStr">
        <is>
          <t>Operator</t>
        </is>
      </c>
    </row>
    <row r="2">
      <c r="A2" s="89" t="inlineStr">
        <is>
          <t>7668045431222668040</t>
        </is>
      </c>
      <c r="B2" s="89" t="inlineStr">
        <is>
          <t>glowandgogirls_</t>
        </is>
      </c>
      <c r="C2" s="89" t="inlineStr">
        <is>
          <t>MX</t>
        </is>
      </c>
      <c r="D2" s="114" t="n">
        <v>188</v>
      </c>
      <c r="E2" s="40">
        <f>D2/1.16</f>
        <v/>
      </c>
      <c r="F2" s="114" t="n"/>
      <c r="G2" s="40" t="n"/>
      <c r="H2" s="114" t="n"/>
      <c r="I2" s="115" t="n"/>
      <c r="J2" s="89" t="n"/>
      <c r="K2" s="116" t="n"/>
      <c r="L2" s="38" t="n"/>
      <c r="M2" s="38" t="n"/>
      <c r="N2" s="89" t="n"/>
    </row>
    <row r="3">
      <c r="A3" s="89" t="inlineStr">
        <is>
          <t>7667672831947295509</t>
        </is>
      </c>
      <c r="B3" s="89" t="inlineStr">
        <is>
          <t>glowandgogirls_</t>
        </is>
      </c>
      <c r="C3" s="89" t="inlineStr">
        <is>
          <t>MX</t>
        </is>
      </c>
      <c r="D3" s="114" t="n">
        <v>179</v>
      </c>
      <c r="E3" s="40">
        <f>D3/1.16</f>
        <v/>
      </c>
      <c r="F3" s="114" t="n"/>
      <c r="G3" s="40" t="n"/>
      <c r="H3" s="114" t="n"/>
      <c r="I3" s="115" t="n"/>
      <c r="J3" s="89" t="n"/>
      <c r="K3" s="116" t="n"/>
      <c r="L3" s="38" t="n"/>
      <c r="M3" s="38" t="n"/>
      <c r="N3" s="89" t="n"/>
    </row>
    <row r="4">
      <c r="A4" s="89" t="inlineStr">
        <is>
          <t>7667302449141844757</t>
        </is>
      </c>
      <c r="B4" s="89" t="inlineStr">
        <is>
          <t>glowandgogirls_</t>
        </is>
      </c>
      <c r="C4" s="89" t="inlineStr">
        <is>
          <t>MX</t>
        </is>
      </c>
      <c r="D4" s="114" t="n">
        <v>139</v>
      </c>
      <c r="E4" s="40">
        <f>D4/1.16</f>
        <v/>
      </c>
      <c r="F4" s="114" t="n"/>
      <c r="G4" s="40" t="n"/>
      <c r="H4" s="114" t="n"/>
      <c r="I4" s="115" t="n"/>
      <c r="J4" s="89" t="n"/>
      <c r="K4" s="116" t="n"/>
      <c r="L4" s="38" t="n"/>
      <c r="M4" s="38" t="n"/>
      <c r="N4" s="89" t="n"/>
    </row>
    <row r="5">
      <c r="A5" s="89" t="inlineStr">
        <is>
          <t>7666188876760730389</t>
        </is>
      </c>
      <c r="B5" s="89" t="inlineStr">
        <is>
          <t>glowandgogirls_</t>
        </is>
      </c>
      <c r="C5" s="89" t="inlineStr">
        <is>
          <t>MX</t>
        </is>
      </c>
      <c r="D5" s="114" t="n">
        <v>972.86</v>
      </c>
      <c r="E5" s="40">
        <f>D5/1.16</f>
        <v/>
      </c>
      <c r="F5" s="114" t="n"/>
      <c r="G5" s="40" t="n"/>
      <c r="H5" s="114" t="n"/>
      <c r="I5" s="115" t="n"/>
      <c r="J5" s="89" t="n"/>
      <c r="K5" s="116" t="n"/>
      <c r="L5" s="38" t="n"/>
      <c r="M5" s="38" t="n"/>
      <c r="N5" s="89" t="n"/>
    </row>
    <row r="6">
      <c r="A6" s="89" t="inlineStr">
        <is>
          <t>7665850059472997141</t>
        </is>
      </c>
      <c r="B6" s="89" t="inlineStr">
        <is>
          <t>glowandgogirls_</t>
        </is>
      </c>
      <c r="C6" s="89" t="inlineStr">
        <is>
          <t>MX</t>
        </is>
      </c>
      <c r="D6" s="114" t="n">
        <v>324</v>
      </c>
      <c r="E6" s="40">
        <f>D6/1.16</f>
        <v/>
      </c>
      <c r="F6" s="114" t="n"/>
      <c r="G6" s="40" t="n"/>
      <c r="H6" s="114" t="n"/>
      <c r="I6" s="115" t="n"/>
      <c r="J6" s="89" t="n"/>
      <c r="K6" s="116" t="n"/>
      <c r="L6" s="38" t="n"/>
      <c r="M6" s="38" t="n"/>
      <c r="N6" s="89" t="n"/>
    </row>
    <row r="7">
      <c r="A7" s="89" t="inlineStr">
        <is>
          <t>7665447854990691093</t>
        </is>
      </c>
      <c r="B7" s="89" t="inlineStr">
        <is>
          <t>glowandgogirls_</t>
        </is>
      </c>
      <c r="C7" s="89" t="inlineStr">
        <is>
          <t>MX</t>
        </is>
      </c>
      <c r="D7" s="114" t="n">
        <v>1324.29</v>
      </c>
      <c r="E7" s="40">
        <f>D7/1.16</f>
        <v/>
      </c>
      <c r="F7" s="114" t="n"/>
      <c r="G7" s="40" t="n"/>
      <c r="H7" s="114" t="n"/>
      <c r="I7" s="115" t="n"/>
      <c r="J7" s="89" t="n"/>
      <c r="K7" s="116" t="n"/>
      <c r="L7" s="38" t="n"/>
      <c r="M7" s="38" t="n"/>
      <c r="N7" s="89" t="n"/>
    </row>
    <row r="8">
      <c r="A8" s="89" t="inlineStr">
        <is>
          <t>7665105627241089812</t>
        </is>
      </c>
      <c r="B8" s="89" t="inlineStr">
        <is>
          <t>glowandgogirls_</t>
        </is>
      </c>
      <c r="C8" s="89" t="inlineStr">
        <is>
          <t>MX</t>
        </is>
      </c>
      <c r="D8" s="114" t="n">
        <v>414.9</v>
      </c>
      <c r="E8" s="40">
        <f>D8/1.16</f>
        <v/>
      </c>
      <c r="F8" s="114" t="n"/>
      <c r="G8" s="40" t="n"/>
      <c r="H8" s="114" t="n"/>
      <c r="I8" s="115" t="n"/>
      <c r="J8" s="89" t="n"/>
      <c r="K8" s="116" t="n"/>
      <c r="L8" s="38" t="n"/>
      <c r="M8" s="38" t="n"/>
      <c r="N8" s="89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O102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18" min="1" max="1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28" t="inlineStr">
        <is>
          <t>Duration （Formula）</t>
        </is>
      </c>
      <c r="K1" s="58" t="inlineStr">
        <is>
          <t>Start date</t>
        </is>
      </c>
      <c r="L1" s="71" t="inlineStr">
        <is>
          <t>HOST1</t>
        </is>
      </c>
      <c r="M1" s="71" t="inlineStr">
        <is>
          <t xml:space="preserve">HOST 2 </t>
        </is>
      </c>
      <c r="N1" s="71" t="inlineStr">
        <is>
          <t>HOST 3</t>
        </is>
      </c>
      <c r="O1" s="71" t="inlineStr">
        <is>
          <t>Operator</t>
        </is>
      </c>
    </row>
    <row r="2">
      <c r="A2" s="96" t="inlineStr">
        <is>
          <t>7662777895853853441</t>
        </is>
      </c>
      <c r="B2" s="98" t="inlineStr">
        <is>
          <t>fashion_only</t>
        </is>
      </c>
      <c r="C2" s="40" t="inlineStr">
        <is>
          <t>MX</t>
        </is>
      </c>
      <c r="D2" s="39" t="n">
        <v>2386.54</v>
      </c>
      <c r="E2" s="40">
        <f>D2/1.16</f>
        <v/>
      </c>
      <c r="F2" s="40">
        <f>E2/J2</f>
        <v/>
      </c>
      <c r="G2" s="40">
        <f>F2/1.16</f>
        <v/>
      </c>
      <c r="H2" s="92" t="n">
        <v>0</v>
      </c>
      <c r="I2" s="26" t="n">
        <v>2.5</v>
      </c>
      <c r="J2" s="89">
        <f>LET(dec, I2-INT(I2), IF(dec&lt;0.1, INT(I2), IF(dec&lt;=0.7, INT(I2)+0.5, INT(I2)+1)))</f>
        <v/>
      </c>
      <c r="K2" s="93" t="n">
        <v>46218</v>
      </c>
      <c r="L2" s="38" t="inlineStr">
        <is>
          <t>MAYTE</t>
        </is>
      </c>
      <c r="M2" s="89" t="n"/>
      <c r="N2" s="89" t="n"/>
      <c r="O2" s="89" t="inlineStr">
        <is>
          <t>Rodrigo Toledo</t>
        </is>
      </c>
    </row>
    <row r="3">
      <c r="A3" s="96" t="inlineStr">
        <is>
          <t>7663155411071077137</t>
        </is>
      </c>
      <c r="B3" s="98" t="inlineStr">
        <is>
          <t>fashion_only</t>
        </is>
      </c>
      <c r="C3" s="40" t="inlineStr">
        <is>
          <t>MX</t>
        </is>
      </c>
      <c r="D3" s="39" t="n">
        <v>3323.06</v>
      </c>
      <c r="E3" s="40">
        <f>D3/1.16</f>
        <v/>
      </c>
      <c r="F3" s="40">
        <f>E3/J3</f>
        <v/>
      </c>
      <c r="G3" s="40">
        <f>F3/1.16</f>
        <v/>
      </c>
      <c r="H3" s="92" t="n">
        <v>0</v>
      </c>
      <c r="I3" s="26" t="n">
        <v>3</v>
      </c>
      <c r="J3" s="89">
        <f>LET(dec, I3-INT(I3), IF(dec&lt;0.1, INT(I3), IF(dec&lt;=0.7, INT(I3)+0.5, INT(I3)+1)))</f>
        <v/>
      </c>
      <c r="K3" s="93" t="n">
        <v>46219</v>
      </c>
      <c r="L3" s="38" t="inlineStr">
        <is>
          <t>MAYTE</t>
        </is>
      </c>
      <c r="M3" s="89" t="n"/>
      <c r="N3" s="89" t="n"/>
      <c r="O3" s="89" t="inlineStr">
        <is>
          <t>Rodrigo Toledo</t>
        </is>
      </c>
    </row>
    <row r="4">
      <c r="A4" s="96" t="inlineStr">
        <is>
          <t>7663512335542422293</t>
        </is>
      </c>
      <c r="B4" s="98" t="inlineStr">
        <is>
          <t>fashion_only</t>
        </is>
      </c>
      <c r="C4" s="40" t="inlineStr">
        <is>
          <t>MX</t>
        </is>
      </c>
      <c r="D4" s="39" t="n">
        <v>3294.78</v>
      </c>
      <c r="E4" s="40">
        <f>D4/1.16</f>
        <v/>
      </c>
      <c r="F4" s="40">
        <f>E4/J4</f>
        <v/>
      </c>
      <c r="G4" s="40">
        <f>F4/1.16</f>
        <v/>
      </c>
      <c r="H4" s="92" t="n">
        <v>0</v>
      </c>
      <c r="I4" s="26" t="n">
        <v>3.06</v>
      </c>
      <c r="J4" s="89">
        <f>LET(dec, I4-INT(I4), IF(dec&lt;0.1, INT(I4), IF(dec&lt;=0.7, INT(I4)+0.5, INT(I4)+1)))</f>
        <v/>
      </c>
      <c r="K4" s="93" t="n">
        <v>46220</v>
      </c>
      <c r="L4" s="38" t="inlineStr">
        <is>
          <t>MAYTE</t>
        </is>
      </c>
      <c r="M4" s="89" t="n"/>
      <c r="N4" s="89" t="n"/>
      <c r="O4" s="89" t="inlineStr">
        <is>
          <t>GUILLERMO</t>
        </is>
      </c>
    </row>
    <row r="5">
      <c r="A5" s="96" t="inlineStr">
        <is>
          <t>7664633645797116693</t>
        </is>
      </c>
      <c r="B5" s="98" t="inlineStr">
        <is>
          <t>fashion_only</t>
        </is>
      </c>
      <c r="C5" s="40" t="inlineStr">
        <is>
          <t>MX</t>
        </is>
      </c>
      <c r="D5" s="39" t="n">
        <v>939.96</v>
      </c>
      <c r="E5" s="40">
        <f>D5/1.16</f>
        <v/>
      </c>
      <c r="F5" s="40">
        <f>E5/J5</f>
        <v/>
      </c>
      <c r="G5" s="40">
        <f>F5/1.16</f>
        <v/>
      </c>
      <c r="H5" s="92" t="n">
        <v>0</v>
      </c>
      <c r="I5" s="26" t="n">
        <v>2.72</v>
      </c>
      <c r="J5" s="89">
        <f>LET(dec, I5-INT(I5), IF(dec&lt;0.1, INT(I5), IF(dec&lt;=0.7, INT(I5)+0.5, INT(I5)+1)))</f>
        <v/>
      </c>
      <c r="K5" s="93" t="n">
        <v>46223</v>
      </c>
      <c r="L5" s="38" t="inlineStr">
        <is>
          <t>MAYTE</t>
        </is>
      </c>
      <c r="M5" s="89" t="n"/>
      <c r="N5" s="89" t="n"/>
      <c r="O5" s="89" t="inlineStr">
        <is>
          <t>Rodrigo Toledo</t>
        </is>
      </c>
    </row>
    <row r="6">
      <c r="A6" s="96" t="inlineStr">
        <is>
          <t>7664678603426401044</t>
        </is>
      </c>
      <c r="B6" s="98" t="inlineStr">
        <is>
          <t>fashion_only</t>
        </is>
      </c>
      <c r="C6" s="40" t="inlineStr">
        <is>
          <t>MX</t>
        </is>
      </c>
      <c r="D6" s="39" t="n">
        <v>129.99</v>
      </c>
      <c r="E6" s="40">
        <f>D6/1.16</f>
        <v/>
      </c>
      <c r="F6" s="40">
        <f>E6/J6</f>
        <v/>
      </c>
      <c r="G6" s="40">
        <f>F6/1.16</f>
        <v/>
      </c>
      <c r="H6" s="92" t="n">
        <v>0</v>
      </c>
      <c r="I6" s="26" t="n">
        <v>1.05</v>
      </c>
      <c r="J6" s="89">
        <f>LET(dec, I6-INT(I6), IF(dec&lt;0.1, INT(I6), IF(dec&lt;=0.7, INT(I6)+0.5, INT(I6)+1)))</f>
        <v/>
      </c>
      <c r="K6" s="93" t="n">
        <v>46223</v>
      </c>
      <c r="L6" s="38" t="inlineStr">
        <is>
          <t>MILLY</t>
        </is>
      </c>
      <c r="M6" s="89" t="n"/>
      <c r="N6" s="89" t="n"/>
      <c r="O6" s="89" t="inlineStr">
        <is>
          <t>Rodrigo Toledo</t>
        </is>
      </c>
    </row>
    <row r="7">
      <c r="A7" s="96" t="inlineStr">
        <is>
          <t>7664996303339113237</t>
        </is>
      </c>
      <c r="B7" s="98" t="inlineStr">
        <is>
          <t>fashion_only</t>
        </is>
      </c>
      <c r="C7" s="40" t="inlineStr">
        <is>
          <t>MX</t>
        </is>
      </c>
      <c r="D7" s="39" t="n">
        <v>2663.54</v>
      </c>
      <c r="E7" s="40">
        <f>D7/1.16</f>
        <v/>
      </c>
      <c r="F7" s="40">
        <f>E7/J7</f>
        <v/>
      </c>
      <c r="G7" s="40">
        <f>F7/1.16</f>
        <v/>
      </c>
      <c r="H7" s="92" t="n">
        <v>0</v>
      </c>
      <c r="I7" s="26" t="n">
        <v>3.04</v>
      </c>
      <c r="J7" s="89">
        <f>LET(dec, I7-INT(I7), IF(dec&lt;0.1, INT(I7), IF(dec&lt;=0.7, INT(I7)+0.5, INT(I7)+1)))</f>
        <v/>
      </c>
      <c r="K7" s="93" t="n">
        <v>46224</v>
      </c>
      <c r="L7" s="38" t="inlineStr">
        <is>
          <t>MAYTE</t>
        </is>
      </c>
      <c r="M7" s="89" t="n"/>
      <c r="N7" s="89" t="n"/>
      <c r="O7" s="89" t="inlineStr">
        <is>
          <t>Rodrigo Toledo</t>
        </is>
      </c>
    </row>
    <row r="8">
      <c r="A8" s="96" t="inlineStr">
        <is>
          <t>7665367551072865045</t>
        </is>
      </c>
      <c r="B8" s="98" t="inlineStr">
        <is>
          <t>fashion_only</t>
        </is>
      </c>
      <c r="C8" s="40" t="inlineStr">
        <is>
          <t>MX</t>
        </is>
      </c>
      <c r="D8" s="39" t="n">
        <v>2732.22</v>
      </c>
      <c r="E8" s="40">
        <f>D8/1.16</f>
        <v/>
      </c>
      <c r="F8" s="40">
        <f>E8/J8</f>
        <v/>
      </c>
      <c r="G8" s="40">
        <f>F8/1.16</f>
        <v/>
      </c>
      <c r="H8" s="92" t="n">
        <v>0</v>
      </c>
      <c r="I8" s="26" t="n">
        <v>3.99</v>
      </c>
      <c r="J8" s="89">
        <f>LET(dec, I8-INT(I8), IF(dec&lt;0.1, INT(I8), IF(dec&lt;=0.7, INT(I8)+0.5, INT(I8)+1)))</f>
        <v/>
      </c>
      <c r="K8" s="93" t="n">
        <v>46225</v>
      </c>
      <c r="L8" s="38" t="inlineStr">
        <is>
          <t>MAYTE</t>
        </is>
      </c>
      <c r="M8" s="89" t="n"/>
      <c r="N8" s="89" t="n"/>
      <c r="O8" s="89" t="inlineStr">
        <is>
          <t>Rodrigo Toledo</t>
        </is>
      </c>
    </row>
    <row r="9">
      <c r="A9" s="96" t="inlineStr">
        <is>
          <t>7665744749097208597</t>
        </is>
      </c>
      <c r="B9" s="98" t="inlineStr">
        <is>
          <t>fashion_only</t>
        </is>
      </c>
      <c r="C9" s="40" t="inlineStr">
        <is>
          <t>MX</t>
        </is>
      </c>
      <c r="D9" s="39" t="n">
        <v>2525.21</v>
      </c>
      <c r="E9" s="40">
        <f>D9/1.16</f>
        <v/>
      </c>
      <c r="F9" s="40">
        <f>E9/J9</f>
        <v/>
      </c>
      <c r="G9" s="40">
        <f>F9/1.16</f>
        <v/>
      </c>
      <c r="H9" s="92" t="n">
        <v>0</v>
      </c>
      <c r="I9" s="26" t="n">
        <v>4.07</v>
      </c>
      <c r="J9" s="89">
        <f>LET(dec, I9-INT(I9), IF(dec&lt;0.1, INT(I9), IF(dec&lt;=0.7, INT(I9)+0.5, INT(I9)+1)))</f>
        <v/>
      </c>
      <c r="K9" s="93" t="n">
        <v>46226</v>
      </c>
      <c r="L9" s="38" t="inlineStr">
        <is>
          <t>MAYTE</t>
        </is>
      </c>
      <c r="M9" s="89" t="n"/>
      <c r="N9" s="89" t="n"/>
      <c r="O9" s="89" t="inlineStr">
        <is>
          <t>GUILLERMO</t>
        </is>
      </c>
    </row>
    <row r="10">
      <c r="A10" s="96" t="inlineStr">
        <is>
          <t>7665862105665751829</t>
        </is>
      </c>
      <c r="B10" s="98" t="inlineStr">
        <is>
          <t>fashion_only</t>
        </is>
      </c>
      <c r="C10" s="40" t="inlineStr">
        <is>
          <t>MX</t>
        </is>
      </c>
      <c r="D10" s="39" t="n">
        <v>2219.82</v>
      </c>
      <c r="E10" s="40">
        <f>D10/1.16</f>
        <v/>
      </c>
      <c r="F10" s="40">
        <f>E10/J10</f>
        <v/>
      </c>
      <c r="G10" s="40">
        <f>F10/1.16</f>
        <v/>
      </c>
      <c r="H10" s="92" t="n">
        <v>0</v>
      </c>
      <c r="I10" s="26" t="n">
        <v>4.16</v>
      </c>
      <c r="J10" s="89">
        <f>LET(dec, I10-INT(I10), IF(dec&lt;0.1, INT(I10), IF(dec&lt;=0.7, INT(I10)+0.5, INT(I10)+1)))</f>
        <v/>
      </c>
      <c r="K10" s="93" t="n">
        <v>46226</v>
      </c>
      <c r="L10" s="38" t="inlineStr">
        <is>
          <t>MILLY</t>
        </is>
      </c>
      <c r="M10" s="89" t="n"/>
      <c r="N10" s="89" t="n"/>
      <c r="O10" s="89" t="inlineStr">
        <is>
          <t>Rodrigo Toledo</t>
        </is>
      </c>
    </row>
    <row r="11">
      <c r="A11" s="96" t="inlineStr">
        <is>
          <t>7666109461175765780</t>
        </is>
      </c>
      <c r="B11" s="98" t="inlineStr">
        <is>
          <t>fashion_only</t>
        </is>
      </c>
      <c r="C11" s="40" t="inlineStr">
        <is>
          <t>MX</t>
        </is>
      </c>
      <c r="D11" s="39" t="n">
        <v>4546.38</v>
      </c>
      <c r="E11" s="40">
        <f>D11/1.16</f>
        <v/>
      </c>
      <c r="F11" s="40">
        <f>E11/J11</f>
        <v/>
      </c>
      <c r="G11" s="40">
        <f>F11/1.16</f>
        <v/>
      </c>
      <c r="H11" s="92" t="n">
        <v>0</v>
      </c>
      <c r="I11" s="26" t="n">
        <v>3.01</v>
      </c>
      <c r="J11" s="89">
        <f>LET(dec, I11-INT(I11), IF(dec&lt;0.1, INT(I11), IF(dec&lt;=0.7, INT(I11)+0.5, INT(I11)+1)))</f>
        <v/>
      </c>
      <c r="K11" s="93" t="n">
        <v>46227</v>
      </c>
      <c r="L11" s="38" t="inlineStr">
        <is>
          <t>MAYTE</t>
        </is>
      </c>
      <c r="M11" s="89" t="n"/>
      <c r="N11" s="89" t="n"/>
      <c r="O11" s="89" t="inlineStr">
        <is>
          <t>Rodrigo Toledo</t>
        </is>
      </c>
    </row>
    <row r="12">
      <c r="A12" s="96" t="inlineStr">
        <is>
          <t>7667225130041182996</t>
        </is>
      </c>
      <c r="B12" s="98" t="inlineStr">
        <is>
          <t>fashion_only</t>
        </is>
      </c>
      <c r="C12" s="40" t="inlineStr">
        <is>
          <t>MX</t>
        </is>
      </c>
      <c r="D12" s="39" t="n">
        <v>5530.16</v>
      </c>
      <c r="E12" s="40">
        <f>D12/1.16</f>
        <v/>
      </c>
      <c r="F12" s="40">
        <f>E12/J12</f>
        <v/>
      </c>
      <c r="G12" s="40">
        <f>F12/1.16</f>
        <v/>
      </c>
      <c r="H12" s="92" t="n">
        <v>0</v>
      </c>
      <c r="I12" s="26" t="n">
        <v>4.01</v>
      </c>
      <c r="J12" s="89">
        <f>LET(dec, I12-INT(I12), IF(dec&lt;0.1, INT(I12), IF(dec&lt;=0.7, INT(I12)+0.5, INT(I12)+1)))</f>
        <v/>
      </c>
      <c r="K12" s="93" t="n">
        <v>46230</v>
      </c>
      <c r="L12" s="38" t="inlineStr">
        <is>
          <t>MAYTE</t>
        </is>
      </c>
      <c r="M12" s="89" t="n"/>
      <c r="N12" s="89" t="n"/>
      <c r="O12" s="89" t="inlineStr">
        <is>
          <t>Rodrigo Toledo</t>
        </is>
      </c>
    </row>
    <row r="15">
      <c r="A15" s="7" t="inlineStr">
        <is>
          <t>Room ID</t>
        </is>
      </c>
      <c r="B15" s="7" t="inlineStr">
        <is>
          <t>TT Handle</t>
        </is>
      </c>
      <c r="C15" s="7" t="inlineStr">
        <is>
          <t>Country</t>
        </is>
      </c>
      <c r="D15" s="7" t="inlineStr">
        <is>
          <t>GMV</t>
        </is>
      </c>
      <c r="E15" s="7" t="inlineStr">
        <is>
          <t>GMV/sin EVA</t>
        </is>
      </c>
      <c r="F15" s="7" t="inlineStr">
        <is>
          <t>GMV PER HOUR</t>
        </is>
      </c>
      <c r="G15" s="7" t="inlineStr">
        <is>
          <t>GMV PER HOUR/sin EVA</t>
        </is>
      </c>
      <c r="H15" s="7" t="inlineStr">
        <is>
          <t>Ads Cost</t>
        </is>
      </c>
      <c r="I15" s="7" t="inlineStr">
        <is>
          <t>Duration (H)</t>
        </is>
      </c>
      <c r="J15" s="28" t="inlineStr">
        <is>
          <t>Duration （Formula）</t>
        </is>
      </c>
      <c r="K15" s="58" t="inlineStr">
        <is>
          <t>Start date</t>
        </is>
      </c>
      <c r="L15" s="71" t="inlineStr">
        <is>
          <t>HOST1</t>
        </is>
      </c>
      <c r="M15" s="71" t="inlineStr">
        <is>
          <t xml:space="preserve">HOST 2 </t>
        </is>
      </c>
      <c r="N15" s="71" t="inlineStr">
        <is>
          <t>HOST 3</t>
        </is>
      </c>
      <c r="O15" s="71" t="inlineStr">
        <is>
          <t>Operator</t>
        </is>
      </c>
    </row>
    <row r="16">
      <c r="A16" s="96" t="inlineStr">
        <is>
          <t>7667594329566792468</t>
        </is>
      </c>
      <c r="B16" s="98" t="inlineStr">
        <is>
          <t>fashion_only</t>
        </is>
      </c>
      <c r="C16" s="40" t="inlineStr">
        <is>
          <t>MX</t>
        </is>
      </c>
      <c r="D16" s="100" t="n">
        <v>3083.23</v>
      </c>
      <c r="E16" s="40">
        <f>D16/1.16</f>
        <v/>
      </c>
      <c r="F16" s="40">
        <f>D16/J16</f>
        <v/>
      </c>
      <c r="G16" s="40">
        <f>F16/1.16</f>
        <v/>
      </c>
      <c r="H16" s="92" t="n">
        <v>0</v>
      </c>
      <c r="I16" s="26" t="n">
        <v>3.02</v>
      </c>
      <c r="J16" s="89">
        <f>LET(dec, I16-INT(I16), IF(dec&lt;0.1, INT(I16), IF(dec&lt;=0.7, INT(I16)+0.5, INT(I16)+1)))</f>
        <v/>
      </c>
      <c r="K16" s="93" t="n">
        <v>46231</v>
      </c>
      <c r="L16" s="38" t="inlineStr">
        <is>
          <t>MAYTE</t>
        </is>
      </c>
      <c r="M16" s="89" t="n"/>
      <c r="N16" s="89" t="n"/>
      <c r="O16" s="89" t="inlineStr">
        <is>
          <t>Rodrigo Toledo</t>
        </is>
      </c>
    </row>
    <row r="17">
      <c r="A17" s="96" t="inlineStr">
        <is>
          <t>7667717445873158932</t>
        </is>
      </c>
      <c r="B17" s="98" t="inlineStr">
        <is>
          <t>fashion_only</t>
        </is>
      </c>
      <c r="C17" s="40" t="inlineStr">
        <is>
          <t>MX</t>
        </is>
      </c>
      <c r="D17" s="100" t="n">
        <v>3537.28</v>
      </c>
      <c r="E17" s="40">
        <f>D17/1.16</f>
        <v/>
      </c>
      <c r="F17" s="40">
        <f>D17/J17</f>
        <v/>
      </c>
      <c r="G17" s="40">
        <f>F17/1.16</f>
        <v/>
      </c>
      <c r="H17" s="92" t="n">
        <v>0</v>
      </c>
      <c r="I17" s="26" t="n">
        <v>4</v>
      </c>
      <c r="J17" s="89">
        <f>LET(dec, I17-INT(I17), IF(dec&lt;0.1, INT(I17), IF(dec&lt;=0.7, INT(I17)+0.5, INT(I17)+1)))</f>
        <v/>
      </c>
      <c r="K17" s="93" t="n">
        <v>46231</v>
      </c>
      <c r="L17" s="38" t="inlineStr">
        <is>
          <t>MAYTE</t>
        </is>
      </c>
      <c r="M17" s="89" t="n"/>
      <c r="N17" s="89" t="n"/>
      <c r="O17" s="89" t="inlineStr">
        <is>
          <t>Rodrigo Toledo</t>
        </is>
      </c>
    </row>
    <row r="18">
      <c r="A18" s="96" t="inlineStr">
        <is>
          <t>7667965533656255253</t>
        </is>
      </c>
      <c r="B18" s="98" t="inlineStr">
        <is>
          <t>fashion_only</t>
        </is>
      </c>
      <c r="C18" s="40" t="inlineStr">
        <is>
          <t>MX</t>
        </is>
      </c>
      <c r="D18" s="100" t="n">
        <v>7251.42</v>
      </c>
      <c r="E18" s="40">
        <f>D18/1.16</f>
        <v/>
      </c>
      <c r="F18" s="40">
        <f>D18/J18</f>
        <v/>
      </c>
      <c r="G18" s="40">
        <f>F18/1.16</f>
        <v/>
      </c>
      <c r="H18" s="92" t="n">
        <v>0</v>
      </c>
      <c r="I18" s="26" t="n">
        <v>4.02</v>
      </c>
      <c r="J18" s="89">
        <f>LET(dec, I18-INT(I18), IF(dec&lt;0.1, INT(I18), IF(dec&lt;=0.7, INT(I18)+0.5, INT(I18)+1)))</f>
        <v/>
      </c>
      <c r="K18" s="93" t="n">
        <v>46232</v>
      </c>
      <c r="L18" s="38" t="inlineStr">
        <is>
          <t>MAYTE</t>
        </is>
      </c>
      <c r="M18" s="89" t="n"/>
      <c r="N18" s="89" t="n"/>
      <c r="O18" s="89" t="inlineStr">
        <is>
          <t>Rodrigo Toledo</t>
        </is>
      </c>
    </row>
    <row r="19">
      <c r="A19" s="96" t="inlineStr">
        <is>
          <t>7668088587322100500</t>
        </is>
      </c>
      <c r="B19" s="98" t="inlineStr">
        <is>
          <t>fashion_only</t>
        </is>
      </c>
      <c r="C19" s="40" t="inlineStr">
        <is>
          <t>MX</t>
        </is>
      </c>
      <c r="D19" s="100" t="n">
        <v>310.12</v>
      </c>
      <c r="E19" s="40">
        <f>D19/1.16</f>
        <v/>
      </c>
      <c r="F19" s="40">
        <f>D19/J19</f>
        <v/>
      </c>
      <c r="G19" s="40">
        <f>F19/1.16</f>
        <v/>
      </c>
      <c r="H19" s="92" t="n">
        <v>0</v>
      </c>
      <c r="I19" s="26" t="n">
        <v>1.92</v>
      </c>
      <c r="J19" s="89">
        <f>LET(dec, I19-INT(I19), IF(dec&lt;0.1, INT(I19), IF(dec&lt;=0.7, INT(I19)+0.5, INT(I19)+1)))</f>
        <v/>
      </c>
      <c r="K19" s="93" t="n">
        <v>46232</v>
      </c>
      <c r="L19" s="38" t="inlineStr">
        <is>
          <t>MAYTE</t>
        </is>
      </c>
      <c r="M19" s="89" t="n"/>
      <c r="N19" s="89" t="n"/>
      <c r="O19" s="89" t="inlineStr">
        <is>
          <t>Rodrigo Toledo</t>
        </is>
      </c>
    </row>
    <row r="20">
      <c r="A20" s="96" t="inlineStr">
        <is>
          <t>7668121937484401429</t>
        </is>
      </c>
      <c r="B20" s="98" t="inlineStr">
        <is>
          <t>fashion_only</t>
        </is>
      </c>
      <c r="C20" s="40" t="inlineStr">
        <is>
          <t>MX</t>
        </is>
      </c>
      <c r="D20" s="100" t="n">
        <v>586</v>
      </c>
      <c r="E20" s="40">
        <f>D20/1.16</f>
        <v/>
      </c>
      <c r="F20" s="40">
        <f>D20/J20</f>
        <v/>
      </c>
      <c r="G20" s="40">
        <f>F20/1.16</f>
        <v/>
      </c>
      <c r="H20" s="92" t="n">
        <v>0</v>
      </c>
      <c r="I20" s="26" t="n">
        <v>1.85</v>
      </c>
      <c r="J20" s="89">
        <f>LET(dec, I20-INT(I20), IF(dec&lt;0.1, INT(I20), IF(dec&lt;=0.7, INT(I20)+0.5, INT(I20)+1)))</f>
        <v/>
      </c>
      <c r="K20" s="93" t="n">
        <v>46232</v>
      </c>
      <c r="L20" s="38" t="inlineStr">
        <is>
          <t>MAYTE</t>
        </is>
      </c>
      <c r="M20" s="89" t="n"/>
      <c r="N20" s="89" t="n"/>
      <c r="O20" s="89" t="inlineStr">
        <is>
          <t>Rodrigo Toledo</t>
        </is>
      </c>
    </row>
    <row r="21">
      <c r="A21" s="96" t="inlineStr">
        <is>
          <t>7668336826993740564</t>
        </is>
      </c>
      <c r="B21" s="98" t="inlineStr">
        <is>
          <t>fashion_only</t>
        </is>
      </c>
      <c r="C21" s="40" t="inlineStr">
        <is>
          <t>MX</t>
        </is>
      </c>
      <c r="D21" s="100" t="n">
        <v>3183.93</v>
      </c>
      <c r="E21" s="40">
        <f>D21/1.16</f>
        <v/>
      </c>
      <c r="F21" s="40">
        <f>D21/J21</f>
        <v/>
      </c>
      <c r="G21" s="40">
        <f>F21/1.16</f>
        <v/>
      </c>
      <c r="H21" s="92" t="n">
        <v>0</v>
      </c>
      <c r="I21" s="26" t="n">
        <v>3.02</v>
      </c>
      <c r="J21" s="89">
        <f>LET(dec, I21-INT(I21), IF(dec&lt;0.1, INT(I21), IF(dec&lt;=0.7, INT(I21)+0.5, INT(I21)+1)))</f>
        <v/>
      </c>
      <c r="K21" s="93" t="n">
        <v>46233</v>
      </c>
      <c r="L21" s="38" t="inlineStr">
        <is>
          <t>MAYTE</t>
        </is>
      </c>
      <c r="M21" s="89" t="n"/>
      <c r="N21" s="89" t="n"/>
      <c r="O21" s="89" t="inlineStr">
        <is>
          <t>Rodrigo Toledo</t>
        </is>
      </c>
    </row>
    <row r="22">
      <c r="A22" s="96" t="inlineStr">
        <is>
          <t>7668475189500939028</t>
        </is>
      </c>
      <c r="B22" s="98" t="inlineStr">
        <is>
          <t>fashion_only</t>
        </is>
      </c>
      <c r="C22" s="40" t="inlineStr">
        <is>
          <t>MX</t>
        </is>
      </c>
      <c r="D22" s="100" t="n">
        <v>727.12</v>
      </c>
      <c r="E22" s="40">
        <f>D22/1.16</f>
        <v/>
      </c>
      <c r="F22" s="40">
        <f>D22/J22</f>
        <v/>
      </c>
      <c r="G22" s="40">
        <f>F22/1.16</f>
        <v/>
      </c>
      <c r="H22" s="92" t="n">
        <v>0</v>
      </c>
      <c r="I22" s="26" t="n">
        <v>3</v>
      </c>
      <c r="J22" s="89">
        <f>LET(dec, I22-INT(I22), IF(dec&lt;0.1, INT(I22), IF(dec&lt;=0.7, INT(I22)+0.5, INT(I22)+1)))</f>
        <v/>
      </c>
      <c r="K22" s="93" t="n">
        <v>46233</v>
      </c>
      <c r="L22" s="38" t="inlineStr">
        <is>
          <t>MAYTE</t>
        </is>
      </c>
      <c r="M22" s="89" t="n"/>
      <c r="N22" s="89" t="n"/>
      <c r="O22" s="89" t="inlineStr">
        <is>
          <t>Rodrigo Toledo</t>
        </is>
      </c>
    </row>
    <row r="23">
      <c r="A23" s="96" t="inlineStr">
        <is>
          <t>7668708077019024149</t>
        </is>
      </c>
      <c r="B23" s="98" t="inlineStr">
        <is>
          <t>fashion_only</t>
        </is>
      </c>
      <c r="C23" s="40" t="inlineStr">
        <is>
          <t>MX</t>
        </is>
      </c>
      <c r="D23" s="100" t="n">
        <v>5214.81</v>
      </c>
      <c r="E23" s="40">
        <f>D23/1.16</f>
        <v/>
      </c>
      <c r="F23" s="40">
        <f>D23/J23</f>
        <v/>
      </c>
      <c r="G23" s="40">
        <f>F23/1.16</f>
        <v/>
      </c>
      <c r="H23" s="92" t="n">
        <v>0</v>
      </c>
      <c r="I23" s="26" t="n">
        <v>3.02</v>
      </c>
      <c r="J23" s="89">
        <f>LET(dec, I23-INT(I23), IF(dec&lt;0.1, INT(I23), IF(dec&lt;=0.7, INT(I23)+0.5, INT(I23)+1)))</f>
        <v/>
      </c>
      <c r="K23" s="93" t="n">
        <v>46234</v>
      </c>
      <c r="L23" s="38" t="inlineStr">
        <is>
          <t>MAYTE</t>
        </is>
      </c>
      <c r="M23" s="89" t="n"/>
      <c r="N23" s="89" t="n"/>
      <c r="O23" s="89" t="inlineStr">
        <is>
          <t>Rodrigo Toledo</t>
        </is>
      </c>
    </row>
    <row r="24">
      <c r="A24" s="96" t="inlineStr">
        <is>
          <t>7669821683329600276</t>
        </is>
      </c>
      <c r="B24" s="98" t="inlineStr">
        <is>
          <t>fashion_only</t>
        </is>
      </c>
      <c r="C24" s="40" t="inlineStr">
        <is>
          <t>MX</t>
        </is>
      </c>
      <c r="D24" s="100" t="n">
        <v>2171.57</v>
      </c>
      <c r="E24" s="40">
        <f>D24/1.16</f>
        <v/>
      </c>
      <c r="F24" s="40">
        <f>D24/J24</f>
        <v/>
      </c>
      <c r="G24" s="40">
        <f>F24/1.16</f>
        <v/>
      </c>
      <c r="H24" s="92" t="n">
        <v>0</v>
      </c>
      <c r="I24" s="26" t="n">
        <v>3.95</v>
      </c>
      <c r="J24" s="89">
        <f>LET(dec, I24-INT(I24), IF(dec&lt;0.1, INT(I24), IF(dec&lt;=0.7, INT(I24)+0.5, INT(I24)+1)))</f>
        <v/>
      </c>
      <c r="K24" s="93" t="n">
        <v>46237</v>
      </c>
      <c r="L24" s="38" t="inlineStr">
        <is>
          <t>MAYTE</t>
        </is>
      </c>
      <c r="M24" s="89" t="n"/>
      <c r="N24" s="89" t="n"/>
      <c r="O24" s="89" t="inlineStr">
        <is>
          <t>Rodrigo Toledo</t>
        </is>
      </c>
    </row>
    <row r="25">
      <c r="A25" s="96" t="inlineStr">
        <is>
          <t>7669885500278508309</t>
        </is>
      </c>
      <c r="B25" s="98" t="inlineStr">
        <is>
          <t>fashion_only</t>
        </is>
      </c>
      <c r="C25" s="40" t="inlineStr">
        <is>
          <t>MX</t>
        </is>
      </c>
      <c r="D25" s="100" t="n">
        <v>1012.53</v>
      </c>
      <c r="E25" s="40">
        <f>D25/1.16</f>
        <v/>
      </c>
      <c r="F25" s="40">
        <f>D25/J25</f>
        <v/>
      </c>
      <c r="G25" s="40">
        <f>F25/1.16</f>
        <v/>
      </c>
      <c r="H25" s="92" t="n">
        <v>0</v>
      </c>
      <c r="I25" s="26" t="n">
        <v>0.8100000000000001</v>
      </c>
      <c r="J25" s="89">
        <f>LET(dec, I25-INT(I25), IF(dec&lt;0.1, INT(I25), IF(dec&lt;=0.7, INT(I25)+0.5, INT(I25)+1)))</f>
        <v/>
      </c>
      <c r="K25" s="93" t="n">
        <v>46237</v>
      </c>
      <c r="L25" s="38" t="inlineStr">
        <is>
          <t>MAYTE</t>
        </is>
      </c>
      <c r="M25" s="89" t="n"/>
      <c r="N25" s="89" t="n"/>
      <c r="O25" s="89" t="inlineStr">
        <is>
          <t>Rodrigo Toledo</t>
        </is>
      </c>
    </row>
    <row r="26">
      <c r="A26" s="96" t="inlineStr">
        <is>
          <t>7669928284601551636</t>
        </is>
      </c>
      <c r="B26" s="98" t="inlineStr">
        <is>
          <t>fashion_only</t>
        </is>
      </c>
      <c r="C26" s="40" t="inlineStr">
        <is>
          <t>MX</t>
        </is>
      </c>
      <c r="D26" s="100" t="n">
        <v>394.9</v>
      </c>
      <c r="E26" s="40">
        <f>D26/1.16</f>
        <v/>
      </c>
      <c r="F26" s="40">
        <f>D26/J26</f>
        <v/>
      </c>
      <c r="G26" s="40">
        <f>F26/1.16</f>
        <v/>
      </c>
      <c r="H26" s="92" t="n">
        <v>0</v>
      </c>
      <c r="I26" s="26" t="n">
        <v>3.09</v>
      </c>
      <c r="J26" s="89">
        <f>LET(dec, I26-INT(I26), IF(dec&lt;0.1, INT(I26), IF(dec&lt;=0.7, INT(I26)+0.5, INT(I26)+1)))</f>
        <v/>
      </c>
      <c r="K26" s="93" t="n">
        <v>46237</v>
      </c>
      <c r="L26" s="38" t="inlineStr">
        <is>
          <t>MAYTE</t>
        </is>
      </c>
      <c r="M26" s="89" t="n"/>
      <c r="N26" s="89" t="n"/>
      <c r="O26" s="89" t="inlineStr">
        <is>
          <t>Rodrigo Toledo</t>
        </is>
      </c>
    </row>
    <row r="27">
      <c r="A27" s="96" t="inlineStr">
        <is>
          <t>7669977595538918164</t>
        </is>
      </c>
      <c r="B27" s="98" t="inlineStr">
        <is>
          <t>fashion_only</t>
        </is>
      </c>
      <c r="C27" s="40" t="inlineStr">
        <is>
          <t>MX</t>
        </is>
      </c>
      <c r="D27" s="100" t="n">
        <v>526.73</v>
      </c>
      <c r="E27" s="40">
        <f>D27/1.16</f>
        <v/>
      </c>
      <c r="F27" s="40">
        <f>D27/J27</f>
        <v/>
      </c>
      <c r="G27" s="40">
        <f>F27/1.16</f>
        <v/>
      </c>
      <c r="H27" s="92" t="n">
        <v>0</v>
      </c>
      <c r="I27" s="26" t="n">
        <v>0.85</v>
      </c>
      <c r="J27" s="89">
        <f>LET(dec, I27-INT(I27), IF(dec&lt;0.1, INT(I27), IF(dec&lt;=0.7, INT(I27)+0.5, INT(I27)+1)))</f>
        <v/>
      </c>
      <c r="K27" s="93" t="n">
        <v>46237</v>
      </c>
      <c r="L27" s="38" t="inlineStr">
        <is>
          <t>MAYTE</t>
        </is>
      </c>
      <c r="M27" s="89" t="n"/>
      <c r="N27" s="89" t="n"/>
      <c r="O27" s="89" t="inlineStr">
        <is>
          <t>Rodrigo Toledo</t>
        </is>
      </c>
    </row>
    <row r="28">
      <c r="A28" s="96" t="inlineStr">
        <is>
          <t>7670193130708224788</t>
        </is>
      </c>
      <c r="B28" s="98" t="inlineStr">
        <is>
          <t>fashion_only</t>
        </is>
      </c>
      <c r="C28" s="40" t="inlineStr">
        <is>
          <t>MX</t>
        </is>
      </c>
      <c r="D28" s="100" t="n">
        <v>3110</v>
      </c>
      <c r="E28" s="40">
        <f>D28/1.16</f>
        <v/>
      </c>
      <c r="F28" s="40">
        <f>D28/J28</f>
        <v/>
      </c>
      <c r="G28" s="40">
        <f>F28/1.16</f>
        <v/>
      </c>
      <c r="H28" s="92" t="n">
        <v>0</v>
      </c>
      <c r="I28" s="26" t="n">
        <v>2.95</v>
      </c>
      <c r="J28" s="89">
        <f>LET(dec, I28-INT(I28), IF(dec&lt;0.1, INT(I28), IF(dec&lt;=0.7, INT(I28)+0.5, INT(I28)+1)))</f>
        <v/>
      </c>
      <c r="K28" s="93" t="n">
        <v>46238</v>
      </c>
      <c r="L28" s="38" t="inlineStr">
        <is>
          <t>MAYTE</t>
        </is>
      </c>
      <c r="M28" s="89" t="n"/>
      <c r="N28" s="89" t="n"/>
      <c r="O28" s="89" t="inlineStr">
        <is>
          <t>Rodrigo Toledo</t>
        </is>
      </c>
    </row>
    <row r="29">
      <c r="A29" s="96" t="inlineStr">
        <is>
          <t>7670563028653329173</t>
        </is>
      </c>
      <c r="B29" s="98" t="inlineStr">
        <is>
          <t>fashion_only</t>
        </is>
      </c>
      <c r="C29" s="40" t="inlineStr">
        <is>
          <t>MX</t>
        </is>
      </c>
      <c r="D29" s="100" t="n">
        <v>3465.13</v>
      </c>
      <c r="E29" s="40">
        <f>D29/1.16</f>
        <v/>
      </c>
      <c r="F29" s="40">
        <f>D29/J29</f>
        <v/>
      </c>
      <c r="G29" s="40">
        <f>F29/1.16</f>
        <v/>
      </c>
      <c r="H29" s="92" t="n">
        <v>0</v>
      </c>
      <c r="I29" s="26" t="n">
        <v>4.03</v>
      </c>
      <c r="J29" s="89">
        <f>LET(dec, I29-INT(I29), IF(dec&lt;0.1, INT(I29), IF(dec&lt;=0.7, INT(I29)+0.5, INT(I29)+1)))</f>
        <v/>
      </c>
      <c r="K29" s="93" t="n">
        <v>46239</v>
      </c>
      <c r="L29" s="38" t="inlineStr">
        <is>
          <t>MAYTE</t>
        </is>
      </c>
      <c r="M29" s="89" t="n"/>
      <c r="N29" s="89" t="n"/>
      <c r="O29" s="89" t="inlineStr">
        <is>
          <t>Rodrigo Toledo</t>
        </is>
      </c>
    </row>
    <row r="30">
      <c r="A30" s="96" t="inlineStr">
        <is>
          <t>7670934630624021269</t>
        </is>
      </c>
      <c r="B30" s="98" t="inlineStr">
        <is>
          <t>fashion_only</t>
        </is>
      </c>
      <c r="C30" s="40" t="inlineStr">
        <is>
          <t>MX</t>
        </is>
      </c>
      <c r="D30" s="100" t="n">
        <v>5572.42</v>
      </c>
      <c r="E30" s="40">
        <f>D30/1.16</f>
        <v/>
      </c>
      <c r="F30" s="40">
        <f>D30/J30</f>
        <v/>
      </c>
      <c r="G30" s="40">
        <f>F30/1.16</f>
        <v/>
      </c>
      <c r="H30" s="92" t="n">
        <v>0</v>
      </c>
      <c r="I30" s="26" t="n">
        <v>3.01</v>
      </c>
      <c r="J30" s="89">
        <f>LET(dec, I30-INT(I30), IF(dec&lt;0.1, INT(I30), IF(dec&lt;=0.7, INT(I30)+0.5, INT(I30)+1)))</f>
        <v/>
      </c>
      <c r="K30" s="93" t="n">
        <v>46240</v>
      </c>
      <c r="L30" s="38" t="inlineStr">
        <is>
          <t>MAYTE</t>
        </is>
      </c>
      <c r="M30" s="89" t="n"/>
      <c r="N30" s="89" t="n"/>
      <c r="O30" s="89" t="inlineStr">
        <is>
          <t>Rodrigo Toledo</t>
        </is>
      </c>
    </row>
    <row r="31">
      <c r="A31" s="96" t="inlineStr">
        <is>
          <t>7671328589316360980</t>
        </is>
      </c>
      <c r="B31" s="98" t="inlineStr">
        <is>
          <t>fashion_only</t>
        </is>
      </c>
      <c r="C31" s="40" t="inlineStr">
        <is>
          <t>MX</t>
        </is>
      </c>
      <c r="D31" s="100" t="n">
        <v>8892.24</v>
      </c>
      <c r="E31" s="40">
        <f>D31/1.16</f>
        <v/>
      </c>
      <c r="F31" s="40">
        <f>D31/J31</f>
        <v/>
      </c>
      <c r="G31" s="40">
        <f>F31/1.16</f>
        <v/>
      </c>
      <c r="H31" s="92" t="n">
        <v>0</v>
      </c>
      <c r="I31" s="26" t="n">
        <v>4</v>
      </c>
      <c r="J31" s="89">
        <f>LET(dec, I31-INT(I31), IF(dec&lt;0.1, INT(I31), IF(dec&lt;=0.7, INT(I31)+0.5, INT(I31)+1)))</f>
        <v/>
      </c>
      <c r="K31" s="93" t="n">
        <v>46241</v>
      </c>
      <c r="L31" s="38" t="inlineStr">
        <is>
          <t>MAYTE</t>
        </is>
      </c>
      <c r="M31" s="89" t="n"/>
      <c r="N31" s="89" t="n"/>
      <c r="O31" s="89" t="inlineStr">
        <is>
          <t>Rodrigo Toledo</t>
        </is>
      </c>
    </row>
    <row r="32">
      <c r="A32" s="96" t="inlineStr">
        <is>
          <t>7672418861321603861</t>
        </is>
      </c>
      <c r="B32" s="98" t="inlineStr">
        <is>
          <t>fashion_only</t>
        </is>
      </c>
      <c r="C32" s="40" t="inlineStr">
        <is>
          <t>MX</t>
        </is>
      </c>
      <c r="D32" s="100" t="n">
        <v>4307.52</v>
      </c>
      <c r="E32" s="40">
        <f>D32/1.16</f>
        <v/>
      </c>
      <c r="F32" s="40">
        <f>D32/J32</f>
        <v/>
      </c>
      <c r="G32" s="40">
        <f>F32/1.16</f>
        <v/>
      </c>
      <c r="H32" s="92" t="n">
        <v>0</v>
      </c>
      <c r="I32" s="26" t="n">
        <v>3.04</v>
      </c>
      <c r="J32" s="89">
        <f>LET(dec, I32-INT(I32), IF(dec&lt;0.1, INT(I32), IF(dec&lt;=0.7, INT(I32)+0.5, INT(I32)+1)))</f>
        <v/>
      </c>
      <c r="K32" s="93" t="n">
        <v>46244</v>
      </c>
      <c r="L32" s="38" t="inlineStr">
        <is>
          <t>MAYTE</t>
        </is>
      </c>
      <c r="M32" s="89" t="n"/>
      <c r="N32" s="89" t="n"/>
      <c r="O32" s="89" t="inlineStr">
        <is>
          <t>Rodrigo Toledo</t>
        </is>
      </c>
    </row>
    <row r="33">
      <c r="A33" s="96" t="inlineStr">
        <is>
          <t>7672789856076581653</t>
        </is>
      </c>
      <c r="B33" s="98" t="inlineStr">
        <is>
          <t>fashion_only</t>
        </is>
      </c>
      <c r="C33" s="40" t="inlineStr">
        <is>
          <t>MX</t>
        </is>
      </c>
      <c r="D33" s="100" t="n">
        <v>7767.61</v>
      </c>
      <c r="E33" s="40">
        <f>D33/1.16</f>
        <v/>
      </c>
      <c r="F33" s="40">
        <f>D33/J33</f>
        <v/>
      </c>
      <c r="G33" s="40">
        <f>F33/1.16</f>
        <v/>
      </c>
      <c r="H33" s="92" t="n">
        <v>0</v>
      </c>
      <c r="I33" s="26" t="n">
        <v>5.97</v>
      </c>
      <c r="J33" s="89">
        <f>LET(dec, I33-INT(I33), IF(dec&lt;0.1, INT(I33), IF(dec&lt;=0.7, INT(I33)+0.5, INT(I33)+1)))</f>
        <v/>
      </c>
      <c r="K33" s="93" t="n">
        <v>46245</v>
      </c>
      <c r="L33" s="38" t="inlineStr">
        <is>
          <t>MAYTE</t>
        </is>
      </c>
      <c r="M33" s="89" t="n"/>
      <c r="N33" s="89" t="n"/>
      <c r="O33" s="89" t="inlineStr">
        <is>
          <t>Rodrigo Toledo</t>
        </is>
      </c>
    </row>
    <row r="34">
      <c r="A34" s="96" t="inlineStr">
        <is>
          <t>7673163715403516693</t>
        </is>
      </c>
      <c r="B34" s="98" t="inlineStr">
        <is>
          <t>fashion_only</t>
        </is>
      </c>
      <c r="C34" s="40" t="inlineStr">
        <is>
          <t>MX</t>
        </is>
      </c>
      <c r="D34" s="100" t="n">
        <v>1014.44</v>
      </c>
      <c r="E34" s="40">
        <f>D34/1.16</f>
        <v/>
      </c>
      <c r="F34" s="40">
        <f>D34/J34</f>
        <v/>
      </c>
      <c r="G34" s="40">
        <f>F34/1.16</f>
        <v/>
      </c>
      <c r="H34" s="92" t="n">
        <v>0</v>
      </c>
      <c r="I34" s="26" t="n">
        <v>1.72</v>
      </c>
      <c r="J34" s="89">
        <f>LET(dec, I34-INT(I34), IF(dec&lt;0.1, INT(I34), IF(dec&lt;=0.7, INT(I34)+0.5, INT(I34)+1)))</f>
        <v/>
      </c>
      <c r="K34" s="93" t="n">
        <v>46246</v>
      </c>
      <c r="L34" s="38" t="inlineStr">
        <is>
          <t>MAYTE</t>
        </is>
      </c>
      <c r="M34" s="89" t="n"/>
      <c r="N34" s="89" t="n"/>
      <c r="O34" s="89" t="inlineStr">
        <is>
          <t>Rodrigo Toledo</t>
        </is>
      </c>
    </row>
    <row r="35">
      <c r="A35" s="96" t="inlineStr">
        <is>
          <t>7673190705173236501</t>
        </is>
      </c>
      <c r="B35" s="98" t="inlineStr">
        <is>
          <t>fashion_only</t>
        </is>
      </c>
      <c r="C35" s="40" t="inlineStr">
        <is>
          <t>MX</t>
        </is>
      </c>
      <c r="D35" s="100" t="n">
        <v>3966.52</v>
      </c>
      <c r="E35" s="40">
        <f>D35/1.16</f>
        <v/>
      </c>
      <c r="F35" s="40">
        <f>D35/J35</f>
        <v/>
      </c>
      <c r="G35" s="40">
        <f>F35/1.16</f>
        <v/>
      </c>
      <c r="H35" s="92" t="n">
        <v>0</v>
      </c>
      <c r="I35" s="26" t="n">
        <v>4.26</v>
      </c>
      <c r="J35" s="89">
        <f>LET(dec, I35-INT(I35), IF(dec&lt;0.1, INT(I35), IF(dec&lt;=0.7, INT(I35)+0.5, INT(I35)+1)))</f>
        <v/>
      </c>
      <c r="K35" s="93" t="n">
        <v>46246</v>
      </c>
      <c r="L35" s="38" t="inlineStr">
        <is>
          <t>MAYTE</t>
        </is>
      </c>
      <c r="M35" s="89" t="n"/>
      <c r="N35" s="89" t="n"/>
      <c r="O35" s="89" t="inlineStr">
        <is>
          <t>Rodrigo Toledo</t>
        </is>
      </c>
    </row>
    <row r="36">
      <c r="A36" s="96" t="inlineStr">
        <is>
          <t>7673532234562816788</t>
        </is>
      </c>
      <c r="B36" s="98" t="inlineStr">
        <is>
          <t>fashion_only</t>
        </is>
      </c>
      <c r="C36" s="40" t="inlineStr">
        <is>
          <t>MX</t>
        </is>
      </c>
      <c r="D36" s="100" t="n">
        <v>7174.59</v>
      </c>
      <c r="E36" s="40">
        <f>D36/1.16</f>
        <v/>
      </c>
      <c r="F36" s="40">
        <f>D36/J36</f>
        <v/>
      </c>
      <c r="G36" s="40">
        <f>F36/1.16</f>
        <v/>
      </c>
      <c r="H36" s="92" t="n">
        <v>0</v>
      </c>
      <c r="I36" s="26" t="n">
        <v>6.01</v>
      </c>
      <c r="J36" s="89">
        <f>LET(dec, I36-INT(I36), IF(dec&lt;0.1, INT(I36), IF(dec&lt;=0.7, INT(I36)+0.5, INT(I36)+1)))</f>
        <v/>
      </c>
      <c r="K36" s="93" t="n">
        <v>46247</v>
      </c>
      <c r="L36" s="38" t="inlineStr">
        <is>
          <t>MAYTE</t>
        </is>
      </c>
      <c r="M36" s="89" t="n"/>
      <c r="N36" s="89" t="n"/>
      <c r="O36" s="89" t="inlineStr">
        <is>
          <t>Rodrigo Toledo</t>
        </is>
      </c>
    </row>
    <row r="37">
      <c r="A37" s="96" t="inlineStr">
        <is>
          <t>7673902619373816597</t>
        </is>
      </c>
      <c r="B37" s="98" t="inlineStr">
        <is>
          <t>fashion_only</t>
        </is>
      </c>
      <c r="C37" s="40" t="inlineStr">
        <is>
          <t>MX</t>
        </is>
      </c>
      <c r="D37" s="100" t="n">
        <v>0</v>
      </c>
      <c r="E37" s="40">
        <f>D37/1.16</f>
        <v/>
      </c>
      <c r="F37" s="40" t="n">
        <v>0</v>
      </c>
      <c r="G37" s="40">
        <f>F37/1.16</f>
        <v/>
      </c>
      <c r="H37" s="92" t="n">
        <v>0</v>
      </c>
      <c r="I37" s="26" t="n">
        <v>0.04</v>
      </c>
      <c r="J37" s="89">
        <f>LET(dec, I37-INT(I37), IF(dec&lt;0.1, INT(I37), IF(dec&lt;=0.7, INT(I37)+0.5, INT(I37)+1)))</f>
        <v/>
      </c>
      <c r="K37" s="93" t="n">
        <v>46248</v>
      </c>
      <c r="L37" s="38" t="inlineStr">
        <is>
          <t>MAYTE</t>
        </is>
      </c>
      <c r="M37" s="89" t="n"/>
      <c r="N37" s="89" t="n"/>
      <c r="O37" s="89" t="inlineStr">
        <is>
          <t>Rodrigo Toledo</t>
        </is>
      </c>
    </row>
    <row r="38">
      <c r="A38" s="96" t="inlineStr">
        <is>
          <t>7673903357496429332</t>
        </is>
      </c>
      <c r="B38" s="98" t="inlineStr">
        <is>
          <t>fashion_only</t>
        </is>
      </c>
      <c r="C38" s="40" t="inlineStr">
        <is>
          <t>MX</t>
        </is>
      </c>
      <c r="D38" s="100" t="n">
        <v>3536.76</v>
      </c>
      <c r="E38" s="40">
        <f>D38/1.16</f>
        <v/>
      </c>
      <c r="F38" s="40">
        <f>D38/J38</f>
        <v/>
      </c>
      <c r="G38" s="40">
        <f>F38/1.16</f>
        <v/>
      </c>
      <c r="H38" s="92" t="n">
        <v>0</v>
      </c>
      <c r="I38" s="26" t="n">
        <v>2.98</v>
      </c>
      <c r="J38" s="89">
        <f>LET(dec, I38-INT(I38), IF(dec&lt;0.1, INT(I38), IF(dec&lt;=0.7, INT(I38)+0.5, INT(I38)+1)))</f>
        <v/>
      </c>
      <c r="K38" s="93" t="n">
        <v>46248</v>
      </c>
      <c r="L38" s="38" t="inlineStr">
        <is>
          <t>MAYTE</t>
        </is>
      </c>
      <c r="M38" s="89" t="n"/>
      <c r="N38" s="89" t="n"/>
      <c r="O38" s="89" t="inlineStr">
        <is>
          <t>Rodrigo Toledo</t>
        </is>
      </c>
    </row>
    <row r="39">
      <c r="A39" s="96" t="inlineStr">
        <is>
          <t>7675017508331506453</t>
        </is>
      </c>
      <c r="B39" s="98" t="inlineStr">
        <is>
          <t>fashion_only</t>
        </is>
      </c>
      <c r="C39" s="40" t="inlineStr">
        <is>
          <t>MX</t>
        </is>
      </c>
      <c r="D39" s="100" t="n">
        <v>3425</v>
      </c>
      <c r="E39" s="40">
        <f>D39/1.16</f>
        <v/>
      </c>
      <c r="F39" s="40">
        <f>D39/J39</f>
        <v/>
      </c>
      <c r="G39" s="40">
        <f>F39/1.16</f>
        <v/>
      </c>
      <c r="H39" s="92" t="n">
        <v>0</v>
      </c>
      <c r="I39" s="26" t="n">
        <v>2.89</v>
      </c>
      <c r="J39" s="89">
        <f>LET(dec, I39-INT(I39), IF(dec&lt;0.1, INT(I39), IF(dec&lt;=0.7, INT(I39)+0.5, INT(I39)+1)))</f>
        <v/>
      </c>
      <c r="K39" s="93" t="n">
        <v>46251</v>
      </c>
      <c r="L39" s="38" t="inlineStr">
        <is>
          <t>MAYTE</t>
        </is>
      </c>
      <c r="M39" s="89" t="n"/>
      <c r="N39" s="89" t="n"/>
      <c r="O39" s="89" t="inlineStr">
        <is>
          <t>Rodrigo Toledo</t>
        </is>
      </c>
    </row>
    <row r="40">
      <c r="A40" s="96" t="inlineStr">
        <is>
          <t>7675389777128704789</t>
        </is>
      </c>
      <c r="B40" s="98" t="inlineStr">
        <is>
          <t>fashion_only</t>
        </is>
      </c>
      <c r="C40" s="40" t="inlineStr">
        <is>
          <t>MX</t>
        </is>
      </c>
      <c r="D40" s="100" t="n">
        <v>943.8099999999999</v>
      </c>
      <c r="E40" s="40">
        <f>D40/1.16</f>
        <v/>
      </c>
      <c r="F40" s="40">
        <f>D40/J40</f>
        <v/>
      </c>
      <c r="G40" s="40">
        <f>F40/1.16</f>
        <v/>
      </c>
      <c r="H40" s="92" t="n">
        <v>0</v>
      </c>
      <c r="I40" s="26" t="n">
        <v>2.8</v>
      </c>
      <c r="J40" s="89">
        <f>LET(dec, I40-INT(I40), IF(dec&lt;0.1, INT(I40), IF(dec&lt;=0.7, INT(I40)+0.5, INT(I40)+1)))</f>
        <v/>
      </c>
      <c r="K40" s="93" t="n">
        <v>46252</v>
      </c>
      <c r="L40" s="38" t="inlineStr">
        <is>
          <t>MAYTE</t>
        </is>
      </c>
      <c r="M40" s="89" t="n"/>
      <c r="N40" s="89" t="n"/>
      <c r="O40" s="89" t="inlineStr">
        <is>
          <t>Rodrigo Toledo</t>
        </is>
      </c>
    </row>
    <row r="41">
      <c r="A41" s="96" t="inlineStr">
        <is>
          <t>7675762163348278037</t>
        </is>
      </c>
      <c r="B41" s="98" t="inlineStr">
        <is>
          <t>fashion_only</t>
        </is>
      </c>
      <c r="C41" s="40" t="inlineStr">
        <is>
          <t>MX</t>
        </is>
      </c>
      <c r="D41" s="100" t="n">
        <v>2471.1</v>
      </c>
      <c r="E41" s="40">
        <f>D41/1.16</f>
        <v/>
      </c>
      <c r="F41" s="40">
        <f>D41/J41</f>
        <v/>
      </c>
      <c r="G41" s="40">
        <f>F41/1.16</f>
        <v/>
      </c>
      <c r="H41" s="92" t="n">
        <v>0</v>
      </c>
      <c r="I41" s="26" t="n">
        <v>4.99</v>
      </c>
      <c r="J41" s="89">
        <f>LET(dec, I41-INT(I41), IF(dec&lt;0.1, INT(I41), IF(dec&lt;=0.7, INT(I41)+0.5, INT(I41)+1)))</f>
        <v/>
      </c>
      <c r="K41" s="93" t="n">
        <v>46253</v>
      </c>
      <c r="L41" s="38" t="inlineStr">
        <is>
          <t>MAYTE</t>
        </is>
      </c>
      <c r="M41" s="89" t="n"/>
      <c r="N41" s="89" t="n"/>
      <c r="O41" s="89" t="inlineStr">
        <is>
          <t>Rodrigo Toledo</t>
        </is>
      </c>
    </row>
    <row r="42">
      <c r="A42" s="96" t="inlineStr">
        <is>
          <t>7676130291920669460</t>
        </is>
      </c>
      <c r="B42" s="98" t="inlineStr">
        <is>
          <t>fashion_only</t>
        </is>
      </c>
      <c r="C42" s="40" t="inlineStr">
        <is>
          <t>MX</t>
        </is>
      </c>
      <c r="D42" s="100" t="n">
        <v>652.58</v>
      </c>
      <c r="E42" s="40">
        <f>D42/1.16</f>
        <v/>
      </c>
      <c r="F42" s="40">
        <f>D42/J42</f>
        <v/>
      </c>
      <c r="G42" s="40">
        <f>F42/1.16</f>
        <v/>
      </c>
      <c r="H42" s="92" t="n">
        <v>0</v>
      </c>
      <c r="I42" s="26" t="n">
        <v>2.31</v>
      </c>
      <c r="J42" s="89">
        <f>LET(dec, I42-INT(I42), IF(dec&lt;0.1, INT(I42), IF(dec&lt;=0.7, INT(I42)+0.5, INT(I42)+1)))</f>
        <v/>
      </c>
      <c r="K42" s="93" t="n">
        <v>46254</v>
      </c>
      <c r="L42" s="38" t="inlineStr">
        <is>
          <t>MAYTE</t>
        </is>
      </c>
      <c r="M42" s="89" t="n"/>
      <c r="N42" s="89" t="n"/>
      <c r="O42" s="89" t="inlineStr">
        <is>
          <t>Rodrigo Toledo</t>
        </is>
      </c>
    </row>
    <row r="43">
      <c r="A43" s="96" t="inlineStr">
        <is>
          <t>7676191154454547220</t>
        </is>
      </c>
      <c r="B43" s="98" t="inlineStr">
        <is>
          <t>fashion_only</t>
        </is>
      </c>
      <c r="C43" s="40" t="inlineStr">
        <is>
          <t>MX</t>
        </is>
      </c>
      <c r="D43" s="100" t="n">
        <v>1029.97</v>
      </c>
      <c r="E43" s="40">
        <f>D43/1.16</f>
        <v/>
      </c>
      <c r="F43" s="40">
        <f>D43/J43</f>
        <v/>
      </c>
      <c r="G43" s="40">
        <f>F43/1.16</f>
        <v/>
      </c>
      <c r="H43" s="92" t="n">
        <v>0</v>
      </c>
      <c r="I43" s="26" t="n">
        <v>1.81</v>
      </c>
      <c r="J43" s="89">
        <f>LET(dec, I43-INT(I43), IF(dec&lt;0.1, INT(I43), IF(dec&lt;=0.7, INT(I43)+0.5, INT(I43)+1)))</f>
        <v/>
      </c>
      <c r="K43" s="93" t="n">
        <v>46254</v>
      </c>
      <c r="L43" s="38" t="inlineStr">
        <is>
          <t>MAYTE</t>
        </is>
      </c>
      <c r="M43" s="89" t="n"/>
      <c r="N43" s="89" t="n"/>
      <c r="O43" s="89" t="inlineStr">
        <is>
          <t>Rodrigo Toledo</t>
        </is>
      </c>
    </row>
    <row r="44">
      <c r="A44" s="96" t="inlineStr">
        <is>
          <t>7676502100725041940</t>
        </is>
      </c>
      <c r="B44" s="98" t="inlineStr">
        <is>
          <t>fashion_only</t>
        </is>
      </c>
      <c r="C44" s="40" t="inlineStr">
        <is>
          <t>MX</t>
        </is>
      </c>
      <c r="D44" s="100" t="n">
        <v>2213.67</v>
      </c>
      <c r="E44" s="40">
        <f>D44/1.16</f>
        <v/>
      </c>
      <c r="F44" s="40">
        <f>D44/J44</f>
        <v/>
      </c>
      <c r="G44" s="40">
        <f>F44/1.16</f>
        <v/>
      </c>
      <c r="H44" s="92" t="n">
        <v>0</v>
      </c>
      <c r="I44" s="26" t="n">
        <v>4.84</v>
      </c>
      <c r="J44" s="89">
        <f>LET(dec, I44-INT(I44), IF(dec&lt;0.1, INT(I44), IF(dec&lt;=0.7, INT(I44)+0.5, INT(I44)+1)))</f>
        <v/>
      </c>
      <c r="K44" s="93" t="n">
        <v>46255</v>
      </c>
      <c r="L44" s="38" t="inlineStr">
        <is>
          <t>MAYTE</t>
        </is>
      </c>
      <c r="M44" s="89" t="n"/>
      <c r="N44" s="89" t="n"/>
      <c r="O44" s="89" t="inlineStr">
        <is>
          <t>Rodrigo Toledo</t>
        </is>
      </c>
    </row>
    <row r="45">
      <c r="A45" s="96" t="inlineStr">
        <is>
          <t>7677613982349282069</t>
        </is>
      </c>
      <c r="B45" s="98" t="inlineStr">
        <is>
          <t>fashion_only</t>
        </is>
      </c>
      <c r="C45" s="40" t="inlineStr">
        <is>
          <t>MX</t>
        </is>
      </c>
      <c r="D45" s="100" t="n">
        <v>474</v>
      </c>
      <c r="E45" s="40">
        <f>D45/1.16</f>
        <v/>
      </c>
      <c r="F45" s="40">
        <f>D45/J45</f>
        <v/>
      </c>
      <c r="G45" s="40">
        <f>F45/1.16</f>
        <v/>
      </c>
      <c r="H45" s="92" t="n">
        <v>0</v>
      </c>
      <c r="I45" s="26" t="n">
        <v>1.71</v>
      </c>
      <c r="J45" s="89">
        <f>LET(dec, I45-INT(I45), IF(dec&lt;0.1, INT(I45), IF(dec&lt;=0.7, INT(I45)+0.5, INT(I45)+1)))</f>
        <v/>
      </c>
      <c r="K45" s="93" t="n">
        <v>46258</v>
      </c>
      <c r="L45" s="38" t="inlineStr">
        <is>
          <t>MAYTE</t>
        </is>
      </c>
      <c r="M45" s="89" t="n"/>
      <c r="N45" s="89" t="n"/>
      <c r="O45" s="89" t="inlineStr">
        <is>
          <t>Rodrigo Toledo</t>
        </is>
      </c>
    </row>
    <row r="46">
      <c r="A46" s="96" t="inlineStr">
        <is>
          <t>7677642613723810580</t>
        </is>
      </c>
      <c r="B46" s="98" t="inlineStr">
        <is>
          <t>fashion_only</t>
        </is>
      </c>
      <c r="C46" s="40" t="inlineStr">
        <is>
          <t>MX</t>
        </is>
      </c>
      <c r="D46" s="100" t="n">
        <v>423.19</v>
      </c>
      <c r="E46" s="40">
        <f>D46/1.16</f>
        <v/>
      </c>
      <c r="F46" s="40">
        <f>D46/J46</f>
        <v/>
      </c>
      <c r="G46" s="40">
        <f>F46/1.16</f>
        <v/>
      </c>
      <c r="H46" s="92" t="n">
        <v>0</v>
      </c>
      <c r="I46" s="26" t="n">
        <v>1.1</v>
      </c>
      <c r="J46" s="89">
        <f>LET(dec, I46-INT(I46), IF(dec&lt;0.1, INT(I46), IF(dec&lt;=0.7, INT(I46)+0.5, INT(I46)+1)))</f>
        <v/>
      </c>
      <c r="K46" s="93" t="n">
        <v>46258</v>
      </c>
      <c r="L46" s="38" t="inlineStr">
        <is>
          <t>MAYTE</t>
        </is>
      </c>
      <c r="M46" s="89" t="n"/>
      <c r="N46" s="89" t="n"/>
      <c r="O46" s="89" t="inlineStr">
        <is>
          <t>Rodrigo Toledo</t>
        </is>
      </c>
    </row>
    <row r="47">
      <c r="A47" s="96" t="inlineStr">
        <is>
          <t>7677986973664480020</t>
        </is>
      </c>
      <c r="B47" s="98" t="inlineStr">
        <is>
          <t>fashion_only</t>
        </is>
      </c>
      <c r="C47" s="40" t="inlineStr">
        <is>
          <t>MX</t>
        </is>
      </c>
      <c r="D47" s="100" t="n">
        <v>2372.15</v>
      </c>
      <c r="E47" s="40">
        <f>D47/1.16</f>
        <v/>
      </c>
      <c r="F47" s="40">
        <f>D47/J47</f>
        <v/>
      </c>
      <c r="G47" s="40">
        <f>F47/1.16</f>
        <v/>
      </c>
      <c r="H47" s="92" t="n">
        <v>0</v>
      </c>
      <c r="I47" s="26" t="n">
        <v>4.85</v>
      </c>
      <c r="J47" s="89">
        <f>LET(dec, I47-INT(I47), IF(dec&lt;0.1, INT(I47), IF(dec&lt;=0.7, INT(I47)+0.5, INT(I47)+1)))</f>
        <v/>
      </c>
      <c r="K47" s="93" t="n">
        <v>46259</v>
      </c>
      <c r="L47" s="38" t="inlineStr">
        <is>
          <t>MAYTE</t>
        </is>
      </c>
      <c r="M47" s="89" t="n"/>
      <c r="N47" s="89" t="n"/>
      <c r="O47" s="89" t="inlineStr">
        <is>
          <t>Rodrigo Toledo</t>
        </is>
      </c>
    </row>
    <row r="48">
      <c r="A48" s="96" t="inlineStr">
        <is>
          <t>7678355204751788820</t>
        </is>
      </c>
      <c r="B48" s="98" t="inlineStr">
        <is>
          <t>fashion_only</t>
        </is>
      </c>
      <c r="C48" s="40" t="inlineStr">
        <is>
          <t>MX</t>
        </is>
      </c>
      <c r="D48" s="100" t="n">
        <v>1192</v>
      </c>
      <c r="E48" s="40">
        <f>D48/1.16</f>
        <v/>
      </c>
      <c r="F48" s="40">
        <f>D48/J48</f>
        <v/>
      </c>
      <c r="G48" s="40">
        <f>F48/1.16</f>
        <v/>
      </c>
      <c r="H48" s="92" t="n">
        <v>0</v>
      </c>
      <c r="I48" s="26" t="n">
        <v>4.01</v>
      </c>
      <c r="J48" s="89">
        <f>LET(dec, I48-INT(I48), IF(dec&lt;0.1, INT(I48), IF(dec&lt;=0.7, INT(I48)+0.5, INT(I48)+1)))</f>
        <v/>
      </c>
      <c r="K48" s="93" t="n">
        <v>46260</v>
      </c>
      <c r="L48" s="38" t="inlineStr">
        <is>
          <t>MAYTE</t>
        </is>
      </c>
      <c r="M48" s="89" t="n"/>
      <c r="N48" s="89" t="n"/>
      <c r="O48" s="89" t="inlineStr">
        <is>
          <t>Rodrigo Toledo</t>
        </is>
      </c>
    </row>
    <row r="49">
      <c r="A49" s="96" t="inlineStr">
        <is>
          <t>7678727652911385364</t>
        </is>
      </c>
      <c r="B49" s="98" t="inlineStr">
        <is>
          <t>fashion_only</t>
        </is>
      </c>
      <c r="C49" s="40" t="inlineStr">
        <is>
          <t>MX</t>
        </is>
      </c>
      <c r="D49" s="100" t="n">
        <v>0</v>
      </c>
      <c r="E49" s="40">
        <f>D49/1.16</f>
        <v/>
      </c>
      <c r="F49" s="40">
        <f>D49/J49</f>
        <v/>
      </c>
      <c r="G49" s="40">
        <f>F49/1.16</f>
        <v/>
      </c>
      <c r="H49" s="92" t="n">
        <v>0</v>
      </c>
      <c r="I49" s="26" t="n">
        <v>0.98</v>
      </c>
      <c r="J49" s="89">
        <f>LET(dec, I49-INT(I49), IF(dec&lt;0.1, INT(I49), IF(dec&lt;=0.7, INT(I49)+0.5, INT(I49)+1)))</f>
        <v/>
      </c>
      <c r="K49" s="93" t="n">
        <v>46261</v>
      </c>
      <c r="L49" s="38" t="inlineStr">
        <is>
          <t>MAYTE</t>
        </is>
      </c>
      <c r="M49" s="89" t="n"/>
      <c r="N49" s="89" t="n"/>
      <c r="O49" s="89" t="inlineStr">
        <is>
          <t>Rodrigo Toledo</t>
        </is>
      </c>
    </row>
    <row r="50">
      <c r="A50" s="96" t="inlineStr">
        <is>
          <t>7678744814724156181</t>
        </is>
      </c>
      <c r="B50" s="98" t="inlineStr">
        <is>
          <t>fashion_only</t>
        </is>
      </c>
      <c r="C50" s="40" t="inlineStr">
        <is>
          <t>MX</t>
        </is>
      </c>
      <c r="D50" s="100" t="n">
        <v>605.87</v>
      </c>
      <c r="E50" s="40">
        <f>D50/1.16</f>
        <v/>
      </c>
      <c r="F50" s="40">
        <f>D50/J50</f>
        <v/>
      </c>
      <c r="G50" s="40">
        <f>F50/1.16</f>
        <v/>
      </c>
      <c r="H50" s="92" t="n">
        <v>0</v>
      </c>
      <c r="I50" s="26" t="n">
        <v>1.8</v>
      </c>
      <c r="J50" s="89">
        <f>LET(dec, I50-INT(I50), IF(dec&lt;0.1, INT(I50), IF(dec&lt;=0.7, INT(I50)+0.5, INT(I50)+1)))</f>
        <v/>
      </c>
      <c r="K50" s="93" t="n">
        <v>46261</v>
      </c>
      <c r="L50" s="38" t="inlineStr">
        <is>
          <t>MAYTE</t>
        </is>
      </c>
      <c r="M50" s="89" t="n"/>
      <c r="N50" s="89" t="n"/>
      <c r="O50" s="89" t="inlineStr">
        <is>
          <t>Rodrigo Toledo</t>
        </is>
      </c>
    </row>
    <row r="53">
      <c r="A53" s="7" t="inlineStr">
        <is>
          <t>Room ID</t>
        </is>
      </c>
      <c r="B53" s="7" t="inlineStr">
        <is>
          <t>TT Handle</t>
        </is>
      </c>
      <c r="C53" s="7" t="inlineStr">
        <is>
          <t>Country</t>
        </is>
      </c>
      <c r="D53" s="7" t="inlineStr">
        <is>
          <t>GMV</t>
        </is>
      </c>
      <c r="E53" s="7" t="inlineStr">
        <is>
          <t>GMV/sin EVA</t>
        </is>
      </c>
      <c r="F53" s="7" t="inlineStr">
        <is>
          <t>GMV PER HOUR</t>
        </is>
      </c>
      <c r="G53" s="7" t="inlineStr">
        <is>
          <t>GMV PER HOUR/sin EVA</t>
        </is>
      </c>
      <c r="H53" s="7" t="inlineStr">
        <is>
          <t>Ads Cost</t>
        </is>
      </c>
      <c r="I53" s="7" t="inlineStr">
        <is>
          <t>Duration (H)</t>
        </is>
      </c>
      <c r="J53" s="28" t="inlineStr">
        <is>
          <t>Duration （Formula）</t>
        </is>
      </c>
      <c r="K53" s="58" t="inlineStr">
        <is>
          <t>Start date</t>
        </is>
      </c>
      <c r="L53" s="71" t="inlineStr">
        <is>
          <t>HOST1</t>
        </is>
      </c>
      <c r="M53" s="71" t="inlineStr">
        <is>
          <t xml:space="preserve">HOST 2 </t>
        </is>
      </c>
      <c r="N53" s="71" t="inlineStr">
        <is>
          <t>HOST 3</t>
        </is>
      </c>
      <c r="O53" s="71" t="inlineStr">
        <is>
          <t>Operator</t>
        </is>
      </c>
    </row>
    <row r="54">
      <c r="A54" s="96" t="inlineStr">
        <is>
          <t>7689534855449299764</t>
        </is>
      </c>
      <c r="B54" s="98" t="inlineStr">
        <is>
          <t>fashion_only</t>
        </is>
      </c>
      <c r="C54" s="40" t="inlineStr">
        <is>
          <t>MX</t>
        </is>
      </c>
      <c r="D54" s="100" t="n">
        <v>858.4299999999999</v>
      </c>
      <c r="E54" s="40">
        <f>D54/1.16</f>
        <v/>
      </c>
      <c r="F54" s="40">
        <f>D54/J54</f>
        <v/>
      </c>
      <c r="G54" s="40">
        <f>F54/1.16</f>
        <v/>
      </c>
      <c r="H54" s="92" t="n">
        <v>0</v>
      </c>
      <c r="I54" s="26" t="n">
        <v>4.91</v>
      </c>
      <c r="J54" s="89">
        <f>LET(dec, I54-INT(I54), IF(dec&lt;0.1, INT(I54), IF(dec&lt;=0.7, INT(I54)+0.5, INT(I54)+1)))</f>
        <v/>
      </c>
      <c r="K54" s="93" t="n">
        <v>46290</v>
      </c>
      <c r="L54" s="38" t="inlineStr">
        <is>
          <t>MAYTE</t>
        </is>
      </c>
      <c r="M54" s="89" t="n"/>
      <c r="N54" s="89" t="n"/>
      <c r="O54" s="89" t="inlineStr">
        <is>
          <t>Rodrigo Toledo</t>
        </is>
      </c>
    </row>
    <row r="55">
      <c r="A55" s="96" t="inlineStr">
        <is>
          <t>7689117620070517505</t>
        </is>
      </c>
      <c r="B55" s="98" t="inlineStr">
        <is>
          <t>fashion_only</t>
        </is>
      </c>
      <c r="C55" s="40" t="inlineStr">
        <is>
          <t>MX</t>
        </is>
      </c>
      <c r="D55" s="100" t="n">
        <v>1375.32</v>
      </c>
      <c r="E55" s="40">
        <f>D55/1.16</f>
        <v/>
      </c>
      <c r="F55" s="40">
        <f>D55/J55</f>
        <v/>
      </c>
      <c r="G55" s="40">
        <f>F55/1.16</f>
        <v/>
      </c>
      <c r="H55" s="92" t="n">
        <v>0</v>
      </c>
      <c r="I55" s="26" t="n">
        <v>4.95</v>
      </c>
      <c r="J55" s="89">
        <f>LET(dec, I55-INT(I55), IF(dec&lt;0.1, INT(I55), IF(dec&lt;=0.7, INT(I55)+0.5, INT(I55)+1)))</f>
        <v/>
      </c>
      <c r="K55" s="93" t="n">
        <v>46289</v>
      </c>
      <c r="L55" s="38" t="inlineStr">
        <is>
          <t>MAYTE</t>
        </is>
      </c>
      <c r="M55" s="89" t="n"/>
      <c r="N55" s="89" t="n"/>
      <c r="O55" s="89" t="inlineStr">
        <is>
          <t>Rodrigo Toledo</t>
        </is>
      </c>
    </row>
    <row r="56">
      <c r="A56" s="96" t="inlineStr">
        <is>
          <t>7688797442448362261</t>
        </is>
      </c>
      <c r="B56" s="98" t="inlineStr">
        <is>
          <t>fashion_only</t>
        </is>
      </c>
      <c r="C56" s="40" t="inlineStr">
        <is>
          <t>MX</t>
        </is>
      </c>
      <c r="D56" s="100" t="n">
        <v>932.76</v>
      </c>
      <c r="E56" s="40">
        <f>D56/1.16</f>
        <v/>
      </c>
      <c r="F56" s="40">
        <f>D56/J56</f>
        <v/>
      </c>
      <c r="G56" s="40">
        <f>F56/1.16</f>
        <v/>
      </c>
      <c r="H56" s="92" t="n">
        <v>0</v>
      </c>
      <c r="I56" s="26" t="n">
        <v>0.91</v>
      </c>
      <c r="J56" s="89">
        <f>LET(dec, I56-INT(I56), IF(dec&lt;0.1, INT(I56), IF(dec&lt;=0.7, INT(I56)+0.5, INT(I56)+1)))</f>
        <v/>
      </c>
      <c r="K56" s="93" t="n">
        <v>46288</v>
      </c>
      <c r="L56" s="38" t="inlineStr">
        <is>
          <t>MAYTE</t>
        </is>
      </c>
      <c r="M56" s="89" t="n"/>
      <c r="N56" s="89" t="n"/>
      <c r="O56" s="89" t="inlineStr">
        <is>
          <t>Rodrigo Toledo</t>
        </is>
      </c>
    </row>
    <row r="57">
      <c r="A57" s="96" t="inlineStr">
        <is>
          <t>7688745858988346133</t>
        </is>
      </c>
      <c r="B57" s="98" t="inlineStr">
        <is>
          <t>fashion_only</t>
        </is>
      </c>
      <c r="C57" s="40" t="inlineStr">
        <is>
          <t>MX</t>
        </is>
      </c>
      <c r="D57" s="100" t="n">
        <v>972.33</v>
      </c>
      <c r="E57" s="40">
        <f>D57/1.16</f>
        <v/>
      </c>
      <c r="F57" s="40">
        <f>D57/J57</f>
        <v/>
      </c>
      <c r="G57" s="40">
        <f>F57/1.16</f>
        <v/>
      </c>
      <c r="H57" s="92" t="n">
        <v>0</v>
      </c>
      <c r="I57" s="26" t="n">
        <v>3.21</v>
      </c>
      <c r="J57" s="89">
        <f>LET(dec, I57-INT(I57), IF(dec&lt;0.1, INT(I57), IF(dec&lt;=0.7, INT(I57)+0.5, INT(I57)+1)))</f>
        <v/>
      </c>
      <c r="K57" s="93" t="n">
        <v>46288</v>
      </c>
      <c r="L57" s="38" t="inlineStr">
        <is>
          <t>MAYTE</t>
        </is>
      </c>
      <c r="M57" s="89" t="n"/>
      <c r="N57" s="89" t="n"/>
      <c r="O57" s="89" t="inlineStr">
        <is>
          <t>Rodrigo Toledo</t>
        </is>
      </c>
    </row>
    <row r="58">
      <c r="A58" s="96" t="inlineStr">
        <is>
          <t>7688380069827349268</t>
        </is>
      </c>
      <c r="B58" s="98" t="inlineStr">
        <is>
          <t>fashion_only</t>
        </is>
      </c>
      <c r="C58" s="40" t="inlineStr">
        <is>
          <t>MX</t>
        </is>
      </c>
      <c r="D58" s="100" t="n">
        <v>2836.53</v>
      </c>
      <c r="E58" s="40">
        <f>D58/1.16</f>
        <v/>
      </c>
      <c r="F58" s="40">
        <f>D58/J58</f>
        <v/>
      </c>
      <c r="G58" s="40">
        <f>F58/1.16</f>
        <v/>
      </c>
      <c r="H58" s="92" t="n">
        <v>0</v>
      </c>
      <c r="I58" s="26" t="n">
        <v>4.99</v>
      </c>
      <c r="J58" s="89">
        <f>LET(dec, I58-INT(I58), IF(dec&lt;0.1, INT(I58), IF(dec&lt;=0.7, INT(I58)+0.5, INT(I58)+1)))</f>
        <v/>
      </c>
      <c r="K58" s="93" t="n">
        <v>46287</v>
      </c>
      <c r="L58" s="38" t="inlineStr">
        <is>
          <t>MAYTE</t>
        </is>
      </c>
      <c r="M58" s="89" t="n"/>
      <c r="N58" s="89" t="n"/>
      <c r="O58" s="89" t="inlineStr">
        <is>
          <t>Rodrigo Toledo</t>
        </is>
      </c>
    </row>
    <row r="59">
      <c r="A59" s="96" t="inlineStr">
        <is>
          <t>7688050827467197204</t>
        </is>
      </c>
      <c r="B59" s="98" t="inlineStr">
        <is>
          <t>fashion_only</t>
        </is>
      </c>
      <c r="C59" s="40" t="inlineStr">
        <is>
          <t>MX</t>
        </is>
      </c>
      <c r="D59" s="100" t="n">
        <v>340.79</v>
      </c>
      <c r="E59" s="40">
        <f>D59/1.16</f>
        <v/>
      </c>
      <c r="F59" s="40">
        <f>D59/J59</f>
        <v/>
      </c>
      <c r="G59" s="40">
        <f>F59/1.16</f>
        <v/>
      </c>
      <c r="H59" s="92" t="n">
        <v>0</v>
      </c>
      <c r="I59" s="26" t="n">
        <v>4</v>
      </c>
      <c r="J59" s="89">
        <f>LET(dec, I59-INT(I59), IF(dec&lt;0.1, INT(I59), IF(dec&lt;=0.7, INT(I59)+0.5, INT(I59)+1)))</f>
        <v/>
      </c>
      <c r="K59" s="93" t="n">
        <v>46286</v>
      </c>
      <c r="L59" s="38" t="inlineStr">
        <is>
          <t>MAYTE</t>
        </is>
      </c>
      <c r="M59" s="89" t="n"/>
      <c r="N59" s="89" t="n"/>
      <c r="O59" s="89" t="inlineStr">
        <is>
          <t>Rodrigo Toledo</t>
        </is>
      </c>
    </row>
    <row r="60">
      <c r="A60" s="96" t="inlineStr">
        <is>
          <t>7686895054766918420</t>
        </is>
      </c>
      <c r="B60" s="98" t="inlineStr">
        <is>
          <t>fashion_only</t>
        </is>
      </c>
      <c r="C60" s="40" t="inlineStr">
        <is>
          <t>MX</t>
        </is>
      </c>
      <c r="D60" s="100" t="n">
        <v>2065.05</v>
      </c>
      <c r="E60" s="40">
        <f>D60/1.16</f>
        <v/>
      </c>
      <c r="F60" s="40">
        <f>D60/J60</f>
        <v/>
      </c>
      <c r="G60" s="40">
        <f>F60/1.16</f>
        <v/>
      </c>
      <c r="H60" s="92" t="n">
        <v>0</v>
      </c>
      <c r="I60" s="26" t="n">
        <v>5.08</v>
      </c>
      <c r="J60" s="89">
        <f>LET(dec, I60-INT(I60), IF(dec&lt;0.1, INT(I60), IF(dec&lt;=0.7, INT(I60)+0.5, INT(I60)+1)))</f>
        <v/>
      </c>
      <c r="K60" s="93" t="n">
        <v>46283</v>
      </c>
      <c r="L60" s="38" t="inlineStr">
        <is>
          <t>MAYTE</t>
        </is>
      </c>
      <c r="M60" s="89" t="n"/>
      <c r="N60" s="89" t="n"/>
      <c r="O60" s="89" t="inlineStr">
        <is>
          <t>Rodrigo Toledo</t>
        </is>
      </c>
    </row>
    <row r="61">
      <c r="A61" s="96" t="inlineStr">
        <is>
          <t>7686565954591017748</t>
        </is>
      </c>
      <c r="B61" s="98" t="inlineStr">
        <is>
          <t>fashion_only</t>
        </is>
      </c>
      <c r="C61" s="40" t="inlineStr">
        <is>
          <t>MX</t>
        </is>
      </c>
      <c r="D61" s="100" t="n">
        <v>2067.65</v>
      </c>
      <c r="E61" s="40">
        <f>D61/1.16</f>
        <v/>
      </c>
      <c r="F61" s="40">
        <f>D61/J61</f>
        <v/>
      </c>
      <c r="G61" s="40">
        <f>F61/1.16</f>
        <v/>
      </c>
      <c r="H61" s="92" t="n">
        <v>0</v>
      </c>
      <c r="I61" s="26" t="n">
        <v>3.99</v>
      </c>
      <c r="J61" s="89">
        <f>LET(dec, I61-INT(I61), IF(dec&lt;0.1, INT(I61), IF(dec&lt;=0.7, INT(I61)+0.5, INT(I61)+1)))</f>
        <v/>
      </c>
      <c r="K61" s="93" t="n">
        <v>46282</v>
      </c>
      <c r="L61" s="38" t="inlineStr">
        <is>
          <t>MAYTE</t>
        </is>
      </c>
      <c r="M61" s="89" t="n"/>
      <c r="N61" s="89" t="n"/>
      <c r="O61" s="89" t="inlineStr">
        <is>
          <t>Rodrigo Toledo</t>
        </is>
      </c>
    </row>
    <row r="62">
      <c r="A62" s="96" t="inlineStr">
        <is>
          <t>7685796166651906836</t>
        </is>
      </c>
      <c r="B62" s="98" t="inlineStr">
        <is>
          <t>fashion_only</t>
        </is>
      </c>
      <c r="C62" s="40" t="inlineStr">
        <is>
          <t>MX</t>
        </is>
      </c>
      <c r="D62" s="100" t="n">
        <v>627.76</v>
      </c>
      <c r="E62" s="40">
        <f>D62/1.16</f>
        <v/>
      </c>
      <c r="F62" s="40">
        <f>D62/J62</f>
        <v/>
      </c>
      <c r="G62" s="40">
        <f>F62/1.16</f>
        <v/>
      </c>
      <c r="H62" s="92" t="n">
        <v>0</v>
      </c>
      <c r="I62" s="26" t="n">
        <v>2.76</v>
      </c>
      <c r="J62" s="89">
        <f>LET(dec, I62-INT(I62), IF(dec&lt;0.1, INT(I62), IF(dec&lt;=0.7, INT(I62)+0.5, INT(I62)+1)))</f>
        <v/>
      </c>
      <c r="K62" s="93" t="n">
        <v>46280</v>
      </c>
      <c r="L62" s="38" t="inlineStr">
        <is>
          <t>MAYTE</t>
        </is>
      </c>
      <c r="M62" s="89" t="n"/>
      <c r="N62" s="89" t="n"/>
      <c r="O62" s="89" t="inlineStr">
        <is>
          <t>Rodrigo Toledo</t>
        </is>
      </c>
    </row>
    <row r="63">
      <c r="A63" s="96" t="inlineStr">
        <is>
          <t>7685777941607402261</t>
        </is>
      </c>
      <c r="B63" s="98" t="inlineStr">
        <is>
          <t>fashion_only</t>
        </is>
      </c>
      <c r="C63" s="40" t="inlineStr">
        <is>
          <t>MX</t>
        </is>
      </c>
      <c r="D63" s="100" t="n">
        <v>239.55</v>
      </c>
      <c r="E63" s="40">
        <f>D63/1.16</f>
        <v/>
      </c>
      <c r="F63" s="40">
        <f>D63/J63</f>
        <v/>
      </c>
      <c r="G63" s="40">
        <f>F63/1.16</f>
        <v/>
      </c>
      <c r="H63" s="92" t="n">
        <v>0</v>
      </c>
      <c r="I63" s="26" t="n">
        <v>0.93</v>
      </c>
      <c r="J63" s="89">
        <f>LET(dec, I63-INT(I63), IF(dec&lt;0.1, INT(I63), IF(dec&lt;=0.7, INT(I63)+0.5, INT(I63)+1)))</f>
        <v/>
      </c>
      <c r="K63" s="93" t="n">
        <v>46280</v>
      </c>
      <c r="L63" s="38" t="inlineStr">
        <is>
          <t>MAYTE</t>
        </is>
      </c>
      <c r="M63" s="89" t="n"/>
      <c r="N63" s="89" t="n"/>
      <c r="O63" s="89" t="inlineStr">
        <is>
          <t>Rodrigo Toledo</t>
        </is>
      </c>
    </row>
    <row r="64">
      <c r="A64" s="96" t="inlineStr">
        <is>
          <t>7685453003072359189</t>
        </is>
      </c>
      <c r="B64" s="98" t="inlineStr">
        <is>
          <t>fashion_only</t>
        </is>
      </c>
      <c r="C64" s="40" t="inlineStr">
        <is>
          <t>MX</t>
        </is>
      </c>
      <c r="D64" s="100" t="n">
        <v>1301.85</v>
      </c>
      <c r="E64" s="40">
        <f>D64/1.16</f>
        <v/>
      </c>
      <c r="F64" s="40">
        <f>D64/J64</f>
        <v/>
      </c>
      <c r="G64" s="40">
        <f>F64/1.16</f>
        <v/>
      </c>
      <c r="H64" s="92" t="n">
        <v>0</v>
      </c>
      <c r="I64" s="26" t="n">
        <v>5.02</v>
      </c>
      <c r="J64" s="89">
        <f>LET(dec, I64-INT(I64), IF(dec&lt;0.1, INT(I64), IF(dec&lt;=0.7, INT(I64)+0.5, INT(I64)+1)))</f>
        <v/>
      </c>
      <c r="K64" s="93" t="n">
        <v>46279</v>
      </c>
      <c r="L64" s="38" t="inlineStr">
        <is>
          <t>MAYTE</t>
        </is>
      </c>
      <c r="M64" s="89" t="n"/>
      <c r="N64" s="89" t="n"/>
      <c r="O64" s="89" t="inlineStr">
        <is>
          <t>Rodrigo Toledo</t>
        </is>
      </c>
    </row>
    <row r="65">
      <c r="A65" s="96" t="inlineStr">
        <is>
          <t>7684282499405613844</t>
        </is>
      </c>
      <c r="B65" s="98" t="inlineStr">
        <is>
          <t>fashion_only</t>
        </is>
      </c>
      <c r="C65" s="40" t="inlineStr">
        <is>
          <t>MX</t>
        </is>
      </c>
      <c r="D65" s="100" t="n">
        <v>517.54</v>
      </c>
      <c r="E65" s="40">
        <f>D65/1.16</f>
        <v/>
      </c>
      <c r="F65" s="40">
        <f>D65/J65</f>
        <v/>
      </c>
      <c r="G65" s="40">
        <f>F65/1.16</f>
        <v/>
      </c>
      <c r="H65" s="92" t="n">
        <v>0</v>
      </c>
      <c r="I65" s="26" t="n">
        <v>4</v>
      </c>
      <c r="J65" s="89">
        <f>LET(dec, I65-INT(I65), IF(dec&lt;0.1, INT(I65), IF(dec&lt;=0.7, INT(I65)+0.5, INT(I65)+1)))</f>
        <v/>
      </c>
      <c r="K65" s="93" t="n">
        <v>46276</v>
      </c>
      <c r="L65" s="38" t="inlineStr">
        <is>
          <t>MAYTE</t>
        </is>
      </c>
      <c r="M65" s="89" t="n"/>
      <c r="N65" s="89" t="n"/>
      <c r="O65" s="89" t="inlineStr">
        <is>
          <t>Rodrigo Toledo</t>
        </is>
      </c>
    </row>
    <row r="66">
      <c r="A66" s="96" t="inlineStr">
        <is>
          <t>7683924779339123476</t>
        </is>
      </c>
      <c r="B66" s="98" t="inlineStr">
        <is>
          <t>fashion_only</t>
        </is>
      </c>
      <c r="C66" s="40" t="inlineStr">
        <is>
          <t>MX</t>
        </is>
      </c>
      <c r="D66" s="100" t="n">
        <v>1156.54</v>
      </c>
      <c r="E66" s="40">
        <f>D66/1.16</f>
        <v/>
      </c>
      <c r="F66" s="40">
        <f>D66/J66</f>
        <v/>
      </c>
      <c r="G66" s="40">
        <f>F66/1.16</f>
        <v/>
      </c>
      <c r="H66" s="92" t="n">
        <v>0</v>
      </c>
      <c r="I66" s="26" t="n">
        <v>4.85</v>
      </c>
      <c r="J66" s="89">
        <f>LET(dec, I66-INT(I66), IF(dec&lt;0.1, INT(I66), IF(dec&lt;=0.7, INT(I66)+0.5, INT(I66)+1)))</f>
        <v/>
      </c>
      <c r="K66" s="93" t="n">
        <v>46275</v>
      </c>
      <c r="L66" s="38" t="inlineStr">
        <is>
          <t>MAYTE</t>
        </is>
      </c>
      <c r="M66" s="89" t="n"/>
      <c r="N66" s="89" t="n"/>
      <c r="O66" s="89" t="inlineStr">
        <is>
          <t>Rodrigo Toledo</t>
        </is>
      </c>
    </row>
    <row r="67">
      <c r="A67" s="96" t="inlineStr">
        <is>
          <t>7683553325308693268</t>
        </is>
      </c>
      <c r="B67" s="98" t="inlineStr">
        <is>
          <t>fashion_only</t>
        </is>
      </c>
      <c r="C67" s="40" t="inlineStr">
        <is>
          <t>MX</t>
        </is>
      </c>
      <c r="D67" s="100" t="n">
        <v>2185.93</v>
      </c>
      <c r="E67" s="40">
        <f>D67/1.16</f>
        <v/>
      </c>
      <c r="F67" s="40">
        <f>D67/J67</f>
        <v/>
      </c>
      <c r="G67" s="40">
        <f>F67/1.16</f>
        <v/>
      </c>
      <c r="H67" s="92" t="n">
        <v>0</v>
      </c>
      <c r="I67" s="26" t="n">
        <v>5</v>
      </c>
      <c r="J67" s="89">
        <f>LET(dec, I67-INT(I67), IF(dec&lt;0.1, INT(I67), IF(dec&lt;=0.7, INT(I67)+0.5, INT(I67)+1)))</f>
        <v/>
      </c>
      <c r="K67" s="93" t="n">
        <v>46274</v>
      </c>
      <c r="L67" s="38" t="inlineStr">
        <is>
          <t>MAYTE</t>
        </is>
      </c>
      <c r="M67" s="89" t="n"/>
      <c r="N67" s="89" t="n"/>
      <c r="O67" s="89" t="inlineStr">
        <is>
          <t>Rodrigo Toledo</t>
        </is>
      </c>
    </row>
    <row r="68">
      <c r="A68" s="96" t="inlineStr">
        <is>
          <t>7683230793280604949</t>
        </is>
      </c>
      <c r="B68" s="98" t="inlineStr">
        <is>
          <t>fashion_only</t>
        </is>
      </c>
      <c r="C68" s="40" t="inlineStr">
        <is>
          <t>MX</t>
        </is>
      </c>
      <c r="D68" s="100" t="n">
        <v>238.99</v>
      </c>
      <c r="E68" s="40">
        <f>D68/1.16</f>
        <v/>
      </c>
      <c r="F68" s="40">
        <f>D68/J68</f>
        <v/>
      </c>
      <c r="G68" s="40">
        <f>F68/1.16</f>
        <v/>
      </c>
      <c r="H68" s="92" t="n">
        <v>0</v>
      </c>
      <c r="I68" s="26" t="n">
        <v>1.68</v>
      </c>
      <c r="J68" s="89">
        <f>LET(dec, I68-INT(I68), IF(dec&lt;0.1, INT(I68), IF(dec&lt;=0.7, INT(I68)+0.5, INT(I68)+1)))</f>
        <v/>
      </c>
      <c r="K68" s="93" t="n">
        <v>46273</v>
      </c>
      <c r="L68" s="38" t="inlineStr">
        <is>
          <t>MAYTE</t>
        </is>
      </c>
      <c r="M68" s="89" t="n"/>
      <c r="N68" s="89" t="n"/>
      <c r="O68" s="89" t="inlineStr">
        <is>
          <t>Rodrigo Toledo</t>
        </is>
      </c>
    </row>
    <row r="69">
      <c r="A69" s="96" t="inlineStr">
        <is>
          <t>7683179636934363925</t>
        </is>
      </c>
      <c r="B69" s="98" t="inlineStr">
        <is>
          <t>fashion_only</t>
        </is>
      </c>
      <c r="C69" s="40" t="inlineStr">
        <is>
          <t>MX</t>
        </is>
      </c>
      <c r="D69" s="100" t="n">
        <v>617</v>
      </c>
      <c r="E69" s="40">
        <f>D69/1.16</f>
        <v/>
      </c>
      <c r="F69" s="40">
        <f>D69/J69</f>
        <v/>
      </c>
      <c r="G69" s="40">
        <f>F69/1.16</f>
        <v/>
      </c>
      <c r="H69" s="92" t="n">
        <v>0</v>
      </c>
      <c r="I69" s="26" t="n">
        <v>3.05</v>
      </c>
      <c r="J69" s="89">
        <f>LET(dec, I69-INT(I69), IF(dec&lt;0.1, INT(I69), IF(dec&lt;=0.7, INT(I69)+0.5, INT(I69)+1)))</f>
        <v/>
      </c>
      <c r="K69" s="93" t="n">
        <v>46273</v>
      </c>
      <c r="L69" s="38" t="inlineStr">
        <is>
          <t>MAYTE</t>
        </is>
      </c>
      <c r="M69" s="89" t="n"/>
      <c r="N69" s="89" t="n"/>
      <c r="O69" s="89" t="inlineStr">
        <is>
          <t>Rodrigo Toledo</t>
        </is>
      </c>
    </row>
    <row r="70">
      <c r="A70" s="96" t="inlineStr">
        <is>
          <t>7682855039425088276</t>
        </is>
      </c>
      <c r="B70" s="98" t="inlineStr">
        <is>
          <t>fashion_only</t>
        </is>
      </c>
      <c r="C70" s="40" t="inlineStr">
        <is>
          <t>MX</t>
        </is>
      </c>
      <c r="D70" s="100" t="n">
        <v>968</v>
      </c>
      <c r="E70" s="40">
        <f>D70/1.16</f>
        <v/>
      </c>
      <c r="F70" s="40">
        <f>D70/J70</f>
        <v/>
      </c>
      <c r="G70" s="40">
        <f>F70/1.16</f>
        <v/>
      </c>
      <c r="H70" s="92" t="n">
        <v>0</v>
      </c>
      <c r="I70" s="26" t="n">
        <v>4.01</v>
      </c>
      <c r="J70" s="89">
        <f>LET(dec, I70-INT(I70), IF(dec&lt;0.1, INT(I70), IF(dec&lt;=0.7, INT(I70)+0.5, INT(I70)+1)))</f>
        <v/>
      </c>
      <c r="K70" s="93" t="n">
        <v>46272</v>
      </c>
      <c r="L70" s="38" t="inlineStr">
        <is>
          <t>MAYTE</t>
        </is>
      </c>
      <c r="M70" s="89" t="n"/>
      <c r="N70" s="89" t="n"/>
      <c r="O70" s="89" t="inlineStr">
        <is>
          <t>Rodrigo Toledo</t>
        </is>
      </c>
    </row>
    <row r="71">
      <c r="A71" s="96" t="inlineStr">
        <is>
          <t>7681778398549838613</t>
        </is>
      </c>
      <c r="B71" s="98" t="inlineStr">
        <is>
          <t>fashion_only</t>
        </is>
      </c>
      <c r="C71" s="40" t="inlineStr">
        <is>
          <t>MX</t>
        </is>
      </c>
      <c r="D71" s="100" t="n">
        <v>218</v>
      </c>
      <c r="E71" s="40">
        <f>D71/1.16</f>
        <v/>
      </c>
      <c r="F71" s="40">
        <f>D71/J71</f>
        <v/>
      </c>
      <c r="G71" s="40">
        <f>F71/1.16</f>
        <v/>
      </c>
      <c r="H71" s="92" t="n">
        <v>0</v>
      </c>
      <c r="I71" s="26" t="n">
        <v>1.61</v>
      </c>
      <c r="J71" s="89">
        <f>LET(dec, I71-INT(I71), IF(dec&lt;0.1, INT(I71), IF(dec&lt;=0.7, INT(I71)+0.5, INT(I71)+1)))</f>
        <v/>
      </c>
      <c r="K71" s="93" t="n">
        <v>46269</v>
      </c>
      <c r="L71" s="38" t="inlineStr">
        <is>
          <t>MAYTE</t>
        </is>
      </c>
      <c r="M71" s="89" t="n"/>
      <c r="N71" s="89" t="n"/>
      <c r="O71" s="89" t="inlineStr">
        <is>
          <t>Rodrigo Toledo</t>
        </is>
      </c>
    </row>
    <row r="72">
      <c r="A72" s="96" t="inlineStr">
        <is>
          <t>7681741537566395156</t>
        </is>
      </c>
      <c r="B72" s="98" t="inlineStr">
        <is>
          <t>fashion_only</t>
        </is>
      </c>
      <c r="C72" s="40" t="inlineStr">
        <is>
          <t>MX</t>
        </is>
      </c>
      <c r="D72" s="100" t="n">
        <v>119</v>
      </c>
      <c r="E72" s="40">
        <f>D72/1.16</f>
        <v/>
      </c>
      <c r="F72" s="40">
        <f>D72/J72</f>
        <v/>
      </c>
      <c r="G72" s="40">
        <f>F72/1.16</f>
        <v/>
      </c>
      <c r="H72" s="92" t="n">
        <v>0</v>
      </c>
      <c r="I72" s="26" t="n">
        <v>1.8</v>
      </c>
      <c r="J72" s="89">
        <f>LET(dec, I72-INT(I72), IF(dec&lt;0.1, INT(I72), IF(dec&lt;=0.7, INT(I72)+0.5, INT(I72)+1)))</f>
        <v/>
      </c>
      <c r="K72" s="93" t="n">
        <v>46269</v>
      </c>
      <c r="L72" s="38" t="inlineStr">
        <is>
          <t>MAYTE</t>
        </is>
      </c>
      <c r="M72" s="89" t="n"/>
      <c r="N72" s="89" t="n"/>
      <c r="O72" s="89" t="inlineStr">
        <is>
          <t>Rodrigo Toledo</t>
        </is>
      </c>
    </row>
    <row r="73">
      <c r="A73" s="96" t="inlineStr">
        <is>
          <t>7681402807524084500</t>
        </is>
      </c>
      <c r="B73" s="98" t="inlineStr">
        <is>
          <t>fashion_only</t>
        </is>
      </c>
      <c r="C73" s="40" t="inlineStr">
        <is>
          <t>MX</t>
        </is>
      </c>
      <c r="D73" s="100" t="n">
        <v>769.12</v>
      </c>
      <c r="E73" s="40">
        <f>D73/1.16</f>
        <v/>
      </c>
      <c r="F73" s="40">
        <f>D73/J73</f>
        <v/>
      </c>
      <c r="G73" s="40">
        <f>F73/1.16</f>
        <v/>
      </c>
      <c r="H73" s="92" t="n">
        <v>0</v>
      </c>
      <c r="I73" s="26" t="n">
        <v>2.96</v>
      </c>
      <c r="J73" s="89">
        <f>LET(dec, I73-INT(I73), IF(dec&lt;0.1, INT(I73), IF(dec&lt;=0.7, INT(I73)+0.5, INT(I73)+1)))</f>
        <v/>
      </c>
      <c r="K73" s="93" t="n">
        <v>46268</v>
      </c>
      <c r="L73" s="38" t="inlineStr">
        <is>
          <t>MAYTE</t>
        </is>
      </c>
      <c r="M73" s="89" t="n"/>
      <c r="N73" s="89" t="n"/>
      <c r="O73" s="89" t="inlineStr">
        <is>
          <t>Rodrigo Toledo</t>
        </is>
      </c>
    </row>
    <row r="74">
      <c r="A74" s="96" t="inlineStr">
        <is>
          <t>7681371355284310804</t>
        </is>
      </c>
      <c r="B74" s="98" t="inlineStr">
        <is>
          <t>fashion_only</t>
        </is>
      </c>
      <c r="C74" s="40" t="inlineStr">
        <is>
          <t>MX</t>
        </is>
      </c>
      <c r="D74" s="100" t="n">
        <v>474.36</v>
      </c>
      <c r="E74" s="40">
        <f>D74/1.16</f>
        <v/>
      </c>
      <c r="F74" s="40">
        <f>D74/J74</f>
        <v/>
      </c>
      <c r="G74" s="40">
        <f>F74/1.16</f>
        <v/>
      </c>
      <c r="H74" s="92" t="n">
        <v>0</v>
      </c>
      <c r="I74" s="26" t="n">
        <v>1.97</v>
      </c>
      <c r="J74" s="89">
        <f>LET(dec, I74-INT(I74), IF(dec&lt;0.1, INT(I74), IF(dec&lt;=0.7, INT(I74)+0.5, INT(I74)+1)))</f>
        <v/>
      </c>
      <c r="K74" s="93" t="n">
        <v>46268</v>
      </c>
      <c r="L74" s="38" t="inlineStr">
        <is>
          <t>MAYTE</t>
        </is>
      </c>
      <c r="M74" s="89" t="n"/>
      <c r="N74" s="89" t="n"/>
      <c r="O74" s="89" t="inlineStr">
        <is>
          <t>Rodrigo Toledo</t>
        </is>
      </c>
    </row>
    <row r="75">
      <c r="A75" s="96" t="inlineStr">
        <is>
          <t>7680998887072074516</t>
        </is>
      </c>
      <c r="B75" s="98" t="inlineStr">
        <is>
          <t>fashion_only</t>
        </is>
      </c>
      <c r="C75" s="40" t="inlineStr">
        <is>
          <t>MX</t>
        </is>
      </c>
      <c r="D75" s="100" t="n">
        <v>775.98</v>
      </c>
      <c r="E75" s="40">
        <f>D75/1.16</f>
        <v/>
      </c>
      <c r="F75" s="40">
        <f>D75/J75</f>
        <v/>
      </c>
      <c r="G75" s="40">
        <f>F75/1.16</f>
        <v/>
      </c>
      <c r="H75" s="92" t="n">
        <v>0</v>
      </c>
      <c r="I75" s="26" t="n">
        <v>4</v>
      </c>
      <c r="J75" s="89">
        <f>LET(dec, I75-INT(I75), IF(dec&lt;0.1, INT(I75), IF(dec&lt;=0.7, INT(I75)+0.5, INT(I75)+1)))</f>
        <v/>
      </c>
      <c r="K75" s="93" t="n">
        <v>46267</v>
      </c>
      <c r="L75" s="38" t="inlineStr">
        <is>
          <t>MAYTE</t>
        </is>
      </c>
      <c r="M75" s="89" t="n"/>
      <c r="N75" s="89" t="n"/>
      <c r="O75" s="89" t="inlineStr">
        <is>
          <t>Rodrigo Toledo</t>
        </is>
      </c>
    </row>
    <row r="76">
      <c r="A76" s="96" t="inlineStr">
        <is>
          <t>7680661345695042324</t>
        </is>
      </c>
      <c r="B76" s="98" t="inlineStr">
        <is>
          <t>fashion_only</t>
        </is>
      </c>
      <c r="C76" s="40" t="inlineStr">
        <is>
          <t>MX</t>
        </is>
      </c>
      <c r="D76" s="100" t="n">
        <v>755.8</v>
      </c>
      <c r="E76" s="40">
        <f>D76/1.16</f>
        <v/>
      </c>
      <c r="F76" s="40">
        <f>D76/J76</f>
        <v/>
      </c>
      <c r="G76" s="40">
        <f>F76/1.16</f>
        <v/>
      </c>
      <c r="H76" s="92" t="n">
        <v>0</v>
      </c>
      <c r="I76" s="26" t="n">
        <v>1.98</v>
      </c>
      <c r="J76" s="89">
        <f>LET(dec, I76-INT(I76), IF(dec&lt;0.1, INT(I76), IF(dec&lt;=0.7, INT(I76)+0.5, INT(I76)+1)))</f>
        <v/>
      </c>
      <c r="K76" s="93" t="n">
        <v>46266</v>
      </c>
      <c r="L76" s="38" t="inlineStr">
        <is>
          <t>MAYTE</t>
        </is>
      </c>
      <c r="M76" s="89" t="n"/>
      <c r="N76" s="89" t="n"/>
      <c r="O76" s="89" t="inlineStr">
        <is>
          <t>Rodrigo Toledo</t>
        </is>
      </c>
    </row>
    <row r="77">
      <c r="A77" s="96" t="inlineStr">
        <is>
          <t>7680627603268029205</t>
        </is>
      </c>
      <c r="B77" s="98" t="inlineStr">
        <is>
          <t>fashion_only</t>
        </is>
      </c>
      <c r="C77" s="40" t="inlineStr">
        <is>
          <t>MX</t>
        </is>
      </c>
      <c r="D77" s="100" t="n">
        <v>119</v>
      </c>
      <c r="E77" s="40">
        <f>D77/1.16</f>
        <v/>
      </c>
      <c r="F77" s="40">
        <f>D77/J77</f>
        <v/>
      </c>
      <c r="G77" s="40">
        <f>F77/1.16</f>
        <v/>
      </c>
      <c r="H77" s="92" t="n">
        <v>0</v>
      </c>
      <c r="I77" s="26" t="n">
        <v>2.06</v>
      </c>
      <c r="J77" s="89">
        <f>LET(dec, I77-INT(I77), IF(dec&lt;0.1, INT(I77), IF(dec&lt;=0.7, INT(I77)+0.5, INT(I77)+1)))</f>
        <v/>
      </c>
      <c r="K77" s="93" t="n">
        <v>46266</v>
      </c>
      <c r="L77" s="38" t="inlineStr">
        <is>
          <t>MAYTE</t>
        </is>
      </c>
      <c r="M77" s="89" t="n"/>
      <c r="N77" s="89" t="n"/>
      <c r="O77" s="89" t="inlineStr">
        <is>
          <t>Rodrigo Toledo</t>
        </is>
      </c>
    </row>
    <row r="78">
      <c r="A78" s="96" t="inlineStr">
        <is>
          <t>7680211013929241365</t>
        </is>
      </c>
      <c r="B78" s="98" t="inlineStr">
        <is>
          <t>fashion_only</t>
        </is>
      </c>
      <c r="C78" s="40" t="inlineStr">
        <is>
          <t>MX</t>
        </is>
      </c>
      <c r="D78" s="100" t="n">
        <v>1761.42</v>
      </c>
      <c r="E78" s="40">
        <f>D78/1.16</f>
        <v/>
      </c>
      <c r="F78" s="40">
        <f>D78/J78</f>
        <v/>
      </c>
      <c r="G78" s="40">
        <f>F78/1.16</f>
        <v/>
      </c>
      <c r="H78" s="92" t="n">
        <v>0</v>
      </c>
      <c r="I78" s="26" t="n">
        <v>2.99</v>
      </c>
      <c r="J78" s="89">
        <f>LET(dec, I78-INT(I78), IF(dec&lt;0.1, INT(I78), IF(dec&lt;=0.7, INT(I78)+0.5, INT(I78)+1)))</f>
        <v/>
      </c>
      <c r="K78" s="93" t="n">
        <v>46265</v>
      </c>
      <c r="L78" s="38" t="inlineStr">
        <is>
          <t>MAYTE</t>
        </is>
      </c>
      <c r="M78" s="89" t="n"/>
      <c r="N78" s="89" t="n"/>
      <c r="O78" s="89" t="inlineStr">
        <is>
          <t>Rodrigo Toledo</t>
        </is>
      </c>
    </row>
    <row r="80">
      <c r="A80" s="7" t="inlineStr">
        <is>
          <t>Room ID</t>
        </is>
      </c>
      <c r="B80" s="7" t="inlineStr">
        <is>
          <t>TT Handle</t>
        </is>
      </c>
      <c r="C80" s="7" t="inlineStr">
        <is>
          <t>Country</t>
        </is>
      </c>
      <c r="D80" s="7" t="inlineStr">
        <is>
          <t>GMV</t>
        </is>
      </c>
      <c r="E80" s="7" t="inlineStr">
        <is>
          <t>GMV/sin EVA</t>
        </is>
      </c>
      <c r="F80" s="7" t="inlineStr">
        <is>
          <t>GMV PER HOUR</t>
        </is>
      </c>
      <c r="G80" s="7" t="inlineStr">
        <is>
          <t>GMV PER HOUR/sin EVA</t>
        </is>
      </c>
      <c r="H80" s="7" t="inlineStr">
        <is>
          <t>Ads Cost</t>
        </is>
      </c>
      <c r="I80" s="7" t="inlineStr">
        <is>
          <t>Duration (H)</t>
        </is>
      </c>
      <c r="J80" s="28" t="inlineStr">
        <is>
          <t>Duration （Formula）</t>
        </is>
      </c>
      <c r="K80" s="58" t="inlineStr">
        <is>
          <t>Start date</t>
        </is>
      </c>
      <c r="L80" s="71" t="inlineStr">
        <is>
          <t>HOST1</t>
        </is>
      </c>
      <c r="M80" s="71" t="inlineStr">
        <is>
          <t xml:space="preserve">HOST 2 </t>
        </is>
      </c>
      <c r="N80" s="71" t="inlineStr">
        <is>
          <t>HOST 3</t>
        </is>
      </c>
      <c r="O80" s="71" t="inlineStr">
        <is>
          <t>Operator</t>
        </is>
      </c>
    </row>
    <row r="81">
      <c r="A81" s="96" t="inlineStr">
        <is>
          <t>7690602203616447252</t>
        </is>
      </c>
      <c r="B81" s="98" t="inlineStr">
        <is>
          <t>fashion_only</t>
        </is>
      </c>
      <c r="C81" s="40" t="inlineStr">
        <is>
          <t>MX</t>
        </is>
      </c>
      <c r="D81" s="100" t="n">
        <v>4114.28</v>
      </c>
      <c r="E81" s="40">
        <f>D81/1.16</f>
        <v/>
      </c>
      <c r="F81" s="40">
        <f>IFERROR(D81/J81,0)</f>
        <v/>
      </c>
      <c r="G81" s="40">
        <f>F81/1.16</f>
        <v/>
      </c>
      <c r="H81" s="92" t="n"/>
      <c r="I81" s="26" t="n">
        <v>4.92</v>
      </c>
      <c r="J81" s="89">
        <f>IF(I81-INT(I81)&lt;0.1,INT(I81),IF(I81-INT(I81)&lt;=0.7,INT(I81)+0.5,INT(I81)+1))</f>
        <v/>
      </c>
      <c r="K81" s="93" t="n">
        <v>46293</v>
      </c>
      <c r="L81" s="38" t="inlineStr">
        <is>
          <t>MAYTE</t>
        </is>
      </c>
      <c r="M81" s="89" t="n"/>
      <c r="N81" s="89" t="n"/>
      <c r="O81" s="89" t="inlineStr">
        <is>
          <t>Rodrigo Toledo</t>
        </is>
      </c>
    </row>
    <row r="82">
      <c r="A82" s="96" t="inlineStr">
        <is>
          <t>7690977334760868614</t>
        </is>
      </c>
      <c r="B82" s="98" t="inlineStr">
        <is>
          <t>fashion_only</t>
        </is>
      </c>
      <c r="C82" s="40" t="inlineStr">
        <is>
          <t>MX</t>
        </is>
      </c>
      <c r="D82" s="100" t="n">
        <v>2370.28</v>
      </c>
      <c r="E82" s="40">
        <f>D82/1.16</f>
        <v/>
      </c>
      <c r="F82" s="40">
        <f>IFERROR(D82/J82,0)</f>
        <v/>
      </c>
      <c r="G82" s="40">
        <f>F82/1.16</f>
        <v/>
      </c>
      <c r="H82" s="92" t="n"/>
      <c r="I82" s="26" t="n">
        <v>5.04</v>
      </c>
      <c r="J82" s="89">
        <f>IF(I82-INT(I82)&lt;0.1,INT(I82),IF(I82-INT(I82)&lt;=0.7,INT(I82)+0.5,INT(I82)+1))</f>
        <v/>
      </c>
      <c r="K82" s="93" t="n">
        <v>46294</v>
      </c>
      <c r="L82" s="38" t="inlineStr">
        <is>
          <t>MAYTE</t>
        </is>
      </c>
      <c r="M82" s="89" t="n"/>
      <c r="N82" s="89" t="n"/>
      <c r="O82" s="89" t="inlineStr">
        <is>
          <t>Rodrigo Toledo</t>
        </is>
      </c>
    </row>
    <row r="83">
      <c r="A83" s="96" t="inlineStr">
        <is>
          <t>7691344891706493716</t>
        </is>
      </c>
      <c r="B83" s="98" t="inlineStr">
        <is>
          <t>fashion_only</t>
        </is>
      </c>
      <c r="C83" s="40" t="inlineStr">
        <is>
          <t>MX</t>
        </is>
      </c>
      <c r="D83" s="100" t="n">
        <v>1573.9</v>
      </c>
      <c r="E83" s="40">
        <f>D83/1.16</f>
        <v/>
      </c>
      <c r="F83" s="40">
        <f>IFERROR(D83/J83,0)</f>
        <v/>
      </c>
      <c r="G83" s="40">
        <f>F83/1.16</f>
        <v/>
      </c>
      <c r="H83" s="92" t="n"/>
      <c r="I83" s="26" t="n">
        <v>4.89</v>
      </c>
      <c r="J83" s="89">
        <f>IF(I83-INT(I83)&lt;0.1,INT(I83),IF(I83-INT(I83)&lt;=0.7,INT(I83)+0.5,INT(I83)+1))</f>
        <v/>
      </c>
      <c r="K83" s="93" t="n">
        <v>46295</v>
      </c>
      <c r="L83" s="38" t="inlineStr">
        <is>
          <t>MAYTE</t>
        </is>
      </c>
      <c r="M83" s="89" t="n"/>
      <c r="N83" s="89" t="n"/>
      <c r="O83" s="89" t="inlineStr">
        <is>
          <t>Rodrigo Toledo</t>
        </is>
      </c>
    </row>
    <row r="84">
      <c r="A84" s="96" t="inlineStr">
        <is>
          <t>7691760959787813652</t>
        </is>
      </c>
      <c r="B84" s="98" t="inlineStr">
        <is>
          <t>fashion_only</t>
        </is>
      </c>
      <c r="C84" s="40" t="inlineStr">
        <is>
          <t>MX</t>
        </is>
      </c>
      <c r="D84" s="100" t="n">
        <v>1679.84</v>
      </c>
      <c r="E84" s="40">
        <f>D84/1.16</f>
        <v/>
      </c>
      <c r="F84" s="40">
        <f>IFERROR(D84/J84,0)</f>
        <v/>
      </c>
      <c r="G84" s="40">
        <f>F84/1.16</f>
        <v/>
      </c>
      <c r="H84" s="92" t="n"/>
      <c r="I84" s="26" t="n">
        <v>3.98</v>
      </c>
      <c r="J84" s="89">
        <f>IF(I84-INT(I84)&lt;0.1,INT(I84),IF(I84-INT(I84)&lt;=0.7,INT(I84)+0.5,INT(I84)+1))</f>
        <v/>
      </c>
      <c r="K84" s="93" t="n">
        <v>46296</v>
      </c>
      <c r="L84" s="38" t="inlineStr">
        <is>
          <t>MAYTE</t>
        </is>
      </c>
      <c r="M84" s="89" t="n"/>
      <c r="N84" s="89" t="n"/>
      <c r="O84" s="89" t="inlineStr">
        <is>
          <t>Rodrigo Toledo</t>
        </is>
      </c>
    </row>
    <row r="85">
      <c r="A85" s="96" t="inlineStr">
        <is>
          <t>7693199684388227860</t>
        </is>
      </c>
      <c r="B85" s="98" t="inlineStr">
        <is>
          <t>fashion_only</t>
        </is>
      </c>
      <c r="C85" s="40" t="inlineStr">
        <is>
          <t>MX</t>
        </is>
      </c>
      <c r="D85" s="100" t="n">
        <v>625.89</v>
      </c>
      <c r="E85" s="40">
        <f>D85/1.16</f>
        <v/>
      </c>
      <c r="F85" s="40">
        <f>IFERROR(D85/J85,0)</f>
        <v/>
      </c>
      <c r="G85" s="40">
        <f>F85/1.16</f>
        <v/>
      </c>
      <c r="H85" s="92" t="n"/>
      <c r="I85" s="26" t="n">
        <v>4.95</v>
      </c>
      <c r="J85" s="89">
        <f>IF(I85-INT(I85)&lt;0.1,INT(I85),IF(I85-INT(I85)&lt;=0.7,INT(I85)+0.5,INT(I85)+1))</f>
        <v/>
      </c>
      <c r="K85" s="93" t="n">
        <v>46300</v>
      </c>
      <c r="L85" s="38" t="inlineStr">
        <is>
          <t>MAYTE</t>
        </is>
      </c>
      <c r="M85" s="89" t="n"/>
      <c r="N85" s="89" t="n"/>
      <c r="O85" s="89" t="inlineStr">
        <is>
          <t>Rodrigo Toledo</t>
        </is>
      </c>
    </row>
    <row r="86">
      <c r="A86" s="96" t="inlineStr">
        <is>
          <t>7693562346077326100</t>
        </is>
      </c>
      <c r="B86" s="98" t="inlineStr">
        <is>
          <t>fashion_only</t>
        </is>
      </c>
      <c r="C86" s="40" t="inlineStr">
        <is>
          <t>MX</t>
        </is>
      </c>
      <c r="D86" s="100" t="n">
        <v>1240.78</v>
      </c>
      <c r="E86" s="40">
        <f>D86/1.16</f>
        <v/>
      </c>
      <c r="F86" s="40">
        <f>IFERROR(D86/J86,0)</f>
        <v/>
      </c>
      <c r="G86" s="40">
        <f>F86/1.16</f>
        <v/>
      </c>
      <c r="H86" s="92" t="n"/>
      <c r="I86" s="26" t="n">
        <v>4.54</v>
      </c>
      <c r="J86" s="89">
        <f>IF(I86-INT(I86)&lt;0.1,INT(I86),IF(I86-INT(I86)&lt;=0.7,INT(I86)+0.5,INT(I86)+1))</f>
        <v/>
      </c>
      <c r="K86" s="93" t="n">
        <v>46301</v>
      </c>
      <c r="L86" s="38" t="inlineStr">
        <is>
          <t>MAYTE</t>
        </is>
      </c>
      <c r="M86" s="89" t="n"/>
      <c r="N86" s="89" t="n"/>
      <c r="O86" s="89" t="inlineStr">
        <is>
          <t>Rodrigo Toledo</t>
        </is>
      </c>
    </row>
    <row r="87">
      <c r="A87" s="96" t="inlineStr">
        <is>
          <t>7693941476056910612</t>
        </is>
      </c>
      <c r="B87" s="98" t="inlineStr">
        <is>
          <t>fashion_only</t>
        </is>
      </c>
      <c r="C87" s="40" t="inlineStr">
        <is>
          <t>MX</t>
        </is>
      </c>
      <c r="D87" s="100" t="n">
        <v>0</v>
      </c>
      <c r="E87" s="40">
        <f>D87/1.16</f>
        <v/>
      </c>
      <c r="F87" s="40">
        <f>IFERROR(D87/J87,0)</f>
        <v/>
      </c>
      <c r="G87" s="40">
        <f>F87/1.16</f>
        <v/>
      </c>
      <c r="H87" s="92" t="n"/>
      <c r="I87" s="26" t="n">
        <v>0.1</v>
      </c>
      <c r="J87" s="89">
        <f>IF(I87-INT(I87)&lt;0.1,INT(I87),IF(I87-INT(I87)&lt;=0.7,INT(I87)+0.5,INT(I87)+1))</f>
        <v/>
      </c>
      <c r="K87" s="93" t="n">
        <v>46302</v>
      </c>
      <c r="L87" s="38" t="inlineStr">
        <is>
          <t>MAYTE</t>
        </is>
      </c>
      <c r="M87" s="89" t="n"/>
      <c r="N87" s="89" t="n"/>
      <c r="O87" s="89" t="inlineStr">
        <is>
          <t>Rodrigo Toledo</t>
        </is>
      </c>
    </row>
    <row r="88">
      <c r="A88" s="96" t="inlineStr">
        <is>
          <t>7693944065031195412</t>
        </is>
      </c>
      <c r="B88" s="98" t="inlineStr">
        <is>
          <t>fashion_only</t>
        </is>
      </c>
      <c r="C88" s="40" t="inlineStr">
        <is>
          <t>MX</t>
        </is>
      </c>
      <c r="D88" s="100" t="n">
        <v>1188.19</v>
      </c>
      <c r="E88" s="40">
        <f>D88/1.16</f>
        <v/>
      </c>
      <c r="F88" s="40">
        <f>IFERROR(D88/J88,0)</f>
        <v/>
      </c>
      <c r="G88" s="40">
        <f>F88/1.16</f>
        <v/>
      </c>
      <c r="H88" s="92" t="n"/>
      <c r="I88" s="26" t="n">
        <v>2.82</v>
      </c>
      <c r="J88" s="89">
        <f>IF(I88-INT(I88)&lt;0.1,INT(I88),IF(I88-INT(I88)&lt;=0.7,INT(I88)+0.5,INT(I88)+1))</f>
        <v/>
      </c>
      <c r="K88" s="93" t="n">
        <v>46302</v>
      </c>
      <c r="L88" s="38" t="inlineStr">
        <is>
          <t>MAYTE</t>
        </is>
      </c>
      <c r="M88" s="89" t="n"/>
      <c r="N88" s="89" t="n"/>
      <c r="O88" s="89" t="inlineStr">
        <is>
          <t>Rodrigo Toledo</t>
        </is>
      </c>
    </row>
    <row r="89">
      <c r="A89" s="96" t="inlineStr">
        <is>
          <t>7694318760287259412</t>
        </is>
      </c>
      <c r="B89" s="98" t="inlineStr">
        <is>
          <t>fashion_only</t>
        </is>
      </c>
      <c r="C89" s="40" t="inlineStr">
        <is>
          <t>MX</t>
        </is>
      </c>
      <c r="D89" s="100" t="n">
        <v>1148.34</v>
      </c>
      <c r="E89" s="40">
        <f>D89/1.16</f>
        <v/>
      </c>
      <c r="F89" s="40">
        <f>IFERROR(D89/J89,0)</f>
        <v/>
      </c>
      <c r="G89" s="40">
        <f>F89/1.16</f>
        <v/>
      </c>
      <c r="H89" s="92" t="n"/>
      <c r="I89" s="26" t="n">
        <v>5.56</v>
      </c>
      <c r="J89" s="89">
        <f>IF(I89-INT(I89)&lt;0.1,INT(I89),IF(I89-INT(I89)&lt;=0.7,INT(I89)+0.5,INT(I89)+1))</f>
        <v/>
      </c>
      <c r="K89" s="93" t="n">
        <v>46303</v>
      </c>
      <c r="L89" s="38" t="inlineStr">
        <is>
          <t>MAYTE</t>
        </is>
      </c>
      <c r="M89" s="89" t="n"/>
      <c r="N89" s="89" t="n"/>
      <c r="O89" s="89" t="inlineStr">
        <is>
          <t>Rodrigo Toledo</t>
        </is>
      </c>
    </row>
    <row r="90">
      <c r="A90" s="96" t="inlineStr">
        <is>
          <t>7694684728481352469</t>
        </is>
      </c>
      <c r="B90" s="98" t="inlineStr">
        <is>
          <t>fashion_only</t>
        </is>
      </c>
      <c r="C90" s="40" t="inlineStr">
        <is>
          <t>MX</t>
        </is>
      </c>
      <c r="D90" s="100" t="n">
        <v>16198.4</v>
      </c>
      <c r="E90" s="40">
        <f>D90/1.16</f>
        <v/>
      </c>
      <c r="F90" s="40">
        <f>IFERROR(D90/J90,0)</f>
        <v/>
      </c>
      <c r="G90" s="40">
        <f>F90/1.16</f>
        <v/>
      </c>
      <c r="H90" s="92" t="n"/>
      <c r="I90" s="26" t="n">
        <v>5.96</v>
      </c>
      <c r="J90" s="89">
        <f>IF(I90-INT(I90)&lt;0.1,INT(I90),IF(I90-INT(I90)&lt;=0.7,INT(I90)+0.5,INT(I90)+1))</f>
        <v/>
      </c>
      <c r="K90" s="93" t="n">
        <v>46304</v>
      </c>
      <c r="L90" s="38" t="inlineStr">
        <is>
          <t>MAYTE</t>
        </is>
      </c>
      <c r="M90" s="89" t="n"/>
      <c r="N90" s="89" t="n"/>
      <c r="O90" s="89" t="inlineStr">
        <is>
          <t>Rodrigo Toledo</t>
        </is>
      </c>
    </row>
    <row r="91">
      <c r="A91" s="96" t="inlineStr">
        <is>
          <t>7695798318911998741</t>
        </is>
      </c>
      <c r="B91" s="98" t="inlineStr">
        <is>
          <t>fashion_only</t>
        </is>
      </c>
      <c r="C91" s="40" t="inlineStr">
        <is>
          <t>MX</t>
        </is>
      </c>
      <c r="D91" s="100" t="n">
        <v>15737.54</v>
      </c>
      <c r="E91" s="40">
        <f>D91/1.16</f>
        <v/>
      </c>
      <c r="F91" s="40">
        <f>IFERROR(D91/J91,0)</f>
        <v/>
      </c>
      <c r="G91" s="40">
        <f>F91/1.16</f>
        <v/>
      </c>
      <c r="H91" s="92" t="n"/>
      <c r="I91" s="26" t="n">
        <v>5.96</v>
      </c>
      <c r="J91" s="89">
        <f>IF(I91-INT(I91)&lt;0.1,INT(I91),IF(I91-INT(I91)&lt;=0.7,INT(I91)+0.5,INT(I91)+1))</f>
        <v/>
      </c>
      <c r="K91" s="93" t="n">
        <v>46307</v>
      </c>
      <c r="L91" s="38" t="inlineStr">
        <is>
          <t>MAYTE</t>
        </is>
      </c>
      <c r="M91" s="89" t="n"/>
      <c r="N91" s="89" t="n"/>
      <c r="O91" s="89" t="inlineStr">
        <is>
          <t>Rodrigo Toledo</t>
        </is>
      </c>
    </row>
    <row r="92">
      <c r="A92" s="96" t="inlineStr">
        <is>
          <t>7696170554078546708</t>
        </is>
      </c>
      <c r="B92" s="98" t="inlineStr">
        <is>
          <t>fashion_only</t>
        </is>
      </c>
      <c r="C92" s="40" t="inlineStr">
        <is>
          <t>MX</t>
        </is>
      </c>
      <c r="D92" s="100" t="n">
        <v>9278.49</v>
      </c>
      <c r="E92" s="40">
        <f>D92/1.16</f>
        <v/>
      </c>
      <c r="F92" s="40">
        <f>IFERROR(D92/J92,0)</f>
        <v/>
      </c>
      <c r="G92" s="40">
        <f>F92/1.16</f>
        <v/>
      </c>
      <c r="H92" s="92" t="n"/>
      <c r="I92" s="26" t="n">
        <v>5.01</v>
      </c>
      <c r="J92" s="89">
        <f>IF(I92-INT(I92)&lt;0.1,INT(I92),IF(I92-INT(I92)&lt;=0.7,INT(I92)+0.5,INT(I92)+1))</f>
        <v/>
      </c>
      <c r="K92" s="93" t="n">
        <v>46308</v>
      </c>
      <c r="L92" s="38" t="inlineStr">
        <is>
          <t>MAYTE</t>
        </is>
      </c>
      <c r="M92" s="89" t="n"/>
      <c r="N92" s="89" t="n"/>
      <c r="O92" s="89" t="inlineStr">
        <is>
          <t>Rodrigo Toledo</t>
        </is>
      </c>
    </row>
    <row r="93">
      <c r="A93" s="96" t="inlineStr">
        <is>
          <t>7696910300964047636</t>
        </is>
      </c>
      <c r="B93" s="98" t="inlineStr">
        <is>
          <t>fashion_only</t>
        </is>
      </c>
      <c r="C93" s="40" t="inlineStr">
        <is>
          <t>MX</t>
        </is>
      </c>
      <c r="D93" s="100" t="n">
        <v>20332.39</v>
      </c>
      <c r="E93" s="40">
        <f>D93/1.16</f>
        <v/>
      </c>
      <c r="F93" s="40">
        <f>IFERROR(D93/J93,0)</f>
        <v/>
      </c>
      <c r="G93" s="40">
        <f>F93/1.16</f>
        <v/>
      </c>
      <c r="H93" s="92" t="n"/>
      <c r="I93" s="26" t="n">
        <v>10.95</v>
      </c>
      <c r="J93" s="89">
        <f>IF(I93-INT(I93)&lt;0.1,INT(I93),IF(I93-INT(I93)&lt;=0.7,INT(I93)+0.5,INT(I93)+1))</f>
        <v/>
      </c>
      <c r="K93" s="93" t="n">
        <v>46310</v>
      </c>
      <c r="L93" s="38" t="inlineStr">
        <is>
          <t>MAYTE</t>
        </is>
      </c>
      <c r="M93" s="89" t="inlineStr">
        <is>
          <t>KARIM</t>
        </is>
      </c>
      <c r="N93" s="89" t="inlineStr">
        <is>
          <t>MILI CONCHA</t>
        </is>
      </c>
      <c r="O93" s="89" t="inlineStr">
        <is>
          <t>Rodrigo Toledo</t>
        </is>
      </c>
    </row>
    <row r="94">
      <c r="A94" s="96" t="inlineStr">
        <is>
          <t>7697328218342591253</t>
        </is>
      </c>
      <c r="B94" s="98" t="inlineStr">
        <is>
          <t>fashion_only</t>
        </is>
      </c>
      <c r="C94" s="40" t="inlineStr">
        <is>
          <t>MX</t>
        </is>
      </c>
      <c r="D94" s="100" t="n">
        <v>9298.139999999999</v>
      </c>
      <c r="E94" s="40">
        <f>D94/1.16</f>
        <v/>
      </c>
      <c r="F94" s="40">
        <f>IFERROR(D94/J94,0)</f>
        <v/>
      </c>
      <c r="G94" s="40">
        <f>F94/1.16</f>
        <v/>
      </c>
      <c r="H94" s="92" t="n"/>
      <c r="I94" s="26" t="n">
        <v>3.94</v>
      </c>
      <c r="J94" s="89">
        <f>IF(I94-INT(I94)&lt;0.1,INT(I94),IF(I94-INT(I94)&lt;=0.7,INT(I94)+0.5,INT(I94)+1))</f>
        <v/>
      </c>
      <c r="K94" s="93" t="n">
        <v>46311</v>
      </c>
      <c r="L94" s="38" t="inlineStr">
        <is>
          <t>MAYTE</t>
        </is>
      </c>
      <c r="M94" s="89" t="n"/>
      <c r="N94" s="89" t="n"/>
      <c r="O94" s="89" t="inlineStr">
        <is>
          <t>Rodrigo Toledo</t>
        </is>
      </c>
    </row>
    <row r="95">
      <c r="A95" s="96" t="inlineStr">
        <is>
          <t>7697654815102421780</t>
        </is>
      </c>
      <c r="B95" s="98" t="inlineStr">
        <is>
          <t>fashion_only</t>
        </is>
      </c>
      <c r="C95" s="40" t="inlineStr">
        <is>
          <t>MX</t>
        </is>
      </c>
      <c r="D95" s="100" t="n">
        <v>19028.73</v>
      </c>
      <c r="E95" s="40">
        <f>D95/1.16</f>
        <v/>
      </c>
      <c r="F95" s="40">
        <f>IFERROR(D95/J95,0)</f>
        <v/>
      </c>
      <c r="G95" s="40">
        <f>F95/1.16</f>
        <v/>
      </c>
      <c r="H95" s="92" t="n"/>
      <c r="I95" s="26" t="n">
        <v>10.22</v>
      </c>
      <c r="J95" s="89">
        <f>IF(I95-INT(I95)&lt;0.1,INT(I95),IF(I95-INT(I95)&lt;=0.7,INT(I95)+0.5,INT(I95)+1))</f>
        <v/>
      </c>
      <c r="K95" s="93" t="n">
        <v>46312</v>
      </c>
      <c r="L95" s="38" t="inlineStr">
        <is>
          <t>MAYTE</t>
        </is>
      </c>
      <c r="M95" s="89" t="inlineStr">
        <is>
          <t>MILI CONCHA</t>
        </is>
      </c>
      <c r="N95" s="89" t="n"/>
      <c r="O95" s="89" t="inlineStr">
        <is>
          <t>Rodrigo Toledo</t>
        </is>
      </c>
    </row>
    <row r="96">
      <c r="A96" s="96" t="inlineStr">
        <is>
          <t>7698395402177530645</t>
        </is>
      </c>
      <c r="B96" s="98" t="inlineStr">
        <is>
          <t>fashion_only</t>
        </is>
      </c>
      <c r="C96" s="40" t="inlineStr">
        <is>
          <t>MX</t>
        </is>
      </c>
      <c r="D96" s="100" t="n">
        <v>33490.16</v>
      </c>
      <c r="E96" s="40">
        <f>D96/1.16</f>
        <v/>
      </c>
      <c r="F96" s="40">
        <f>IFERROR(D96/J96,0)</f>
        <v/>
      </c>
      <c r="G96" s="40">
        <f>F96/1.16</f>
        <v/>
      </c>
      <c r="H96" s="92" t="n"/>
      <c r="I96" s="26" t="n">
        <v>10.21</v>
      </c>
      <c r="J96" s="89">
        <f>IF(I96-INT(I96)&lt;0.1,INT(I96),IF(I96-INT(I96)&lt;=0.7,INT(I96)+0.5,INT(I96)+1))</f>
        <v/>
      </c>
      <c r="K96" s="93" t="n">
        <v>46314</v>
      </c>
      <c r="L96" s="38" t="inlineStr">
        <is>
          <t>MAYTE</t>
        </is>
      </c>
      <c r="M96" s="89" t="inlineStr">
        <is>
          <t>AKEY</t>
        </is>
      </c>
      <c r="N96" s="89" t="n"/>
      <c r="O96" s="89" t="inlineStr">
        <is>
          <t>Rodrigo Toledo</t>
        </is>
      </c>
    </row>
    <row r="97">
      <c r="A97" s="96" t="inlineStr">
        <is>
          <t>7698768912553822997</t>
        </is>
      </c>
      <c r="B97" s="98" t="inlineStr">
        <is>
          <t>fashion_only</t>
        </is>
      </c>
      <c r="C97" s="40" t="inlineStr">
        <is>
          <t>MX</t>
        </is>
      </c>
      <c r="D97" s="100" t="n">
        <v>12519.71</v>
      </c>
      <c r="E97" s="40">
        <f>D97/1.16</f>
        <v/>
      </c>
      <c r="F97" s="40">
        <f>IFERROR(D97/J97,0)</f>
        <v/>
      </c>
      <c r="G97" s="40">
        <f>F97/1.16</f>
        <v/>
      </c>
      <c r="H97" s="92" t="n"/>
      <c r="I97" s="26" t="n">
        <v>5.03</v>
      </c>
      <c r="J97" s="89">
        <f>IF(I97-INT(I97)&lt;0.1,INT(I97),IF(I97-INT(I97)&lt;=0.7,INT(I97)+0.5,INT(I97)+1))</f>
        <v/>
      </c>
      <c r="K97" s="93" t="n">
        <v>46315</v>
      </c>
      <c r="L97" s="38" t="inlineStr">
        <is>
          <t>MAYTE</t>
        </is>
      </c>
      <c r="M97" s="89" t="n"/>
      <c r="N97" s="89" t="n"/>
      <c r="O97" s="89" t="inlineStr">
        <is>
          <t>Rodrigo Toledo</t>
        </is>
      </c>
    </row>
    <row r="98">
      <c r="A98" s="96" t="inlineStr">
        <is>
          <t>7699139158187264774</t>
        </is>
      </c>
      <c r="B98" s="98" t="inlineStr">
        <is>
          <t>fashion_only</t>
        </is>
      </c>
      <c r="C98" s="40" t="inlineStr">
        <is>
          <t>MX</t>
        </is>
      </c>
      <c r="D98" s="100" t="n">
        <v>5278.83</v>
      </c>
      <c r="E98" s="40">
        <f>D98/1.16</f>
        <v/>
      </c>
      <c r="F98" s="40">
        <f>IFERROR(D98/J98,0)</f>
        <v/>
      </c>
      <c r="G98" s="40">
        <f>F98/1.16</f>
        <v/>
      </c>
      <c r="H98" s="92" t="n"/>
      <c r="I98" s="26" t="n">
        <v>2.89</v>
      </c>
      <c r="J98" s="89">
        <f>IF(I98-INT(I98)&lt;0.1,INT(I98),IF(I98-INT(I98)&lt;=0.7,INT(I98)+0.5,INT(I98)+1))</f>
        <v/>
      </c>
      <c r="K98" s="93" t="n">
        <v>46316</v>
      </c>
      <c r="L98" s="38" t="inlineStr">
        <is>
          <t>MAYTE</t>
        </is>
      </c>
      <c r="M98" s="89" t="n"/>
      <c r="N98" s="89" t="n"/>
      <c r="O98" s="89" t="inlineStr">
        <is>
          <t>Rodrigo Toledo</t>
        </is>
      </c>
    </row>
    <row r="99">
      <c r="A99" s="96" t="inlineStr">
        <is>
          <t>7699512113198353172</t>
        </is>
      </c>
      <c r="B99" s="98" t="inlineStr">
        <is>
          <t>fashion_only</t>
        </is>
      </c>
      <c r="C99" s="40" t="inlineStr">
        <is>
          <t>MX</t>
        </is>
      </c>
      <c r="D99" s="100" t="n">
        <v>19420.75</v>
      </c>
      <c r="E99" s="40">
        <f>D99/1.16</f>
        <v/>
      </c>
      <c r="F99" s="40">
        <f>IFERROR(D99/J99,0)</f>
        <v/>
      </c>
      <c r="G99" s="40">
        <f>F99/1.16</f>
        <v/>
      </c>
      <c r="H99" s="92" t="n"/>
      <c r="I99" s="26" t="n">
        <v>5.14</v>
      </c>
      <c r="J99" s="89">
        <f>IF(I99-INT(I99)&lt;0.1,INT(I99),IF(I99-INT(I99)&lt;=0.7,INT(I99)+0.5,INT(I99)+1))</f>
        <v/>
      </c>
      <c r="K99" s="93" t="n">
        <v>46317</v>
      </c>
      <c r="L99" s="38" t="inlineStr">
        <is>
          <t>MAYTE</t>
        </is>
      </c>
      <c r="M99" s="89" t="n"/>
      <c r="N99" s="89" t="n"/>
      <c r="O99" s="89" t="inlineStr">
        <is>
          <t>Rodrigo Toledo</t>
        </is>
      </c>
    </row>
    <row r="100">
      <c r="A100" s="96" t="inlineStr">
        <is>
          <t>7699866970103089940</t>
        </is>
      </c>
      <c r="B100" s="98" t="inlineStr">
        <is>
          <t>fashion_only</t>
        </is>
      </c>
      <c r="C100" s="40" t="inlineStr">
        <is>
          <t>MX</t>
        </is>
      </c>
      <c r="D100" s="100" t="n">
        <v>17380.49</v>
      </c>
      <c r="E100" s="40">
        <f>D100/1.16</f>
        <v/>
      </c>
      <c r="F100" s="40">
        <f>IFERROR(D100/J100,0)</f>
        <v/>
      </c>
      <c r="G100" s="40">
        <f>F100/1.16</f>
        <v/>
      </c>
      <c r="H100" s="92" t="n"/>
      <c r="I100" s="26" t="n">
        <v>4.02</v>
      </c>
      <c r="J100" s="89">
        <f>IF(I100-INT(I100)&lt;0.1,INT(I100),IF(I100-INT(I100)&lt;=0.7,INT(I100)+0.5,INT(I100)+1))</f>
        <v/>
      </c>
      <c r="K100" s="93" t="n">
        <v>46318</v>
      </c>
      <c r="L100" s="38" t="inlineStr">
        <is>
          <t>MAYTE</t>
        </is>
      </c>
      <c r="M100" s="89" t="n"/>
      <c r="N100" s="89" t="n"/>
      <c r="O100" s="89" t="inlineStr">
        <is>
          <t>Rodrigo Toledo</t>
        </is>
      </c>
    </row>
    <row r="101">
      <c r="A101" s="96" t="inlineStr">
        <is>
          <t>7700997506711980820</t>
        </is>
      </c>
      <c r="B101" s="98" t="inlineStr">
        <is>
          <t>fashion_only</t>
        </is>
      </c>
      <c r="C101" s="40" t="inlineStr">
        <is>
          <t>MX</t>
        </is>
      </c>
      <c r="D101" s="100" t="n">
        <v>750.33</v>
      </c>
      <c r="E101" s="40">
        <f>D101/1.16</f>
        <v/>
      </c>
      <c r="F101" s="40">
        <f>IFERROR(D101/J101,0)</f>
        <v/>
      </c>
      <c r="G101" s="40">
        <f>F101/1.16</f>
        <v/>
      </c>
      <c r="H101" s="92" t="n"/>
      <c r="I101" s="26" t="n">
        <v>0.82</v>
      </c>
      <c r="J101" s="89">
        <f>IF(I101-INT(I101)&lt;0.1,INT(I101),IF(I101-INT(I101)&lt;=0.7,INT(I101)+0.5,INT(I101)+1))</f>
        <v/>
      </c>
      <c r="K101" s="93" t="n">
        <v>46321</v>
      </c>
      <c r="L101" s="38" t="inlineStr">
        <is>
          <t>MAYTE</t>
        </is>
      </c>
      <c r="M101" s="89" t="n"/>
      <c r="N101" s="89" t="n"/>
      <c r="O101" s="89" t="inlineStr">
        <is>
          <t>Rodrigo Toledo</t>
        </is>
      </c>
    </row>
    <row r="102">
      <c r="A102" s="96" t="inlineStr">
        <is>
          <t>7701018700842142485</t>
        </is>
      </c>
      <c r="B102" s="98" t="inlineStr">
        <is>
          <t>fashion_only</t>
        </is>
      </c>
      <c r="C102" s="40" t="inlineStr">
        <is>
          <t>MX</t>
        </is>
      </c>
      <c r="D102" s="100" t="n">
        <v>10233.46</v>
      </c>
      <c r="E102" s="40">
        <f>D102/1.16</f>
        <v/>
      </c>
      <c r="F102" s="40">
        <f>IFERROR(D102/J102,0)</f>
        <v/>
      </c>
      <c r="G102" s="40">
        <f>F102/1.16</f>
        <v/>
      </c>
      <c r="H102" s="92" t="n"/>
      <c r="I102" s="26" t="n">
        <v>3.75</v>
      </c>
      <c r="J102" s="89">
        <f>IF(I102-INT(I102)&lt;0.1,INT(I102),IF(I102-INT(I102)&lt;=0.7,INT(I102)+0.5,INT(I102)+1))</f>
        <v/>
      </c>
      <c r="K102" s="93" t="n">
        <v>46321</v>
      </c>
      <c r="L102" s="38" t="inlineStr">
        <is>
          <t>MAYTE</t>
        </is>
      </c>
      <c r="M102" s="89" t="n"/>
      <c r="N102" s="89" t="n"/>
      <c r="O102" s="89" t="inlineStr">
        <is>
          <t>Rodrigo Toledo</t>
        </is>
      </c>
    </row>
  </sheetData>
  <dataValidations count="2">
    <dataValidation sqref="L2:L5 L7:L9 L11:L12 L16:L50 L54:L78 L81:L102" showDropDown="0" showInputMessage="0" showErrorMessage="1" allowBlank="1" type="list">
      <formula1>"JIMENA,MAYTE,Ana,SANDRA ,LOLA"</formula1>
    </dataValidation>
    <dataValidation sqref="L6 L10" showDropDown="0" showInputMessage="0" showErrorMessage="1" allowBlank="1" type="list">
      <formula1>"PAOLA,SILVANA,ANA PAO,MILLY"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N18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18" min="1" max="1"/>
    <col width="17.25" customWidth="1" style="118" min="12" max="12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28" t="inlineStr">
        <is>
          <t>Duration （Formula）</t>
        </is>
      </c>
      <c r="K1" s="58" t="inlineStr">
        <is>
          <t>Start date</t>
        </is>
      </c>
      <c r="L1" s="71" t="inlineStr">
        <is>
          <t>HOST1</t>
        </is>
      </c>
      <c r="M1" s="71" t="inlineStr">
        <is>
          <t xml:space="preserve">HOST 2 </t>
        </is>
      </c>
      <c r="N1" s="71" t="inlineStr">
        <is>
          <t>Operator</t>
        </is>
      </c>
    </row>
    <row r="2">
      <c r="A2" s="96" t="inlineStr">
        <is>
          <t>7667672831947295509</t>
        </is>
      </c>
      <c r="B2" s="98" t="inlineStr">
        <is>
          <t>glowandgogirls_</t>
        </is>
      </c>
      <c r="C2" s="40" t="inlineStr">
        <is>
          <t>MX</t>
        </is>
      </c>
      <c r="D2" s="100" t="n">
        <v>179</v>
      </c>
      <c r="E2" s="40">
        <f>D2/1.16</f>
        <v/>
      </c>
      <c r="F2" s="40">
        <f>D2/J2</f>
        <v/>
      </c>
      <c r="G2" s="40">
        <f>F2/1.16</f>
        <v/>
      </c>
      <c r="H2" s="92" t="n">
        <v>0</v>
      </c>
      <c r="I2" s="26" t="n">
        <v>4.97</v>
      </c>
      <c r="J2" s="74" t="n">
        <v>3</v>
      </c>
      <c r="K2" s="93" t="n">
        <v>46231</v>
      </c>
      <c r="L2" s="36" t="inlineStr">
        <is>
          <t>BRENDA LOPEZ</t>
        </is>
      </c>
      <c r="M2" s="89" t="n"/>
      <c r="N2" s="38" t="n"/>
    </row>
    <row r="3">
      <c r="A3" s="96" t="inlineStr">
        <is>
          <t>7668045431222668040</t>
        </is>
      </c>
      <c r="B3" s="98" t="inlineStr">
        <is>
          <t>glowandgogirls_</t>
        </is>
      </c>
      <c r="C3" s="40" t="inlineStr">
        <is>
          <t>MX</t>
        </is>
      </c>
      <c r="D3" s="100" t="n">
        <v>188</v>
      </c>
      <c r="E3" s="40">
        <f>D3/1.16</f>
        <v/>
      </c>
      <c r="F3" s="40">
        <f>D3/J3</f>
        <v/>
      </c>
      <c r="G3" s="40">
        <f>F3/1.16</f>
        <v/>
      </c>
      <c r="H3" s="92" t="n">
        <v>0</v>
      </c>
      <c r="I3" s="26" t="n">
        <v>4.79</v>
      </c>
      <c r="J3" s="74" t="n">
        <v>3</v>
      </c>
      <c r="K3" s="93" t="n">
        <v>46232</v>
      </c>
      <c r="L3" s="36" t="inlineStr">
        <is>
          <t>BRENDA LOPEZ</t>
        </is>
      </c>
      <c r="M3" s="89" t="n"/>
      <c r="N3" s="38" t="n"/>
    </row>
    <row r="4">
      <c r="A4" s="96" t="inlineStr">
        <is>
          <t>7668414482571315989</t>
        </is>
      </c>
      <c r="B4" s="98" t="inlineStr">
        <is>
          <t>glowandgogirls_</t>
        </is>
      </c>
      <c r="C4" s="40" t="inlineStr">
        <is>
          <t>MX</t>
        </is>
      </c>
      <c r="D4" s="100" t="n">
        <v>1184.95</v>
      </c>
      <c r="E4" s="40">
        <f>D4/1.16</f>
        <v/>
      </c>
      <c r="F4" s="40">
        <f>D4/J4</f>
        <v/>
      </c>
      <c r="G4" s="40">
        <f>F4/1.16</f>
        <v/>
      </c>
      <c r="H4" s="92" t="n">
        <v>0</v>
      </c>
      <c r="I4" s="26" t="n">
        <v>4.92</v>
      </c>
      <c r="J4" s="74" t="n">
        <v>3</v>
      </c>
      <c r="K4" s="93" t="n">
        <v>46233</v>
      </c>
      <c r="L4" s="36" t="inlineStr">
        <is>
          <t>BRENDA LOPEZ</t>
        </is>
      </c>
      <c r="M4" s="89" t="n"/>
      <c r="N4" s="38" t="n"/>
    </row>
    <row r="5">
      <c r="A5" s="96" t="inlineStr">
        <is>
          <t>7668786773779368711</t>
        </is>
      </c>
      <c r="B5" s="98" t="inlineStr">
        <is>
          <t>glowandgogirls_</t>
        </is>
      </c>
      <c r="C5" s="40" t="inlineStr">
        <is>
          <t>MX</t>
        </is>
      </c>
      <c r="D5" s="100" t="n">
        <v>1094.64</v>
      </c>
      <c r="E5" s="40">
        <f>D5/1.16</f>
        <v/>
      </c>
      <c r="F5" s="40">
        <f>D5/J5</f>
        <v/>
      </c>
      <c r="G5" s="40">
        <f>F5/1.16</f>
        <v/>
      </c>
      <c r="H5" s="92" t="n">
        <v>0</v>
      </c>
      <c r="I5" s="26" t="n">
        <v>4.88</v>
      </c>
      <c r="J5" s="74" t="n">
        <v>3</v>
      </c>
      <c r="K5" s="93" t="n">
        <v>46234</v>
      </c>
      <c r="L5" s="36" t="inlineStr">
        <is>
          <t>BRENDA LOPEZ</t>
        </is>
      </c>
      <c r="M5" s="89" t="n"/>
      <c r="N5" s="38" t="n"/>
    </row>
    <row r="6">
      <c r="A6" s="96" t="inlineStr">
        <is>
          <t>7669928245450181396</t>
        </is>
      </c>
      <c r="B6" s="98" t="inlineStr">
        <is>
          <t>glowandgogirls_</t>
        </is>
      </c>
      <c r="C6" s="40" t="inlineStr">
        <is>
          <t>MX</t>
        </is>
      </c>
      <c r="D6" s="100" t="n">
        <v>633.38</v>
      </c>
      <c r="E6" s="40">
        <f>D6/1.16</f>
        <v/>
      </c>
      <c r="F6" s="40">
        <f>D6/J6</f>
        <v/>
      </c>
      <c r="G6" s="40">
        <f>F6/1.16</f>
        <v/>
      </c>
      <c r="H6" s="92" t="n">
        <v>0</v>
      </c>
      <c r="I6" s="26" t="n">
        <v>3.02</v>
      </c>
      <c r="J6" s="74" t="n">
        <v>3</v>
      </c>
      <c r="K6" s="93" t="n">
        <v>46237</v>
      </c>
      <c r="L6" s="36" t="inlineStr">
        <is>
          <t>BRENDA LOPEZ</t>
        </is>
      </c>
      <c r="M6" s="89" t="n"/>
      <c r="N6" s="38" t="n"/>
    </row>
    <row r="7">
      <c r="A7" s="96" t="inlineStr">
        <is>
          <t>7670216210391255829</t>
        </is>
      </c>
      <c r="B7" s="98" t="inlineStr">
        <is>
          <t>glowandgogirls_</t>
        </is>
      </c>
      <c r="C7" s="40" t="inlineStr">
        <is>
          <t>MX</t>
        </is>
      </c>
      <c r="D7" s="100" t="n">
        <v>0</v>
      </c>
      <c r="E7" s="40">
        <f>D7/1.16</f>
        <v/>
      </c>
      <c r="F7" s="40">
        <f>D7/J7</f>
        <v/>
      </c>
      <c r="G7" s="40">
        <f>F7/1.16</f>
        <v/>
      </c>
      <c r="H7" s="92" t="n">
        <v>0</v>
      </c>
      <c r="I7" s="26" t="n">
        <v>3.02</v>
      </c>
      <c r="J7" s="74" t="n">
        <v>3</v>
      </c>
      <c r="K7" s="93" t="n">
        <v>46238</v>
      </c>
      <c r="L7" s="36" t="inlineStr">
        <is>
          <t>BRENDA LOPEZ</t>
        </is>
      </c>
      <c r="M7" s="89" t="n"/>
      <c r="N7" s="38" t="n"/>
    </row>
    <row r="8">
      <c r="A8" s="96" t="inlineStr">
        <is>
          <t>7673626433607994133</t>
        </is>
      </c>
      <c r="B8" s="98" t="inlineStr">
        <is>
          <t>glowandgogirls_</t>
        </is>
      </c>
      <c r="C8" s="40" t="inlineStr">
        <is>
          <t>MX</t>
        </is>
      </c>
      <c r="D8" s="100" t="n">
        <v>0</v>
      </c>
      <c r="E8" s="40">
        <f>D8/1.16</f>
        <v/>
      </c>
      <c r="F8" s="40">
        <f>D8/J8</f>
        <v/>
      </c>
      <c r="G8" s="40">
        <f>F8/1.16</f>
        <v/>
      </c>
      <c r="H8" s="92" t="n">
        <v>0</v>
      </c>
      <c r="I8" s="26" t="n">
        <v>4.02</v>
      </c>
      <c r="J8" s="74" t="n">
        <v>3</v>
      </c>
      <c r="K8" s="93" t="n">
        <v>46247</v>
      </c>
      <c r="L8" s="36" t="inlineStr">
        <is>
          <t>BRENDA LOPEZ</t>
        </is>
      </c>
      <c r="M8" s="89" t="n"/>
      <c r="N8" s="38" t="n"/>
    </row>
    <row r="9">
      <c r="A9" s="96" t="inlineStr">
        <is>
          <t>7674353175696001812</t>
        </is>
      </c>
      <c r="B9" s="98" t="inlineStr">
        <is>
          <t>glowandgogirls_</t>
        </is>
      </c>
      <c r="C9" s="40" t="inlineStr">
        <is>
          <t>MX</t>
        </is>
      </c>
      <c r="D9" s="100" t="n">
        <v>0</v>
      </c>
      <c r="E9" s="40">
        <f>D9/1.16</f>
        <v/>
      </c>
      <c r="F9" s="40">
        <f>D9/J9</f>
        <v/>
      </c>
      <c r="G9" s="40">
        <f>F9/1.16</f>
        <v/>
      </c>
      <c r="H9" s="92" t="n">
        <v>0</v>
      </c>
      <c r="I9" s="26" t="n">
        <v>0.04</v>
      </c>
      <c r="J9" s="74" t="n">
        <v>3</v>
      </c>
      <c r="K9" s="93" t="n">
        <v>46249</v>
      </c>
      <c r="L9" s="36" t="inlineStr">
        <is>
          <t>BRENDA LOPEZ</t>
        </is>
      </c>
      <c r="M9" s="89" t="n"/>
      <c r="N9" s="38" t="n"/>
    </row>
    <row r="10">
      <c r="A10" s="96" t="inlineStr">
        <is>
          <t>7674354093268667156</t>
        </is>
      </c>
      <c r="B10" s="98" t="inlineStr">
        <is>
          <t>glowandgogirls_</t>
        </is>
      </c>
      <c r="C10" s="40" t="inlineStr">
        <is>
          <t>MX</t>
        </is>
      </c>
      <c r="D10" s="100" t="n">
        <v>0</v>
      </c>
      <c r="E10" s="40">
        <f>D10/1.16</f>
        <v/>
      </c>
      <c r="F10" s="40">
        <f>D10/J10</f>
        <v/>
      </c>
      <c r="G10" s="40">
        <f>F10/1.16</f>
        <v/>
      </c>
      <c r="H10" s="92" t="n">
        <v>0</v>
      </c>
      <c r="I10" s="26" t="n">
        <v>0.13</v>
      </c>
      <c r="J10" s="74" t="n">
        <v>3</v>
      </c>
      <c r="K10" s="93" t="n">
        <v>46249</v>
      </c>
      <c r="L10" s="36" t="inlineStr">
        <is>
          <t>BRENDA LOPEZ</t>
        </is>
      </c>
      <c r="M10" s="89" t="n"/>
      <c r="N10" s="38" t="n"/>
    </row>
    <row r="11">
      <c r="A11" s="96" t="inlineStr">
        <is>
          <t>7674356214337686292</t>
        </is>
      </c>
      <c r="B11" s="98" t="inlineStr">
        <is>
          <t>glowandgogirls_</t>
        </is>
      </c>
      <c r="C11" s="40" t="inlineStr">
        <is>
          <t>MX</t>
        </is>
      </c>
      <c r="D11" s="100" t="n">
        <v>0</v>
      </c>
      <c r="E11" s="40">
        <f>D11/1.16</f>
        <v/>
      </c>
      <c r="F11" s="40">
        <f>D11/J11</f>
        <v/>
      </c>
      <c r="G11" s="40">
        <f>F11/1.16</f>
        <v/>
      </c>
      <c r="H11" s="92" t="n">
        <v>0</v>
      </c>
      <c r="I11" s="26" t="n">
        <v>0.04</v>
      </c>
      <c r="J11" s="74" t="n">
        <v>3</v>
      </c>
      <c r="K11" s="93" t="n">
        <v>46249</v>
      </c>
      <c r="L11" s="36" t="inlineStr">
        <is>
          <t>BRENDA LOPEZ</t>
        </is>
      </c>
      <c r="M11" s="89" t="n"/>
      <c r="N11" s="38" t="n"/>
    </row>
    <row r="12">
      <c r="A12" s="96" t="inlineStr">
        <is>
          <t>7674357413381737236</t>
        </is>
      </c>
      <c r="B12" s="98" t="inlineStr">
        <is>
          <t>glowandgogirls_</t>
        </is>
      </c>
      <c r="C12" s="40" t="inlineStr">
        <is>
          <t>MX</t>
        </is>
      </c>
      <c r="D12" s="100" t="n">
        <v>605.75</v>
      </c>
      <c r="E12" s="40">
        <f>D12/1.16</f>
        <v/>
      </c>
      <c r="F12" s="40">
        <f>D12/J12</f>
        <v/>
      </c>
      <c r="G12" s="40">
        <f>F12/1.16</f>
        <v/>
      </c>
      <c r="H12" s="92" t="n">
        <v>0</v>
      </c>
      <c r="I12" s="26" t="n">
        <v>4.18</v>
      </c>
      <c r="J12" s="74" t="n">
        <v>3</v>
      </c>
      <c r="K12" s="93" t="n">
        <v>46249</v>
      </c>
      <c r="L12" s="36" t="inlineStr">
        <is>
          <t>BRENDA LOPEZ</t>
        </is>
      </c>
      <c r="M12" s="89" t="n"/>
      <c r="N12" s="38" t="n"/>
    </row>
    <row r="13">
      <c r="A13" s="96" t="inlineStr">
        <is>
          <t>7675049614932495112</t>
        </is>
      </c>
      <c r="B13" s="98" t="inlineStr">
        <is>
          <t>glowandgogirls_</t>
        </is>
      </c>
      <c r="C13" s="40" t="inlineStr">
        <is>
          <t>MX</t>
        </is>
      </c>
      <c r="D13" s="100" t="n">
        <v>248.47</v>
      </c>
      <c r="E13" s="40">
        <f>D13/1.16</f>
        <v/>
      </c>
      <c r="F13" s="40">
        <f>D13/J13</f>
        <v/>
      </c>
      <c r="G13" s="40">
        <f>F13/1.16</f>
        <v/>
      </c>
      <c r="H13" s="92" t="n">
        <v>0</v>
      </c>
      <c r="I13" s="26" t="n">
        <v>4.02</v>
      </c>
      <c r="J13" s="74" t="n">
        <v>3</v>
      </c>
      <c r="K13" s="93" t="n">
        <v>46251</v>
      </c>
      <c r="L13" s="36" t="inlineStr">
        <is>
          <t>BRENDA LOPEZ</t>
        </is>
      </c>
      <c r="M13" s="89" t="n"/>
      <c r="N13" s="38" t="n"/>
    </row>
    <row r="14">
      <c r="A14" s="96" t="inlineStr">
        <is>
          <t>7675421319030197012</t>
        </is>
      </c>
      <c r="B14" s="98" t="inlineStr">
        <is>
          <t>glowandgogirls_</t>
        </is>
      </c>
      <c r="C14" s="40" t="inlineStr">
        <is>
          <t>MX</t>
        </is>
      </c>
      <c r="D14" s="100" t="n">
        <v>141.55</v>
      </c>
      <c r="E14" s="40">
        <f>D14/1.16</f>
        <v/>
      </c>
      <c r="F14" s="40">
        <f>D14/J14</f>
        <v/>
      </c>
      <c r="G14" s="40">
        <f>F14/1.16</f>
        <v/>
      </c>
      <c r="H14" s="92" t="n">
        <v>0</v>
      </c>
      <c r="I14" s="26" t="n">
        <v>4.01</v>
      </c>
      <c r="J14" s="74" t="n">
        <v>3</v>
      </c>
      <c r="K14" s="93" t="n">
        <v>46252</v>
      </c>
      <c r="L14" s="36" t="inlineStr">
        <is>
          <t>BRENDA LOPEZ</t>
        </is>
      </c>
      <c r="M14" s="89" t="n"/>
      <c r="N14" s="38" t="n"/>
    </row>
    <row r="15">
      <c r="A15" s="96" t="inlineStr">
        <is>
          <t>7678061066244426517</t>
        </is>
      </c>
      <c r="B15" s="98" t="inlineStr">
        <is>
          <t>glowandgogirls_</t>
        </is>
      </c>
      <c r="C15" s="40" t="inlineStr">
        <is>
          <t>MX</t>
        </is>
      </c>
      <c r="D15" s="100" t="n">
        <v>0</v>
      </c>
      <c r="E15" s="40">
        <f>D15/1.16</f>
        <v/>
      </c>
      <c r="F15" s="40">
        <f>D15/J15</f>
        <v/>
      </c>
      <c r="G15" s="40">
        <f>F15/1.16</f>
        <v/>
      </c>
      <c r="H15" s="92" t="n">
        <v>0</v>
      </c>
      <c r="I15" s="26" t="n">
        <v>0.04</v>
      </c>
      <c r="J15" s="74" t="n">
        <v>3</v>
      </c>
      <c r="K15" s="93" t="n">
        <v>46259</v>
      </c>
      <c r="L15" s="36" t="inlineStr">
        <is>
          <t>BRENDA LOPEZ</t>
        </is>
      </c>
      <c r="M15" s="89" t="n"/>
      <c r="N15" s="38" t="n"/>
    </row>
    <row r="16">
      <c r="A16" s="96" t="inlineStr">
        <is>
          <t>7678061795596749588</t>
        </is>
      </c>
      <c r="B16" s="98" t="inlineStr">
        <is>
          <t>glowandgogirls_</t>
        </is>
      </c>
      <c r="C16" s="40" t="inlineStr">
        <is>
          <t>MX</t>
        </is>
      </c>
      <c r="D16" s="100" t="n">
        <v>0</v>
      </c>
      <c r="E16" s="40">
        <f>D16/1.16</f>
        <v/>
      </c>
      <c r="F16" s="40">
        <f>D16/J16</f>
        <v/>
      </c>
      <c r="G16" s="40">
        <f>F16/1.16</f>
        <v/>
      </c>
      <c r="H16" s="92" t="n">
        <v>0</v>
      </c>
      <c r="I16" s="26" t="n">
        <v>5.02</v>
      </c>
      <c r="J16" s="74" t="n">
        <v>3</v>
      </c>
      <c r="K16" s="93" t="n">
        <v>46259</v>
      </c>
      <c r="L16" s="36" t="inlineStr">
        <is>
          <t>BRENDA LOPEZ</t>
        </is>
      </c>
      <c r="M16" s="89" t="n"/>
      <c r="N16" s="38" t="n"/>
    </row>
    <row r="17">
      <c r="A17" s="96" t="inlineStr">
        <is>
          <t>7678805127541279496</t>
        </is>
      </c>
      <c r="B17" s="98" t="inlineStr">
        <is>
          <t>glowandgogirls_</t>
        </is>
      </c>
      <c r="C17" s="40" t="inlineStr">
        <is>
          <t>MX</t>
        </is>
      </c>
      <c r="D17" s="100" t="n">
        <v>0</v>
      </c>
      <c r="E17" s="40">
        <f>D17/1.16</f>
        <v/>
      </c>
      <c r="F17" s="40">
        <f>D17/J17</f>
        <v/>
      </c>
      <c r="G17" s="40">
        <f>F17/1.16</f>
        <v/>
      </c>
      <c r="H17" s="92" t="n">
        <v>0</v>
      </c>
      <c r="I17" s="26" t="n">
        <v>0.15</v>
      </c>
      <c r="J17" s="74" t="n">
        <v>3</v>
      </c>
      <c r="K17" s="93" t="n">
        <v>46261</v>
      </c>
      <c r="L17" s="36" t="inlineStr">
        <is>
          <t>BRENDA LOPEZ</t>
        </is>
      </c>
      <c r="M17" s="89" t="n"/>
      <c r="N17" s="38" t="n"/>
    </row>
    <row r="18">
      <c r="A18" s="96" t="inlineStr">
        <is>
          <t>7678807685187193620</t>
        </is>
      </c>
      <c r="B18" s="98" t="inlineStr">
        <is>
          <t>glowandgogirls_</t>
        </is>
      </c>
      <c r="C18" s="40" t="inlineStr">
        <is>
          <t>MX</t>
        </is>
      </c>
      <c r="D18" s="100" t="n">
        <v>436</v>
      </c>
      <c r="E18" s="40">
        <f>D18/1.16</f>
        <v/>
      </c>
      <c r="F18" s="40">
        <f>D18/J18</f>
        <v/>
      </c>
      <c r="G18" s="40">
        <f>F18/1.16</f>
        <v/>
      </c>
      <c r="H18" s="92" t="n">
        <v>0</v>
      </c>
      <c r="I18" s="26" t="n">
        <v>5.04</v>
      </c>
      <c r="J18" s="74" t="n">
        <v>3</v>
      </c>
      <c r="K18" s="93" t="n">
        <v>46261</v>
      </c>
      <c r="L18" s="36" t="inlineStr">
        <is>
          <t>BRENDA LOPEZ</t>
        </is>
      </c>
      <c r="M18" s="89" t="n"/>
      <c r="N18" s="38" t="n"/>
    </row>
  </sheetData>
  <dataValidations count="1">
    <dataValidation sqref="L2:L18" showDropDown="0" showInputMessage="0" showErrorMessage="1" allowBlank="1" type="list">
      <formula1>"BRENDA LOPEZ,JORGE,Ari"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N37"/>
  <sheetViews>
    <sheetView workbookViewId="0">
      <selection activeCell="A1" sqref="A1"/>
    </sheetView>
  </sheetViews>
  <sheetFormatPr baseColWidth="8" defaultColWidth="12.63" defaultRowHeight="15.75" customHeight="1"/>
  <cols>
    <col width="20.25" customWidth="1" style="118" min="1" max="1"/>
    <col width="19.88" customWidth="1" style="118" min="2" max="2"/>
    <col width="21.13" customWidth="1" style="118" min="3" max="3"/>
    <col width="23.25" customWidth="1" style="118" min="4" max="4"/>
    <col width="21" customWidth="1" style="118" min="5" max="5"/>
    <col width="21.25" customWidth="1" style="118" min="6" max="6"/>
    <col width="19" customWidth="1" style="118" min="7" max="7"/>
    <col width="18.63" customWidth="1" style="118" min="8" max="8"/>
    <col width="20.25" customWidth="1" style="118" min="14" max="14"/>
  </cols>
  <sheetData>
    <row r="1">
      <c r="A1" s="7" t="inlineStr">
        <is>
          <t>Room ID</t>
        </is>
      </c>
      <c r="B1" s="7" t="inlineStr">
        <is>
          <t>TT Handle</t>
        </is>
      </c>
      <c r="C1" s="7" t="inlineStr">
        <is>
          <t>Country</t>
        </is>
      </c>
      <c r="D1" s="7" t="inlineStr">
        <is>
          <t>GMV</t>
        </is>
      </c>
      <c r="E1" s="7" t="inlineStr">
        <is>
          <t>GMV/sin EVA</t>
        </is>
      </c>
      <c r="F1" s="7" t="inlineStr">
        <is>
          <t>GMV PER HOUR</t>
        </is>
      </c>
      <c r="G1" s="7" t="inlineStr">
        <is>
          <t>GMV PER HOUR/sin EVA</t>
        </is>
      </c>
      <c r="H1" s="7" t="inlineStr">
        <is>
          <t>Ads Cost</t>
        </is>
      </c>
      <c r="I1" s="7" t="inlineStr">
        <is>
          <t>Duration (H)</t>
        </is>
      </c>
      <c r="J1" s="28" t="inlineStr">
        <is>
          <t>Duration （Formula）</t>
        </is>
      </c>
      <c r="K1" s="58" t="inlineStr">
        <is>
          <t>Start date</t>
        </is>
      </c>
      <c r="L1" s="71" t="inlineStr">
        <is>
          <t>HOST1</t>
        </is>
      </c>
      <c r="M1" s="71" t="inlineStr">
        <is>
          <t xml:space="preserve">HOST 2 </t>
        </is>
      </c>
      <c r="N1" s="71" t="inlineStr">
        <is>
          <t>Operator</t>
        </is>
      </c>
    </row>
    <row r="2">
      <c r="A2" s="96" t="inlineStr">
        <is>
          <t>7683250254837304084</t>
        </is>
      </c>
      <c r="B2" s="98" t="inlineStr">
        <is>
          <t>reino_de_aromas</t>
        </is>
      </c>
      <c r="C2" s="40" t="inlineStr">
        <is>
          <t>MX</t>
        </is>
      </c>
      <c r="D2" s="100" t="n">
        <v>653.3200000000001</v>
      </c>
      <c r="E2" s="40">
        <f>D2/1.16</f>
        <v/>
      </c>
      <c r="F2" s="40">
        <f>D2/I2</f>
        <v/>
      </c>
      <c r="G2" s="40">
        <f>F2/1.16</f>
        <v/>
      </c>
      <c r="H2" s="92" t="n">
        <v>0</v>
      </c>
      <c r="I2" s="26" t="n">
        <v>2.93</v>
      </c>
      <c r="J2" s="89">
        <f>LET(dec, I2-INT(I2), IF(dec&lt;0.1, INT(I2), IF(dec&lt;=0.7, INT(I2)+0.5, INT(I2)+1)))</f>
        <v/>
      </c>
      <c r="K2" s="93" t="n">
        <v>46273</v>
      </c>
      <c r="L2" s="89" t="inlineStr">
        <is>
          <t>AISHA</t>
        </is>
      </c>
      <c r="M2" s="89" t="n"/>
      <c r="N2" s="38" t="inlineStr">
        <is>
          <t>RODRIGO LOPEZ</t>
        </is>
      </c>
    </row>
    <row r="3">
      <c r="A3" s="96" t="inlineStr">
        <is>
          <t>7683612263294487314</t>
        </is>
      </c>
      <c r="B3" s="98" t="inlineStr">
        <is>
          <t>reino_de_aromas</t>
        </is>
      </c>
      <c r="C3" s="40" t="inlineStr">
        <is>
          <t>MX</t>
        </is>
      </c>
      <c r="D3" s="100" t="n">
        <v>3406.32</v>
      </c>
      <c r="E3" s="40">
        <f>D3/1.16</f>
        <v/>
      </c>
      <c r="F3" s="40">
        <f>D3/I3</f>
        <v/>
      </c>
      <c r="G3" s="40">
        <f>F3/1.16</f>
        <v/>
      </c>
      <c r="H3" s="92" t="n">
        <v>0</v>
      </c>
      <c r="I3" s="26" t="n">
        <v>4</v>
      </c>
      <c r="J3" s="89">
        <f>LET(dec, I3-INT(I3), IF(dec&lt;0.1, INT(I3), IF(dec&lt;=0.7, INT(I3)+0.5, INT(I3)+1)))</f>
        <v/>
      </c>
      <c r="K3" s="93" t="n">
        <v>46274</v>
      </c>
      <c r="L3" s="89" t="inlineStr">
        <is>
          <t>AISHA</t>
        </is>
      </c>
      <c r="M3" s="89" t="n"/>
      <c r="N3" s="38" t="inlineStr">
        <is>
          <t>RODRIGO LOPEZ</t>
        </is>
      </c>
    </row>
    <row r="4">
      <c r="A4" s="96" t="inlineStr">
        <is>
          <t>7683983397135321877</t>
        </is>
      </c>
      <c r="B4" s="98" t="inlineStr">
        <is>
          <t>reino_de_aromas</t>
        </is>
      </c>
      <c r="C4" s="40" t="inlineStr">
        <is>
          <t>MX</t>
        </is>
      </c>
      <c r="D4" s="100" t="n">
        <v>3067.13</v>
      </c>
      <c r="E4" s="40">
        <f>D4/1.16</f>
        <v/>
      </c>
      <c r="F4" s="40">
        <f>D4/I4</f>
        <v/>
      </c>
      <c r="G4" s="40">
        <f>F4/1.16</f>
        <v/>
      </c>
      <c r="H4" s="92" t="n">
        <v>0</v>
      </c>
      <c r="I4" s="26" t="n">
        <v>4</v>
      </c>
      <c r="J4" s="89">
        <f>LET(dec, I4-INT(I4), IF(dec&lt;0.1, INT(I4), IF(dec&lt;=0.7, INT(I4)+0.5, INT(I4)+1)))</f>
        <v/>
      </c>
      <c r="K4" s="93" t="n">
        <v>46275</v>
      </c>
      <c r="L4" s="89" t="inlineStr">
        <is>
          <t>AISHA</t>
        </is>
      </c>
      <c r="M4" s="89" t="n"/>
      <c r="N4" s="38" t="inlineStr">
        <is>
          <t>RODRIGO LOPEZ</t>
        </is>
      </c>
    </row>
    <row r="5">
      <c r="A5" s="96" t="inlineStr">
        <is>
          <t>7684339001855757076</t>
        </is>
      </c>
      <c r="B5" s="98" t="inlineStr">
        <is>
          <t>reino_de_aromas</t>
        </is>
      </c>
      <c r="C5" s="40" t="inlineStr">
        <is>
          <t>MX</t>
        </is>
      </c>
      <c r="D5" s="100" t="n">
        <v>10811.34</v>
      </c>
      <c r="E5" s="40">
        <f>D5/1.16</f>
        <v/>
      </c>
      <c r="F5" s="40">
        <f>D5/I5</f>
        <v/>
      </c>
      <c r="G5" s="40">
        <f>F5/1.16</f>
        <v/>
      </c>
      <c r="H5" s="92" t="n">
        <v>0</v>
      </c>
      <c r="I5" s="26" t="n">
        <v>4</v>
      </c>
      <c r="J5" s="89">
        <f>LET(dec, I5-INT(I5), IF(dec&lt;0.1, INT(I5), IF(dec&lt;=0.7, INT(I5)+0.5, INT(I5)+1)))</f>
        <v/>
      </c>
      <c r="K5" s="93" t="n">
        <v>46276</v>
      </c>
      <c r="L5" s="89" t="inlineStr">
        <is>
          <t>AISHA</t>
        </is>
      </c>
      <c r="M5" s="89" t="n"/>
      <c r="N5" s="38" t="inlineStr">
        <is>
          <t>RODRIGO LOPEZ</t>
        </is>
      </c>
    </row>
    <row r="6">
      <c r="A6" s="96" t="inlineStr">
        <is>
          <t>7685452155868334868</t>
        </is>
      </c>
      <c r="B6" s="98" t="inlineStr">
        <is>
          <t>reino_de_aromas</t>
        </is>
      </c>
      <c r="C6" s="40" t="inlineStr">
        <is>
          <t>MX</t>
        </is>
      </c>
      <c r="D6" s="100" t="n">
        <v>9101.610000000001</v>
      </c>
      <c r="E6" s="40">
        <f>D6/1.16</f>
        <v/>
      </c>
      <c r="F6" s="40">
        <f>D6/I6</f>
        <v/>
      </c>
      <c r="G6" s="40">
        <f>F6/1.16</f>
        <v/>
      </c>
      <c r="H6" s="92" t="n">
        <v>0</v>
      </c>
      <c r="I6" s="26" t="n">
        <v>5</v>
      </c>
      <c r="J6" s="89">
        <f>LET(dec, I6-INT(I6), IF(dec&lt;0.1, INT(I6), IF(dec&lt;=0.7, INT(I6)+0.5, INT(I6)+1)))</f>
        <v/>
      </c>
      <c r="K6" s="93" t="n">
        <v>46279</v>
      </c>
      <c r="L6" s="89" t="inlineStr">
        <is>
          <t>AISHA</t>
        </is>
      </c>
      <c r="M6" s="89" t="n"/>
      <c r="N6" s="38" t="inlineStr">
        <is>
          <t>RODRIGO LOPEZ</t>
        </is>
      </c>
    </row>
    <row r="7">
      <c r="A7" s="96" t="inlineStr">
        <is>
          <t>7685823278338476820</t>
        </is>
      </c>
      <c r="B7" s="98" t="inlineStr">
        <is>
          <t>reino_de_aromas</t>
        </is>
      </c>
      <c r="C7" s="40" t="inlineStr">
        <is>
          <t>MX</t>
        </is>
      </c>
      <c r="D7" s="100" t="n">
        <v>9702.59</v>
      </c>
      <c r="E7" s="40">
        <f>D7/1.16</f>
        <v/>
      </c>
      <c r="F7" s="40">
        <f>D7/I7</f>
        <v/>
      </c>
      <c r="G7" s="40">
        <f>F7/1.16</f>
        <v/>
      </c>
      <c r="H7" s="92" t="n">
        <v>0</v>
      </c>
      <c r="I7" s="26" t="n">
        <v>5.04</v>
      </c>
      <c r="J7" s="89">
        <f>LET(dec, I7-INT(I7), IF(dec&lt;0.1, INT(I7), IF(dec&lt;=0.7, INT(I7)+0.5, INT(I7)+1)))</f>
        <v/>
      </c>
      <c r="K7" s="93" t="n">
        <v>46280</v>
      </c>
      <c r="L7" s="89" t="inlineStr">
        <is>
          <t>AISHA</t>
        </is>
      </c>
      <c r="M7" s="89" t="n"/>
      <c r="N7" s="38" t="inlineStr">
        <is>
          <t>RODRIGO LOPEZ</t>
        </is>
      </c>
    </row>
    <row r="8">
      <c r="A8" s="96" t="inlineStr">
        <is>
          <t>7686565295428094738</t>
        </is>
      </c>
      <c r="B8" s="98" t="inlineStr">
        <is>
          <t>reino_de_aromas</t>
        </is>
      </c>
      <c r="C8" s="40" t="inlineStr">
        <is>
          <t>MX</t>
        </is>
      </c>
      <c r="D8" s="100" t="n">
        <v>11502.99</v>
      </c>
      <c r="E8" s="40">
        <f>D8/1.16</f>
        <v/>
      </c>
      <c r="F8" s="40">
        <f>D8/I8</f>
        <v/>
      </c>
      <c r="G8" s="40">
        <f>F8/1.16</f>
        <v/>
      </c>
      <c r="H8" s="92" t="n">
        <v>0</v>
      </c>
      <c r="I8" s="26" t="n">
        <v>5.01</v>
      </c>
      <c r="J8" s="89">
        <f>LET(dec, I8-INT(I8), IF(dec&lt;0.1, INT(I8), IF(dec&lt;=0.7, INT(I8)+0.5, INT(I8)+1)))</f>
        <v/>
      </c>
      <c r="K8" s="93" t="n">
        <v>46282</v>
      </c>
      <c r="L8" s="89" t="inlineStr">
        <is>
          <t>AISHA</t>
        </is>
      </c>
      <c r="M8" s="89" t="n"/>
      <c r="N8" s="38" t="inlineStr">
        <is>
          <t>RODRIGO LOPEZ</t>
        </is>
      </c>
    </row>
    <row r="9">
      <c r="A9" s="96" t="inlineStr">
        <is>
          <t>7686938476016929543</t>
        </is>
      </c>
      <c r="B9" s="98" t="inlineStr">
        <is>
          <t>reino_de_aromas</t>
        </is>
      </c>
      <c r="C9" s="40" t="inlineStr">
        <is>
          <t>MX</t>
        </is>
      </c>
      <c r="D9" s="100" t="n">
        <v>13428.27</v>
      </c>
      <c r="E9" s="40">
        <f>D9/1.16</f>
        <v/>
      </c>
      <c r="F9" s="40">
        <f>D9/I9</f>
        <v/>
      </c>
      <c r="G9" s="40">
        <f>F9/1.16</f>
        <v/>
      </c>
      <c r="H9" s="92" t="n">
        <v>0</v>
      </c>
      <c r="I9" s="26" t="n">
        <v>5</v>
      </c>
      <c r="J9" s="89">
        <f>LET(dec, I9-INT(I9), IF(dec&lt;0.1, INT(I9), IF(dec&lt;=0.7, INT(I9)+0.5, INT(I9)+1)))</f>
        <v/>
      </c>
      <c r="K9" s="93" t="n">
        <v>46283</v>
      </c>
      <c r="L9" s="89" t="inlineStr">
        <is>
          <t>AISHA</t>
        </is>
      </c>
      <c r="M9" s="89" t="n"/>
      <c r="N9" s="38" t="inlineStr">
        <is>
          <t>RODRIGO LOPEZ</t>
        </is>
      </c>
    </row>
    <row r="10">
      <c r="A10" s="96" t="inlineStr">
        <is>
          <t>7688051556847700744</t>
        </is>
      </c>
      <c r="B10" s="98" t="inlineStr">
        <is>
          <t>reino_de_aromas</t>
        </is>
      </c>
      <c r="C10" s="40" t="inlineStr">
        <is>
          <t>MX</t>
        </is>
      </c>
      <c r="D10" s="100" t="n">
        <v>16536.36</v>
      </c>
      <c r="E10" s="40">
        <f>D10/1.16</f>
        <v/>
      </c>
      <c r="F10" s="40">
        <f>D10/I10</f>
        <v/>
      </c>
      <c r="G10" s="40">
        <f>F10/1.16</f>
        <v/>
      </c>
      <c r="H10" s="92" t="n">
        <v>0</v>
      </c>
      <c r="I10" s="26" t="n">
        <v>5</v>
      </c>
      <c r="J10" s="89">
        <f>LET(dec, I10-INT(I10), IF(dec&lt;0.1, INT(I10), IF(dec&lt;=0.7, INT(I10)+0.5, INT(I10)+1)))</f>
        <v/>
      </c>
      <c r="K10" s="93" t="n">
        <v>46286</v>
      </c>
      <c r="L10" s="89" t="inlineStr">
        <is>
          <t>AISHA</t>
        </is>
      </c>
      <c r="M10" s="89" t="n"/>
      <c r="N10" s="38" t="inlineStr">
        <is>
          <t>RODRIGO LOPEZ</t>
        </is>
      </c>
    </row>
    <row r="11">
      <c r="A11" s="96" t="inlineStr">
        <is>
          <t>7688421390722206472</t>
        </is>
      </c>
      <c r="B11" s="98" t="inlineStr">
        <is>
          <t>reino_de_aromas</t>
        </is>
      </c>
      <c r="C11" s="40" t="inlineStr">
        <is>
          <t>MX</t>
        </is>
      </c>
      <c r="D11" s="100" t="n">
        <v>18015.73</v>
      </c>
      <c r="E11" s="40">
        <f>D11/1.16</f>
        <v/>
      </c>
      <c r="F11" s="40">
        <f>D11/I11</f>
        <v/>
      </c>
      <c r="G11" s="40">
        <f>F11/1.16</f>
        <v/>
      </c>
      <c r="H11" s="92" t="n">
        <v>0</v>
      </c>
      <c r="I11" s="26" t="n">
        <v>5</v>
      </c>
      <c r="J11" s="89">
        <f>LET(dec, I11-INT(I11), IF(dec&lt;0.1, INT(I11), IF(dec&lt;=0.7, INT(I11)+0.5, INT(I11)+1)))</f>
        <v/>
      </c>
      <c r="K11" s="93" t="n">
        <v>46287</v>
      </c>
      <c r="L11" s="89" t="inlineStr">
        <is>
          <t>AISHA</t>
        </is>
      </c>
      <c r="M11" s="89" t="n"/>
      <c r="N11" s="38" t="inlineStr">
        <is>
          <t>RODRIGO LOPEZ</t>
        </is>
      </c>
    </row>
    <row r="12">
      <c r="A12" s="96" t="inlineStr">
        <is>
          <t>7688791926169996052</t>
        </is>
      </c>
      <c r="B12" s="98" t="inlineStr">
        <is>
          <t>reino_de_aromas</t>
        </is>
      </c>
      <c r="C12" s="40" t="inlineStr">
        <is>
          <t>MX</t>
        </is>
      </c>
      <c r="D12" s="100" t="n">
        <v>19360.44</v>
      </c>
      <c r="E12" s="40">
        <f>D12/1.16</f>
        <v/>
      </c>
      <c r="F12" s="40">
        <f>D12/I12</f>
        <v/>
      </c>
      <c r="G12" s="40">
        <f>F12/1.16</f>
        <v/>
      </c>
      <c r="H12" s="92" t="n">
        <v>0</v>
      </c>
      <c r="I12" s="26" t="n">
        <v>5.01</v>
      </c>
      <c r="J12" s="89">
        <f>LET(dec, I12-INT(I12), IF(dec&lt;0.1, INT(I12), IF(dec&lt;=0.7, INT(I12)+0.5, INT(I12)+1)))</f>
        <v/>
      </c>
      <c r="K12" s="93" t="n">
        <v>46288</v>
      </c>
      <c r="L12" s="89" t="inlineStr">
        <is>
          <t>AISHA</t>
        </is>
      </c>
      <c r="M12" s="89" t="n"/>
      <c r="N12" s="38" t="inlineStr">
        <is>
          <t>RODRIGO LOPEZ</t>
        </is>
      </c>
    </row>
    <row r="13">
      <c r="A13" s="96" t="inlineStr">
        <is>
          <t>7689147553132858133</t>
        </is>
      </c>
      <c r="B13" s="98" t="inlineStr">
        <is>
          <t>reino_de_aromas</t>
        </is>
      </c>
      <c r="C13" s="40" t="inlineStr">
        <is>
          <t>MX</t>
        </is>
      </c>
      <c r="D13" s="100" t="n">
        <v>12448.32</v>
      </c>
      <c r="E13" s="40">
        <f>D13/1.16</f>
        <v/>
      </c>
      <c r="F13" s="40">
        <f>D13/I13</f>
        <v/>
      </c>
      <c r="G13" s="40">
        <f>F13/1.16</f>
        <v/>
      </c>
      <c r="H13" s="92" t="n">
        <v>0</v>
      </c>
      <c r="I13" s="26" t="n">
        <v>5</v>
      </c>
      <c r="J13" s="89">
        <f>LET(dec, I13-INT(I13), IF(dec&lt;0.1, INT(I13), IF(dec&lt;=0.7, INT(I13)+0.5, INT(I13)+1)))</f>
        <v/>
      </c>
      <c r="K13" s="93" t="n">
        <v>46289</v>
      </c>
      <c r="L13" s="89" t="inlineStr">
        <is>
          <t>AISHA</t>
        </is>
      </c>
      <c r="M13" s="89" t="n"/>
      <c r="N13" s="38" t="inlineStr">
        <is>
          <t>RODRIGO LOPEZ</t>
        </is>
      </c>
    </row>
    <row r="14">
      <c r="A14" s="96" t="inlineStr">
        <is>
          <t>7689534222369475349</t>
        </is>
      </c>
      <c r="B14" s="98" t="inlineStr">
        <is>
          <t>reino_de_aromas</t>
        </is>
      </c>
      <c r="C14" s="40" t="inlineStr">
        <is>
          <t>MX</t>
        </is>
      </c>
      <c r="D14" s="100" t="n">
        <v>12097.97</v>
      </c>
      <c r="E14" s="40">
        <f>D14/1.16</f>
        <v/>
      </c>
      <c r="F14" s="40">
        <f>D14/I14</f>
        <v/>
      </c>
      <c r="G14" s="40">
        <f>F14/1.16</f>
        <v/>
      </c>
      <c r="H14" s="92" t="n">
        <v>0</v>
      </c>
      <c r="I14" s="26" t="n">
        <v>8</v>
      </c>
      <c r="J14" s="89">
        <f>LET(dec, I14-INT(I14), IF(dec&lt;0.1, INT(I14), IF(dec&lt;=0.7, INT(I14)+0.5, INT(I14)+1)))</f>
        <v/>
      </c>
      <c r="K14" s="93" t="n">
        <v>46290</v>
      </c>
      <c r="L14" s="89" t="inlineStr">
        <is>
          <t>AISHA</t>
        </is>
      </c>
      <c r="M14" s="89" t="n"/>
      <c r="N14" s="38" t="inlineStr">
        <is>
          <t>RODRIGO LOPEZ</t>
        </is>
      </c>
    </row>
    <row r="16">
      <c r="A16" s="7" t="inlineStr">
        <is>
          <t>Room ID</t>
        </is>
      </c>
      <c r="B16" s="7" t="inlineStr">
        <is>
          <t>TT Handle</t>
        </is>
      </c>
      <c r="C16" s="7" t="inlineStr">
        <is>
          <t>Country</t>
        </is>
      </c>
      <c r="D16" s="7" t="inlineStr">
        <is>
          <t>GMV</t>
        </is>
      </c>
      <c r="E16" s="7" t="inlineStr">
        <is>
          <t>GMV/sin EVA</t>
        </is>
      </c>
      <c r="F16" s="7" t="inlineStr">
        <is>
          <t>GMV PER HOUR</t>
        </is>
      </c>
      <c r="G16" s="7" t="inlineStr">
        <is>
          <t>GMV PER HOUR/sin EVA</t>
        </is>
      </c>
      <c r="H16" s="7" t="inlineStr">
        <is>
          <t>Ads Cost</t>
        </is>
      </c>
      <c r="I16" s="7" t="inlineStr">
        <is>
          <t>Duration (H)</t>
        </is>
      </c>
      <c r="J16" s="28" t="inlineStr">
        <is>
          <t>Duration （Formula）</t>
        </is>
      </c>
      <c r="K16" s="58" t="inlineStr">
        <is>
          <t>Start date</t>
        </is>
      </c>
      <c r="L16" s="71" t="inlineStr">
        <is>
          <t>HOST1</t>
        </is>
      </c>
      <c r="M16" s="71" t="inlineStr">
        <is>
          <t xml:space="preserve">HOST 2 </t>
        </is>
      </c>
      <c r="N16" s="71" t="inlineStr">
        <is>
          <t>Operator</t>
        </is>
      </c>
    </row>
    <row r="17">
      <c r="A17" s="96" t="inlineStr">
        <is>
          <t>7690647590070176533</t>
        </is>
      </c>
      <c r="B17" s="98" t="inlineStr">
        <is>
          <t>reino_de_aromas</t>
        </is>
      </c>
      <c r="C17" s="40" t="inlineStr">
        <is>
          <t>MX</t>
        </is>
      </c>
      <c r="D17" s="100" t="n">
        <v>10423.74</v>
      </c>
      <c r="E17" s="40">
        <f>D17/1.16</f>
        <v/>
      </c>
      <c r="F17" s="40">
        <f>IFERROR(D17/J17,0)</f>
        <v/>
      </c>
      <c r="G17" s="40">
        <f>F17/1.16</f>
        <v/>
      </c>
      <c r="H17" s="92" t="n"/>
      <c r="I17" s="26" t="n">
        <v>5</v>
      </c>
      <c r="J17" s="89">
        <f>IF(I17-INT(I17)&lt;0.1,INT(I17),IF(I17-INT(I17)&lt;=0.7,INT(I17)+0.5,INT(I17)+1))</f>
        <v/>
      </c>
      <c r="K17" s="93" t="n">
        <v>46293</v>
      </c>
      <c r="L17" s="89" t="inlineStr">
        <is>
          <t>AISHA</t>
        </is>
      </c>
      <c r="M17" s="89" t="n"/>
      <c r="N17" s="38" t="inlineStr">
        <is>
          <t>RODRIGO LOPEZ</t>
        </is>
      </c>
    </row>
    <row r="18">
      <c r="A18" s="96" t="inlineStr">
        <is>
          <t>7690973650976656148</t>
        </is>
      </c>
      <c r="B18" s="98" t="inlineStr">
        <is>
          <t>reino_de_aromas</t>
        </is>
      </c>
      <c r="C18" s="40" t="inlineStr">
        <is>
          <t>MX</t>
        </is>
      </c>
      <c r="D18" s="100" t="n">
        <v>9314.74</v>
      </c>
      <c r="E18" s="40">
        <f>D18/1.16</f>
        <v/>
      </c>
      <c r="F18" s="40">
        <f>IFERROR(D18/J18,0)</f>
        <v/>
      </c>
      <c r="G18" s="40">
        <f>F18/1.16</f>
        <v/>
      </c>
      <c r="H18" s="92" t="n"/>
      <c r="I18" s="26" t="n">
        <v>5</v>
      </c>
      <c r="J18" s="89">
        <f>IF(I18-INT(I18)&lt;0.1,INT(I18),IF(I18-INT(I18)&lt;=0.7,INT(I18)+0.5,INT(I18)+1))</f>
        <v/>
      </c>
      <c r="K18" s="93" t="n">
        <v>46294</v>
      </c>
      <c r="L18" s="89" t="inlineStr">
        <is>
          <t>AISHA</t>
        </is>
      </c>
      <c r="M18" s="89" t="n"/>
      <c r="N18" s="38" t="inlineStr">
        <is>
          <t>RODRIGO LOPEZ</t>
        </is>
      </c>
    </row>
    <row r="19">
      <c r="A19" s="96" t="inlineStr">
        <is>
          <t>7691389340171979538</t>
        </is>
      </c>
      <c r="B19" s="98" t="inlineStr">
        <is>
          <t>reino_de_aromas</t>
        </is>
      </c>
      <c r="C19" s="40" t="inlineStr">
        <is>
          <t>MX</t>
        </is>
      </c>
      <c r="D19" s="100" t="n">
        <v>26596.03</v>
      </c>
      <c r="E19" s="40">
        <f>D19/1.16</f>
        <v/>
      </c>
      <c r="F19" s="40">
        <f>IFERROR(D19/J19,0)</f>
        <v/>
      </c>
      <c r="G19" s="40">
        <f>F19/1.16</f>
        <v/>
      </c>
      <c r="H19" s="92" t="n"/>
      <c r="I19" s="26" t="n">
        <v>8</v>
      </c>
      <c r="J19" s="89">
        <f>IF(I19-INT(I19)&lt;0.1,INT(I19),IF(I19-INT(I19)&lt;=0.7,INT(I19)+0.5,INT(I19)+1))</f>
        <v/>
      </c>
      <c r="K19" s="93" t="n">
        <v>46295</v>
      </c>
      <c r="L19" s="89" t="inlineStr">
        <is>
          <t>AISHA</t>
        </is>
      </c>
      <c r="M19" s="89" t="n"/>
      <c r="N19" s="38" t="inlineStr">
        <is>
          <t>RODRIGO LOPEZ</t>
        </is>
      </c>
    </row>
    <row r="20">
      <c r="A20" s="96" t="inlineStr">
        <is>
          <t>7691715406012238599</t>
        </is>
      </c>
      <c r="B20" s="98" t="inlineStr">
        <is>
          <t>reino_de_aromas</t>
        </is>
      </c>
      <c r="C20" s="40" t="inlineStr">
        <is>
          <t>MX</t>
        </is>
      </c>
      <c r="D20" s="100" t="n">
        <v>27112.9</v>
      </c>
      <c r="E20" s="40">
        <f>D20/1.16</f>
        <v/>
      </c>
      <c r="F20" s="40">
        <f>IFERROR(D20/J20,0)</f>
        <v/>
      </c>
      <c r="G20" s="40">
        <f>F20/1.16</f>
        <v/>
      </c>
      <c r="H20" s="92" t="n"/>
      <c r="I20" s="26" t="n">
        <v>5.06</v>
      </c>
      <c r="J20" s="89">
        <f>IF(I20-INT(I20)&lt;0.1,INT(I20),IF(I20-INT(I20)&lt;=0.7,INT(I20)+0.5,INT(I20)+1))</f>
        <v/>
      </c>
      <c r="K20" s="93" t="n">
        <v>46296</v>
      </c>
      <c r="L20" s="89" t="inlineStr">
        <is>
          <t>AISHA</t>
        </is>
      </c>
      <c r="M20" s="89" t="n"/>
      <c r="N20" s="38" t="inlineStr">
        <is>
          <t>RODRIGO LOPEZ</t>
        </is>
      </c>
    </row>
    <row r="21">
      <c r="A21" s="96" t="inlineStr">
        <is>
          <t>7692091713144376084</t>
        </is>
      </c>
      <c r="B21" s="98" t="inlineStr">
        <is>
          <t>reino_de_aromas</t>
        </is>
      </c>
      <c r="C21" s="40" t="inlineStr">
        <is>
          <t>MX</t>
        </is>
      </c>
      <c r="D21" s="100" t="n">
        <v>40887.27</v>
      </c>
      <c r="E21" s="40">
        <f>D21/1.16</f>
        <v/>
      </c>
      <c r="F21" s="40">
        <f>IFERROR(D21/J21,0)</f>
        <v/>
      </c>
      <c r="G21" s="40">
        <f>F21/1.16</f>
        <v/>
      </c>
      <c r="H21" s="92" t="n"/>
      <c r="I21" s="26" t="n">
        <v>10.62</v>
      </c>
      <c r="J21" s="89">
        <f>IF(I21-INT(I21)&lt;0.1,INT(I21),IF(I21-INT(I21)&lt;=0.7,INT(I21)+0.5,INT(I21)+1))</f>
        <v/>
      </c>
      <c r="K21" s="93" t="n">
        <v>46297</v>
      </c>
      <c r="L21" s="89" t="inlineStr">
        <is>
          <t>AISHA</t>
        </is>
      </c>
      <c r="M21" s="89" t="n"/>
      <c r="N21" s="38" t="inlineStr">
        <is>
          <t>RODRIGO LOPEZ</t>
        </is>
      </c>
    </row>
    <row r="22">
      <c r="A22" s="96" t="inlineStr">
        <is>
          <t>7693245029927602962</t>
        </is>
      </c>
      <c r="B22" s="98" t="inlineStr">
        <is>
          <t>reino_de_aromas</t>
        </is>
      </c>
      <c r="C22" s="40" t="inlineStr">
        <is>
          <t>MX</t>
        </is>
      </c>
      <c r="D22" s="100" t="n">
        <v>3528.1</v>
      </c>
      <c r="E22" s="40">
        <f>D22/1.16</f>
        <v/>
      </c>
      <c r="F22" s="40">
        <f>IFERROR(D22/J22,0)</f>
        <v/>
      </c>
      <c r="G22" s="40">
        <f>F22/1.16</f>
        <v/>
      </c>
      <c r="H22" s="92" t="n"/>
      <c r="I22" s="26" t="n">
        <v>5.02</v>
      </c>
      <c r="J22" s="89">
        <f>IF(I22-INT(I22)&lt;0.1,INT(I22),IF(I22-INT(I22)&lt;=0.7,INT(I22)+0.5,INT(I22)+1))</f>
        <v/>
      </c>
      <c r="K22" s="93" t="n">
        <v>46300</v>
      </c>
      <c r="L22" s="89" t="inlineStr">
        <is>
          <t>AISHA</t>
        </is>
      </c>
      <c r="M22" s="89" t="n"/>
      <c r="N22" s="38" t="inlineStr">
        <is>
          <t>MOISES</t>
        </is>
      </c>
    </row>
    <row r="23">
      <c r="A23" s="96" t="inlineStr">
        <is>
          <t>7693987041692601106</t>
        </is>
      </c>
      <c r="B23" s="98" t="inlineStr">
        <is>
          <t>reino_de_aromas</t>
        </is>
      </c>
      <c r="C23" s="40" t="inlineStr">
        <is>
          <t>MX</t>
        </is>
      </c>
      <c r="D23" s="100" t="n">
        <v>26509.98</v>
      </c>
      <c r="E23" s="40">
        <f>D23/1.16</f>
        <v/>
      </c>
      <c r="F23" s="40">
        <f>IFERROR(D23/J23,0)</f>
        <v/>
      </c>
      <c r="G23" s="40">
        <f>F23/1.16</f>
        <v/>
      </c>
      <c r="H23" s="92" t="n"/>
      <c r="I23" s="26" t="n">
        <v>5</v>
      </c>
      <c r="J23" s="89">
        <f>IF(I23-INT(I23)&lt;0.1,INT(I23),IF(I23-INT(I23)&lt;=0.7,INT(I23)+0.5,INT(I23)+1))</f>
        <v/>
      </c>
      <c r="K23" s="93" t="n">
        <v>46302</v>
      </c>
      <c r="L23" s="89" t="inlineStr">
        <is>
          <t>AISHA</t>
        </is>
      </c>
      <c r="M23" s="89" t="n"/>
      <c r="N23" s="38" t="inlineStr">
        <is>
          <t>MOISES</t>
        </is>
      </c>
    </row>
    <row r="24">
      <c r="A24" s="96" t="inlineStr">
        <is>
          <t>7694327463417072392</t>
        </is>
      </c>
      <c r="B24" s="98" t="inlineStr">
        <is>
          <t>reino_de_aromas</t>
        </is>
      </c>
      <c r="C24" s="40" t="inlineStr">
        <is>
          <t>MX</t>
        </is>
      </c>
      <c r="D24" s="100" t="n">
        <v>16054.77</v>
      </c>
      <c r="E24" s="40">
        <f>D24/1.16</f>
        <v/>
      </c>
      <c r="F24" s="40">
        <f>IFERROR(D24/J24,0)</f>
        <v/>
      </c>
      <c r="G24" s="40">
        <f>F24/1.16</f>
        <v/>
      </c>
      <c r="H24" s="92" t="n"/>
      <c r="I24" s="26" t="n">
        <v>5</v>
      </c>
      <c r="J24" s="89">
        <f>IF(I24-INT(I24)&lt;0.1,INT(I24),IF(I24-INT(I24)&lt;=0.7,INT(I24)+0.5,INT(I24)+1))</f>
        <v/>
      </c>
      <c r="K24" s="93" t="n">
        <v>46303</v>
      </c>
      <c r="L24" s="89" t="inlineStr">
        <is>
          <t>AISHA</t>
        </is>
      </c>
      <c r="M24" s="89" t="n"/>
      <c r="N24" s="38" t="inlineStr">
        <is>
          <t>MOISES</t>
        </is>
      </c>
    </row>
    <row r="25">
      <c r="A25" s="96" t="inlineStr">
        <is>
          <t>7694426173024996103</t>
        </is>
      </c>
      <c r="B25" s="98" t="inlineStr">
        <is>
          <t>reino_de_aromas</t>
        </is>
      </c>
      <c r="C25" s="40" t="inlineStr">
        <is>
          <t>MX</t>
        </is>
      </c>
      <c r="D25" s="100" t="n">
        <v>4268.95</v>
      </c>
      <c r="E25" s="40">
        <f>D25/1.16</f>
        <v/>
      </c>
      <c r="F25" s="40">
        <f>IFERROR(D25/J25,0)</f>
        <v/>
      </c>
      <c r="G25" s="40">
        <f>F25/1.16</f>
        <v/>
      </c>
      <c r="H25" s="92" t="n"/>
      <c r="I25" s="26" t="n">
        <v>3.16</v>
      </c>
      <c r="J25" s="89">
        <f>IF(I25-INT(I25)&lt;0.1,INT(I25),IF(I25-INT(I25)&lt;=0.7,INT(I25)+0.5,INT(I25)+1))</f>
        <v/>
      </c>
      <c r="K25" s="93" t="n">
        <v>46303</v>
      </c>
      <c r="L25" s="89" t="inlineStr">
        <is>
          <t>YAYO</t>
        </is>
      </c>
      <c r="M25" s="89" t="n"/>
      <c r="N25" s="38" t="inlineStr">
        <is>
          <t>MOISES</t>
        </is>
      </c>
    </row>
    <row r="26">
      <c r="A26" s="96" t="inlineStr">
        <is>
          <t>7694744645730421522</t>
        </is>
      </c>
      <c r="B26" s="98" t="inlineStr">
        <is>
          <t>reino_de_aromas</t>
        </is>
      </c>
      <c r="C26" s="40" t="inlineStr">
        <is>
          <t>MX</t>
        </is>
      </c>
      <c r="D26" s="100" t="n">
        <v>8559.860000000001</v>
      </c>
      <c r="E26" s="40">
        <f>D26/1.16</f>
        <v/>
      </c>
      <c r="F26" s="40">
        <f>IFERROR(D26/J26,0)</f>
        <v/>
      </c>
      <c r="G26" s="40">
        <f>F26/1.16</f>
        <v/>
      </c>
      <c r="H26" s="92" t="n"/>
      <c r="I26" s="26" t="n">
        <v>5.02</v>
      </c>
      <c r="J26" s="89">
        <f>IF(I26-INT(I26)&lt;0.1,INT(I26),IF(I26-INT(I26)&lt;=0.7,INT(I26)+0.5,INT(I26)+1))</f>
        <v/>
      </c>
      <c r="K26" s="93" t="n">
        <v>46304</v>
      </c>
      <c r="L26" s="89" t="inlineStr">
        <is>
          <t>ALEJANDRA PIER</t>
        </is>
      </c>
      <c r="M26" s="89" t="n"/>
      <c r="N26" s="38" t="inlineStr">
        <is>
          <t>MOISES</t>
        </is>
      </c>
    </row>
    <row r="27">
      <c r="A27" s="96" t="inlineStr">
        <is>
          <t>7696204147632179974</t>
        </is>
      </c>
      <c r="B27" s="98" t="inlineStr">
        <is>
          <t>reino_de_aromas</t>
        </is>
      </c>
      <c r="C27" s="40" t="inlineStr">
        <is>
          <t>MX</t>
        </is>
      </c>
      <c r="D27" s="100" t="n">
        <v>0</v>
      </c>
      <c r="E27" s="40">
        <f>D27/1.16</f>
        <v/>
      </c>
      <c r="F27" s="40">
        <f>IFERROR(D27/J27,0)</f>
        <v/>
      </c>
      <c r="G27" s="40">
        <f>F27/1.16</f>
        <v/>
      </c>
      <c r="H27" s="92" t="n"/>
      <c r="I27" s="26" t="n">
        <v>0</v>
      </c>
      <c r="J27" s="89">
        <f>IF(I27-INT(I27)&lt;0.1,INT(I27),IF(I27-INT(I27)&lt;=0.7,INT(I27)+0.5,INT(I27)+1))</f>
        <v/>
      </c>
      <c r="K27" s="93" t="n">
        <v>46308</v>
      </c>
      <c r="L27" s="89" t="inlineStr">
        <is>
          <t>AISHA</t>
        </is>
      </c>
      <c r="M27" s="89" t="n"/>
      <c r="N27" s="38" t="inlineStr">
        <is>
          <t>MOISES</t>
        </is>
      </c>
    </row>
    <row r="28">
      <c r="A28" s="96" t="inlineStr">
        <is>
          <t>7696212952086203154</t>
        </is>
      </c>
      <c r="B28" s="98" t="inlineStr">
        <is>
          <t>reino_de_aromas</t>
        </is>
      </c>
      <c r="C28" s="40" t="inlineStr">
        <is>
          <t>MX</t>
        </is>
      </c>
      <c r="D28" s="100" t="n">
        <v>7552.78</v>
      </c>
      <c r="E28" s="40">
        <f>D28/1.16</f>
        <v/>
      </c>
      <c r="F28" s="40">
        <f>IFERROR(D28/J28,0)</f>
        <v/>
      </c>
      <c r="G28" s="40">
        <f>F28/1.16</f>
        <v/>
      </c>
      <c r="H28" s="92" t="n"/>
      <c r="I28" s="26" t="n">
        <v>5.04</v>
      </c>
      <c r="J28" s="89">
        <f>IF(I28-INT(I28)&lt;0.1,INT(I28),IF(I28-INT(I28)&lt;=0.7,INT(I28)+0.5,INT(I28)+1))</f>
        <v/>
      </c>
      <c r="K28" s="93" t="n">
        <v>46308</v>
      </c>
      <c r="L28" s="89" t="inlineStr">
        <is>
          <t>AISHA</t>
        </is>
      </c>
      <c r="M28" s="89" t="n"/>
      <c r="N28" s="38" t="inlineStr">
        <is>
          <t>MOISES</t>
        </is>
      </c>
    </row>
    <row r="29">
      <c r="A29" s="96" t="inlineStr">
        <is>
          <t>7696582367687445300</t>
        </is>
      </c>
      <c r="B29" s="98" t="inlineStr">
        <is>
          <t>reino_de_aromas</t>
        </is>
      </c>
      <c r="C29" s="40" t="inlineStr">
        <is>
          <t>MX</t>
        </is>
      </c>
      <c r="D29" s="100" t="n">
        <v>4742.76</v>
      </c>
      <c r="E29" s="40">
        <f>D29/1.16</f>
        <v/>
      </c>
      <c r="F29" s="40">
        <f>IFERROR(D29/J29,0)</f>
        <v/>
      </c>
      <c r="G29" s="40">
        <f>F29/1.16</f>
        <v/>
      </c>
      <c r="H29" s="92" t="n"/>
      <c r="I29" s="26" t="n">
        <v>5.14</v>
      </c>
      <c r="J29" s="89">
        <f>IF(I29-INT(I29)&lt;0.1,INT(I29),IF(I29-INT(I29)&lt;=0.7,INT(I29)+0.5,INT(I29)+1))</f>
        <v/>
      </c>
      <c r="K29" s="93" t="n">
        <v>46309</v>
      </c>
      <c r="L29" s="89" t="inlineStr">
        <is>
          <t>AISHA</t>
        </is>
      </c>
      <c r="M29" s="89" t="n"/>
      <c r="N29" s="38" t="inlineStr">
        <is>
          <t>MOISES</t>
        </is>
      </c>
    </row>
    <row r="30">
      <c r="A30" s="96" t="inlineStr">
        <is>
          <t>7696954549497826066</t>
        </is>
      </c>
      <c r="B30" s="98" t="inlineStr">
        <is>
          <t>reino_de_aromas</t>
        </is>
      </c>
      <c r="C30" s="40" t="inlineStr">
        <is>
          <t>MX</t>
        </is>
      </c>
      <c r="D30" s="100" t="n">
        <v>7671.49</v>
      </c>
      <c r="E30" s="40">
        <f>D30/1.16</f>
        <v/>
      </c>
      <c r="F30" s="40">
        <f>IFERROR(D30/J30,0)</f>
        <v/>
      </c>
      <c r="G30" s="40">
        <f>F30/1.16</f>
        <v/>
      </c>
      <c r="H30" s="92" t="n"/>
      <c r="I30" s="26" t="n">
        <v>5.08</v>
      </c>
      <c r="J30" s="89">
        <f>IF(I30-INT(I30)&lt;0.1,INT(I30),IF(I30-INT(I30)&lt;=0.7,INT(I30)+0.5,INT(I30)+1))</f>
        <v/>
      </c>
      <c r="K30" s="93" t="n">
        <v>46310</v>
      </c>
      <c r="L30" s="89" t="inlineStr">
        <is>
          <t>AISHA</t>
        </is>
      </c>
      <c r="M30" s="89" t="n"/>
      <c r="N30" s="38" t="inlineStr">
        <is>
          <t>MOISES</t>
        </is>
      </c>
    </row>
    <row r="31">
      <c r="A31" s="96" t="inlineStr">
        <is>
          <t>7697282145024002832</t>
        </is>
      </c>
      <c r="B31" s="98" t="inlineStr">
        <is>
          <t>reino_de_aromas</t>
        </is>
      </c>
      <c r="C31" s="40" t="inlineStr">
        <is>
          <t>MX</t>
        </is>
      </c>
      <c r="D31" s="100" t="n">
        <v>49380.39</v>
      </c>
      <c r="E31" s="40">
        <f>D31/1.16</f>
        <v/>
      </c>
      <c r="F31" s="40">
        <f>IFERROR(D31/J31,0)</f>
        <v/>
      </c>
      <c r="G31" s="40">
        <f>F31/1.16</f>
        <v/>
      </c>
      <c r="H31" s="92" t="n"/>
      <c r="I31" s="26" t="n">
        <v>10.95</v>
      </c>
      <c r="J31" s="89">
        <f>IF(I31-INT(I31)&lt;0.1,INT(I31),IF(I31-INT(I31)&lt;=0.7,INT(I31)+0.5,INT(I31)+1))</f>
        <v/>
      </c>
      <c r="K31" s="93" t="n">
        <v>46311</v>
      </c>
      <c r="L31" s="89" t="inlineStr">
        <is>
          <t>AISHA</t>
        </is>
      </c>
      <c r="M31" s="89" t="inlineStr">
        <is>
          <t>ALEJANDRA PIER</t>
        </is>
      </c>
      <c r="N31" s="38" t="inlineStr">
        <is>
          <t>MOISES</t>
        </is>
      </c>
    </row>
    <row r="32">
      <c r="A32" s="96" t="inlineStr">
        <is>
          <t>7698470154023324423</t>
        </is>
      </c>
      <c r="B32" s="98" t="inlineStr">
        <is>
          <t>reino_de_aromas</t>
        </is>
      </c>
      <c r="C32" s="40" t="inlineStr">
        <is>
          <t>MX</t>
        </is>
      </c>
      <c r="D32" s="100" t="n">
        <v>10585.51</v>
      </c>
      <c r="E32" s="40">
        <f>D32/1.16</f>
        <v/>
      </c>
      <c r="F32" s="40">
        <f>IFERROR(D32/J32,0)</f>
        <v/>
      </c>
      <c r="G32" s="40">
        <f>F32/1.16</f>
        <v/>
      </c>
      <c r="H32" s="92" t="n"/>
      <c r="I32" s="26" t="n">
        <v>5.1</v>
      </c>
      <c r="J32" s="89">
        <f>IF(I32-INT(I32)&lt;0.1,INT(I32),IF(I32-INT(I32)&lt;=0.7,INT(I32)+0.5,INT(I32)+1))</f>
        <v/>
      </c>
      <c r="K32" s="93" t="n">
        <v>46314</v>
      </c>
      <c r="L32" s="89" t="inlineStr">
        <is>
          <t>ALEJANDRA PIER</t>
        </is>
      </c>
      <c r="M32" s="89" t="n"/>
      <c r="N32" s="38" t="inlineStr">
        <is>
          <t>MOISES</t>
        </is>
      </c>
    </row>
    <row r="33">
      <c r="A33" s="96" t="inlineStr">
        <is>
          <t>7698811385798462216</t>
        </is>
      </c>
      <c r="B33" s="98" t="inlineStr">
        <is>
          <t>reino_de_aromas</t>
        </is>
      </c>
      <c r="C33" s="40" t="inlineStr">
        <is>
          <t>MX</t>
        </is>
      </c>
      <c r="D33" s="100" t="n">
        <v>9029.610000000001</v>
      </c>
      <c r="E33" s="40">
        <f>D33/1.16</f>
        <v/>
      </c>
      <c r="F33" s="40">
        <f>IFERROR(D33/J33,0)</f>
        <v/>
      </c>
      <c r="G33" s="40">
        <f>F33/1.16</f>
        <v/>
      </c>
      <c r="H33" s="92" t="n"/>
      <c r="I33" s="26" t="n">
        <v>5.02</v>
      </c>
      <c r="J33" s="89">
        <f>IF(I33-INT(I33)&lt;0.1,INT(I33),IF(I33-INT(I33)&lt;=0.7,INT(I33)+0.5,INT(I33)+1))</f>
        <v/>
      </c>
      <c r="K33" s="93" t="n">
        <v>46315</v>
      </c>
      <c r="L33" s="89" t="inlineStr">
        <is>
          <t>AISHA</t>
        </is>
      </c>
      <c r="M33" s="89" t="n"/>
      <c r="N33" s="38" t="inlineStr">
        <is>
          <t>MOISES</t>
        </is>
      </c>
    </row>
    <row r="34">
      <c r="A34" s="96" t="inlineStr">
        <is>
          <t>7699181615837334293</t>
        </is>
      </c>
      <c r="B34" s="98" t="inlineStr">
        <is>
          <t>reino_de_aromas</t>
        </is>
      </c>
      <c r="C34" s="40" t="inlineStr">
        <is>
          <t>MX</t>
        </is>
      </c>
      <c r="D34" s="100" t="n">
        <v>18959.67</v>
      </c>
      <c r="E34" s="40">
        <f>D34/1.16</f>
        <v/>
      </c>
      <c r="F34" s="40">
        <f>IFERROR(D34/J34,0)</f>
        <v/>
      </c>
      <c r="G34" s="40">
        <f>F34/1.16</f>
        <v/>
      </c>
      <c r="H34" s="92" t="n"/>
      <c r="I34" s="26" t="n">
        <v>5.08</v>
      </c>
      <c r="J34" s="89">
        <f>IF(I34-INT(I34)&lt;0.1,INT(I34),IF(I34-INT(I34)&lt;=0.7,INT(I34)+0.5,INT(I34)+1))</f>
        <v/>
      </c>
      <c r="K34" s="93" t="n">
        <v>46316</v>
      </c>
      <c r="L34" s="89" t="inlineStr">
        <is>
          <t>AISHA</t>
        </is>
      </c>
      <c r="M34" s="89" t="n"/>
      <c r="N34" s="38" t="inlineStr">
        <is>
          <t>MOISES</t>
        </is>
      </c>
    </row>
    <row r="35">
      <c r="A35" s="96" t="inlineStr">
        <is>
          <t>7699553376560368405</t>
        </is>
      </c>
      <c r="B35" s="98" t="inlineStr">
        <is>
          <t>reino_de_aromas</t>
        </is>
      </c>
      <c r="C35" s="40" t="inlineStr">
        <is>
          <t>MX</t>
        </is>
      </c>
      <c r="D35" s="100" t="n">
        <v>16030.11</v>
      </c>
      <c r="E35" s="40">
        <f>D35/1.16</f>
        <v/>
      </c>
      <c r="F35" s="40">
        <f>IFERROR(D35/J35,0)</f>
        <v/>
      </c>
      <c r="G35" s="40">
        <f>F35/1.16</f>
        <v/>
      </c>
      <c r="H35" s="92" t="n"/>
      <c r="I35" s="26" t="n">
        <v>10</v>
      </c>
      <c r="J35" s="89">
        <f>IF(I35-INT(I35)&lt;0.1,INT(I35),IF(I35-INT(I35)&lt;=0.7,INT(I35)+0.5,INT(I35)+1))</f>
        <v/>
      </c>
      <c r="K35" s="93" t="n">
        <v>46317</v>
      </c>
      <c r="L35" s="89" t="inlineStr">
        <is>
          <t>AISHA</t>
        </is>
      </c>
      <c r="M35" s="89" t="inlineStr">
        <is>
          <t>ALEJANDRA PIER</t>
        </is>
      </c>
      <c r="N35" s="38" t="inlineStr">
        <is>
          <t>MOISES</t>
        </is>
      </c>
    </row>
    <row r="36">
      <c r="A36" s="96" t="inlineStr">
        <is>
          <t>7699924482795735815</t>
        </is>
      </c>
      <c r="B36" s="98" t="inlineStr">
        <is>
          <t>reino_de_aromas</t>
        </is>
      </c>
      <c r="C36" s="40" t="inlineStr">
        <is>
          <t>MX</t>
        </is>
      </c>
      <c r="D36" s="100" t="n">
        <v>10860.14</v>
      </c>
      <c r="E36" s="40">
        <f>D36/1.16</f>
        <v/>
      </c>
      <c r="F36" s="40">
        <f>IFERROR(D36/J36,0)</f>
        <v/>
      </c>
      <c r="G36" s="40">
        <f>F36/1.16</f>
        <v/>
      </c>
      <c r="H36" s="92" t="n"/>
      <c r="I36" s="26" t="n">
        <v>5.17</v>
      </c>
      <c r="J36" s="89">
        <f>IF(I36-INT(I36)&lt;0.1,INT(I36),IF(I36-INT(I36)&lt;=0.7,INT(I36)+0.5,INT(I36)+1))</f>
        <v/>
      </c>
      <c r="K36" s="93" t="n">
        <v>46318</v>
      </c>
      <c r="L36" s="89" t="inlineStr">
        <is>
          <t>AISHA</t>
        </is>
      </c>
      <c r="M36" s="89" t="n"/>
      <c r="N36" s="38" t="inlineStr">
        <is>
          <t>MOISES</t>
        </is>
      </c>
    </row>
    <row r="37">
      <c r="A37" s="96" t="inlineStr">
        <is>
          <t>7701115281246702354</t>
        </is>
      </c>
      <c r="B37" s="98" t="inlineStr">
        <is>
          <t>reino_de_aromas</t>
        </is>
      </c>
      <c r="C37" s="40" t="inlineStr">
        <is>
          <t>MX</t>
        </is>
      </c>
      <c r="D37" s="100" t="n">
        <v>18027.9</v>
      </c>
      <c r="E37" s="40">
        <f>D37/1.16</f>
        <v/>
      </c>
      <c r="F37" s="40">
        <f>IFERROR(D37/J37,0)</f>
        <v/>
      </c>
      <c r="G37" s="40">
        <f>F37/1.16</f>
        <v/>
      </c>
      <c r="H37" s="92" t="n"/>
      <c r="I37" s="26" t="n">
        <v>5.01</v>
      </c>
      <c r="J37" s="89">
        <f>IF(I37-INT(I37)&lt;0.1,INT(I37),IF(I37-INT(I37)&lt;=0.7,INT(I37)+0.5,INT(I37)+1))</f>
        <v/>
      </c>
      <c r="K37" s="93" t="n">
        <v>46321</v>
      </c>
      <c r="L37" s="89" t="inlineStr">
        <is>
          <t>ALEJANDRA PIER</t>
        </is>
      </c>
      <c r="M37" s="89" t="n"/>
      <c r="N37" s="38" t="inlineStr">
        <is>
          <t>MOISES</t>
        </is>
      </c>
    </row>
  </sheetData>
  <dataValidations count="1">
    <dataValidation sqref="L2:L14 L17:L37" showDropDown="0" showInputMessage="0" showErrorMessage="1" allowBlank="1" type="list">
      <formula1>"AISHA,MILLY"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2026-10-27T19:26:47Z</dcterms:created>
  <dcterms:modified xmlns:dcterms="http://purl.org/dc/terms/" xmlns:xsi="http://www.w3.org/2001/XMLSchema-instance" xsi:type="dcterms:W3CDTF">2026-10-27T23:47:52Z</dcterms:modified>
</cp:coreProperties>
</file>