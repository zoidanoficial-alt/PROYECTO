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applyAlignment="1" pivotButton="0" quotePrefix="0" xfId="0">
      <alignment/>
    </xf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applyAlignment="1" pivotButton="0" quotePrefix="0" xfId="0">
      <alignment/>
    </xf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/>
    </xf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LET(dec, I2-INT(I2), IF(dec&lt;0.1, INT(I2), IF(dec&lt;=0.7, INT(I2)+0.5, INT(I2)+1)))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LET(dec, I3-INT(I3), IF(dec&lt;0.1, INT(I3), IF(dec&lt;=0.7, INT(I3)+0.5, INT(I3)+1)))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LET(dec, I4-INT(I4), IF(dec&lt;0.1, INT(I4), IF(dec&lt;=0.7, INT(I4)+0.5, INT(I4)+1)))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LET(dec, I5-INT(I5), IF(dec&lt;0.1, INT(I5), IF(dec&lt;=0.7, INT(I5)+0.5, INT(I5)+1)))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LET(dec, I6-INT(I6), IF(dec&lt;0.1, INT(I6), IF(dec&lt;=0.7, INT(I6)+0.5, INT(I6)+1)))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LET(dec, I7-INT(I7), IF(dec&lt;0.1, INT(I7), IF(dec&lt;=0.7, INT(I7)+0.5, INT(I7)+1)))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LET(dec, I8-INT(I8), IF(dec&lt;0.1, INT(I8), IF(dec&lt;=0.7, INT(I8)+0.5, INT(I8)+1)))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LET(dec, I9-INT(I9), IF(dec&lt;0.1, INT(I9), IF(dec&lt;=0.7, INT(I9)+0.5, INT(I9)+1)))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LET(dec, I10-INT(I10), IF(dec&lt;0.1, INT(I10), IF(dec&lt;=0.7, INT(I10)+0.5, INT(I10)+1)))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LET(dec, I11-INT(I11), IF(dec&lt;0.1, INT(I11), IF(dec&lt;=0.7, INT(I11)+0.5, INT(I11)+1)))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LET(dec, I12-INT(I12), IF(dec&lt;0.1, INT(I12), IF(dec&lt;=0.7, INT(I12)+0.5, INT(I12)+1)))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LET(dec, I13-INT(I13), IF(dec&lt;0.1, INT(I13), IF(dec&lt;=0.7, INT(I13)+0.5, INT(I13)+1)))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LET(dec, I14-INT(I14), IF(dec&lt;0.1, INT(I14), IF(dec&lt;=0.7, INT(I14)+0.5, INT(I14)+1)))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LET(dec, I15-INT(I15), IF(dec&lt;0.1, INT(I15), IF(dec&lt;=0.7, INT(I15)+0.5, INT(I15)+1)))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LET(dec, I16-INT(I16), IF(dec&lt;0.1, INT(I16), IF(dec&lt;=0.7, INT(I16)+0.5, INT(I16)+1)))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LET(dec, I17-INT(I17), IF(dec&lt;0.1, INT(I17), IF(dec&lt;=0.7, INT(I17)+0.5, INT(I17)+1)))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LET(dec, I18-INT(I18), IF(dec&lt;0.1, INT(I18), IF(dec&lt;=0.7, INT(I18)+0.5, INT(I18)+1)))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LET(dec, I19-INT(I19), IF(dec&lt;0.1, INT(I19), IF(dec&lt;=0.7, INT(I19)+0.5, INT(I19)+1)))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LET(dec, I20-INT(I20), IF(dec&lt;0.1, INT(I20), IF(dec&lt;=0.7, INT(I20)+0.5, INT(I20)+1)))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LET(dec, I21-INT(I21), IF(dec&lt;0.1, INT(I21), IF(dec&lt;=0.7, INT(I21)+0.5, INT(I21)+1)))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LET(dec, I22-INT(I22), IF(dec&lt;0.1, INT(I22), IF(dec&lt;=0.7, INT(I22)+0.5, INT(I22)+1)))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LET(dec, I25-INT(I25), IF(dec&lt;0.1, INT(I25), IF(dec&lt;=0.7, INT(I25)+0.5, INT(I25)+1)))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LET(dec, I26-INT(I26), IF(dec&lt;0.1, INT(I26), IF(dec&lt;=0.7, INT(I26)+0.5, INT(I26)+1)))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LET(dec, I27-INT(I27), IF(dec&lt;0.1, INT(I27), IF(dec&lt;=0.7, INT(I27)+0.5, INT(I27)+1)))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LET(dec, I28-INT(I28), IF(dec&lt;0.1, INT(I28), IF(dec&lt;=0.7, INT(I28)+0.5, INT(I28)+1)))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LET(dec, I29-INT(I29), IF(dec&lt;0.1, INT(I29), IF(dec&lt;=0.7, INT(I29)+0.5, INT(I29)+1)))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LET(dec, I30-INT(I30), IF(dec&lt;0.1, INT(I30), IF(dec&lt;=0.7, INT(I30)+0.5, INT(I30)+1)))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LET(dec, I31-INT(I31), IF(dec&lt;0.1, INT(I31), IF(dec&lt;=0.7, INT(I31)+0.5, INT(I31)+1)))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LET(dec, I32-INT(I32), IF(dec&lt;0.1, INT(I32), IF(dec&lt;=0.7, INT(I32)+0.5, INT(I32)+1)))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LET(dec, I33-INT(I33), IF(dec&lt;0.1, INT(I33), IF(dec&lt;=0.7, INT(I33)+0.5, INT(I33)+1)))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LET(dec, I34-INT(I34), IF(dec&lt;0.1, INT(I34), IF(dec&lt;=0.7, INT(I34)+0.5, INT(I34)+1)))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LET(dec, I35-INT(I35), IF(dec&lt;0.1, INT(I35), IF(dec&lt;=0.7, INT(I35)+0.5, INT(I35)+1)))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LET(dec, I36-INT(I36), IF(dec&lt;0.1, INT(I36), IF(dec&lt;=0.7, INT(I36)+0.5, INT(I36)+1)))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LET(dec, I37-INT(I37), IF(dec&lt;0.1, INT(I37), IF(dec&lt;=0.7, INT(I37)+0.5, INT(I37)+1)))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LET(dec, I38-INT(I38), IF(dec&lt;0.1, INT(I38), IF(dec&lt;=0.7, INT(I38)+0.5, INT(I38)+1)))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LET(dec, I39-INT(I39), IF(dec&lt;0.1, INT(I39), IF(dec&lt;=0.7, INT(I39)+0.5, INT(I39)+1)))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LET(dec, I40-INT(I40), IF(dec&lt;0.1, INT(I40), IF(dec&lt;=0.7, INT(I40)+0.5, INT(I40)+1)))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LET(dec, I41-INT(I41), IF(dec&lt;0.1, INT(I41), IF(dec&lt;=0.7, INT(I41)+0.5, INT(I41)+1)))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LET(dec, I42-INT(I42), IF(dec&lt;0.1, INT(I42), IF(dec&lt;=0.7, INT(I42)+0.5, INT(I42)+1)))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LET(dec, I43-INT(I43), IF(dec&lt;0.1, INT(I43), IF(dec&lt;=0.7, INT(I43)+0.5, INT(I43)+1)))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LET(dec, I50-INT(I50), IF(dec&lt;0.1, INT(I50), IF(dec&lt;=0.7, INT(I50)+0.5, INT(I50)+1)))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LET(dec, I51-INT(I51), IF(dec&lt;0.1, INT(I51), IF(dec&lt;=0.7, INT(I51)+0.5, INT(I51)+1)))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LET(dec, I54-INT(I54), IF(dec&lt;0.1, INT(I54), IF(dec&lt;=0.7, INT(I54)+0.5, INT(I54)+1)))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LET(dec, I55-INT(I55), IF(dec&lt;0.1, INT(I55), IF(dec&lt;=0.7, INT(I55)+0.5, INT(I55)+1)))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LET(dec, I56-INT(I56), IF(dec&lt;0.1, INT(I56), IF(dec&lt;=0.7, INT(I56)+0.5, INT(I56)+1)))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LET(dec, I57-INT(I57), IF(dec&lt;0.1, INT(I57), IF(dec&lt;=0.7, INT(I57)+0.5, INT(I57)+1)))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LET(dec, I58-INT(I58), IF(dec&lt;0.1, INT(I58), IF(dec&lt;=0.7, INT(I58)+0.5, INT(I58)+1)))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LET(dec, I59-INT(I59), IF(dec&lt;0.1, INT(I59), IF(dec&lt;=0.7, INT(I59)+0.5, INT(I59)+1)))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LET(dec, I60-INT(I60), IF(dec&lt;0.1, INT(I60), IF(dec&lt;=0.7, INT(I60)+0.5, INT(I60)+1)))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LET(dec, I61-INT(I61), IF(dec&lt;0.1, INT(I61), IF(dec&lt;=0.7, INT(I61)+0.5, INT(I61)+1)))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LET(dec, I62-INT(I62), IF(dec&lt;0.1, INT(I62), IF(dec&lt;=0.7, INT(I62)+0.5, INT(I62)+1)))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LET(dec, I63-INT(I63), IF(dec&lt;0.1, INT(I63), IF(dec&lt;=0.7, INT(I63)+0.5, INT(I63)+1)))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LET(dec, I64-INT(I64), IF(dec&lt;0.1, INT(I64), IF(dec&lt;=0.7, INT(I64)+0.5, INT(I64)+1)))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LET(dec, I65-INT(I65), IF(dec&lt;0.1, INT(I65), IF(dec&lt;=0.7, INT(I65)+0.5, INT(I65)+1)))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LET(dec, I66-INT(I66), IF(dec&lt;0.1, INT(I66), IF(dec&lt;=0.7, INT(I66)+0.5, INT(I66)+1)))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LET(dec, I67-INT(I67), IF(dec&lt;0.1, INT(I67), IF(dec&lt;=0.7, INT(I67)+0.5, INT(I67)+1)))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LET(dec, I68-INT(I68), IF(dec&lt;0.1, INT(I68), IF(dec&lt;=0.7, INT(I68)+0.5, INT(I68)+1)))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LET(dec, I72-INT(I72), IF(dec&lt;0.1, INT(I72), IF(dec&lt;=0.7, INT(I72)+0.5, INT(I72)+1)))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LET(dec, I73-INT(I73), IF(dec&lt;0.1, INT(I73), IF(dec&lt;=0.7, INT(I73)+0.5, INT(I73)+1)))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LET(dec, I74-INT(I74), IF(dec&lt;0.1, INT(I74), IF(dec&lt;=0.7, INT(I74)+0.5, INT(I74)+1)))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LET(dec, I98-INT(I98), IF(dec&lt;0.1, INT(I98), IF(dec&lt;=0.7, INT(I98)+0.5, INT(I98)+1)))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LET(dec, I99-INT(I99), IF(dec&lt;0.1, INT(I99), IF(dec&lt;=0.7, INT(I99)+0.5, INT(I99)+1)))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1" t="inlineStr">
        <is>
          <t>MX</t>
        </is>
      </c>
      <c r="D124" s="92" t="n">
        <v>124926</v>
      </c>
      <c r="E124" s="82" t="n">
        <v>107695.12</v>
      </c>
      <c r="F124" s="93" t="n">
        <v>17846.62</v>
      </c>
      <c r="G124" s="82" t="n">
        <v>15385.02</v>
      </c>
      <c r="H124" s="123" t="n"/>
      <c r="I124" s="84" t="n">
        <v>7</v>
      </c>
      <c r="J124" s="84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n"/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1" t="inlineStr">
        <is>
          <t>MX</t>
        </is>
      </c>
      <c r="D125" s="92" t="n">
        <v>419885</v>
      </c>
      <c r="E125" s="82" t="n">
        <v>361969.6</v>
      </c>
      <c r="F125" s="93" t="n">
        <v>59983.53</v>
      </c>
      <c r="G125" s="82" t="n">
        <v>51709.94</v>
      </c>
      <c r="H125" s="123" t="n"/>
      <c r="I125" s="84" t="n">
        <v>7.01</v>
      </c>
      <c r="J125" s="84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n"/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1" t="inlineStr">
        <is>
          <t>MX</t>
        </is>
      </c>
      <c r="D126" s="92" t="n">
        <v>255177</v>
      </c>
      <c r="E126" s="82" t="n">
        <v>219980.49</v>
      </c>
      <c r="F126" s="93" t="n">
        <v>31897.17</v>
      </c>
      <c r="G126" s="82" t="n">
        <v>27497.56</v>
      </c>
      <c r="H126" s="123" t="n"/>
      <c r="I126" s="84" t="n">
        <v>8.01</v>
      </c>
      <c r="J126" s="84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n"/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1" t="inlineStr">
        <is>
          <t>MX</t>
        </is>
      </c>
      <c r="D127" s="92" t="n">
        <v>140805</v>
      </c>
      <c r="E127" s="82" t="n">
        <v>121383.45</v>
      </c>
      <c r="F127" s="93" t="n">
        <v>20114.97</v>
      </c>
      <c r="G127" s="82" t="n">
        <v>17340.49</v>
      </c>
      <c r="H127" s="123" t="n"/>
      <c r="I127" s="84" t="n">
        <v>7.01</v>
      </c>
      <c r="J127" s="84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1" t="inlineStr">
        <is>
          <t>MX</t>
        </is>
      </c>
      <c r="D128" s="92" t="n">
        <v>234765</v>
      </c>
      <c r="E128" s="82" t="n">
        <v>202383.73</v>
      </c>
      <c r="F128" s="93" t="n">
        <v>33537.88</v>
      </c>
      <c r="G128" s="82" t="n">
        <v>28911.96</v>
      </c>
      <c r="H128" s="123" t="n"/>
      <c r="I128" s="84" t="n">
        <v>7</v>
      </c>
      <c r="J128" s="84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1" t="inlineStr">
        <is>
          <t>MX</t>
        </is>
      </c>
      <c r="D129" s="92" t="n">
        <v>155065</v>
      </c>
      <c r="E129" s="82" t="n">
        <v>133676.68</v>
      </c>
      <c r="F129" s="93" t="n">
        <v>22152.14</v>
      </c>
      <c r="G129" s="82" t="n">
        <v>19096.67</v>
      </c>
      <c r="H129" s="123" t="n"/>
      <c r="I129" s="84" t="n">
        <v>7.02</v>
      </c>
      <c r="J129" s="84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1" t="inlineStr">
        <is>
          <t>MX</t>
        </is>
      </c>
      <c r="D130" s="92" t="n">
        <v>133861</v>
      </c>
      <c r="E130" s="82" t="n">
        <v>115397.5</v>
      </c>
      <c r="F130" s="93" t="n">
        <v>19123.01</v>
      </c>
      <c r="G130" s="82" t="n">
        <v>16485.36</v>
      </c>
      <c r="H130" s="123" t="n"/>
      <c r="I130" s="84" t="n">
        <v>7.01</v>
      </c>
      <c r="J130" s="84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1" t="inlineStr">
        <is>
          <t>MX</t>
        </is>
      </c>
      <c r="D131" s="92" t="n">
        <v>403878</v>
      </c>
      <c r="E131" s="82" t="n">
        <v>348170.66</v>
      </c>
      <c r="F131" s="93" t="n">
        <v>33656.5</v>
      </c>
      <c r="G131" s="82" t="n">
        <v>29014.22</v>
      </c>
      <c r="H131" s="123" t="n"/>
      <c r="I131" s="84" t="n">
        <v>12.01</v>
      </c>
      <c r="J131" s="84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1" t="inlineStr">
        <is>
          <t>MX</t>
        </is>
      </c>
      <c r="D132" s="92" t="n">
        <v>514858</v>
      </c>
      <c r="E132" s="82" t="n">
        <v>443842.97</v>
      </c>
      <c r="F132" s="93" t="n">
        <v>42904.82</v>
      </c>
      <c r="G132" s="82" t="n">
        <v>36986.91</v>
      </c>
      <c r="H132" s="123" t="n"/>
      <c r="I132" s="84" t="n">
        <v>12</v>
      </c>
      <c r="J132" s="84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1" t="inlineStr">
        <is>
          <t>MX</t>
        </is>
      </c>
      <c r="D133" s="92" t="n">
        <v>396056</v>
      </c>
      <c r="E133" s="82" t="n">
        <v>341427.5</v>
      </c>
      <c r="F133" s="93" t="n">
        <v>33004.66</v>
      </c>
      <c r="G133" s="82" t="n">
        <v>28452.29</v>
      </c>
      <c r="H133" s="123" t="n"/>
      <c r="I133" s="84" t="n">
        <v>12.03</v>
      </c>
      <c r="J133" s="84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1" t="inlineStr">
        <is>
          <t>MX</t>
        </is>
      </c>
      <c r="D134" s="92" t="n">
        <v>112948</v>
      </c>
      <c r="E134" s="82" t="n">
        <v>97369.28</v>
      </c>
      <c r="F134" s="93" t="n">
        <v>16135.48</v>
      </c>
      <c r="G134" s="82" t="n">
        <v>13909.9</v>
      </c>
      <c r="H134" s="123" t="n"/>
      <c r="I134" s="84" t="n">
        <v>7.01</v>
      </c>
      <c r="J134" s="84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1" t="inlineStr">
        <is>
          <t>MX</t>
        </is>
      </c>
      <c r="D135" s="92" t="n">
        <v>168376</v>
      </c>
      <c r="E135" s="82" t="n">
        <v>145152</v>
      </c>
      <c r="F135" s="93" t="n">
        <v>24053.76</v>
      </c>
      <c r="G135" s="82" t="n">
        <v>20736</v>
      </c>
      <c r="H135" s="123" t="n"/>
      <c r="I135" s="84" t="n">
        <v>7.01</v>
      </c>
      <c r="J135" s="84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1" t="inlineStr">
        <is>
          <t>MX</t>
        </is>
      </c>
      <c r="D136" s="92" t="n">
        <v>167291</v>
      </c>
      <c r="E136" s="82" t="n">
        <v>144216.8</v>
      </c>
      <c r="F136" s="93" t="n">
        <v>23898.78</v>
      </c>
      <c r="G136" s="82" t="n">
        <v>20602.4</v>
      </c>
      <c r="H136" s="123" t="n"/>
      <c r="I136" s="84" t="n">
        <v>7.01</v>
      </c>
      <c r="J136" s="84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1" t="inlineStr">
        <is>
          <t>MX</t>
        </is>
      </c>
      <c r="D137" s="92" t="n">
        <v>177765</v>
      </c>
      <c r="E137" s="82" t="n">
        <v>153245.33</v>
      </c>
      <c r="F137" s="93" t="n">
        <v>22220.57</v>
      </c>
      <c r="G137" s="82" t="n">
        <v>19155.67</v>
      </c>
      <c r="H137" s="123" t="n"/>
      <c r="I137" s="84" t="n">
        <v>8.01</v>
      </c>
      <c r="J137" s="84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1" t="inlineStr">
        <is>
          <t>MX</t>
        </is>
      </c>
      <c r="D138" s="92" t="n">
        <v>136591</v>
      </c>
      <c r="E138" s="82" t="n">
        <v>117751.28</v>
      </c>
      <c r="F138" s="93" t="n">
        <v>19513.07</v>
      </c>
      <c r="G138" s="82" t="n">
        <v>16821.61</v>
      </c>
      <c r="H138" s="123" t="n"/>
      <c r="I138" s="84" t="n">
        <v>7.01</v>
      </c>
      <c r="J138" s="84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1" t="inlineStr">
        <is>
          <t>MX</t>
        </is>
      </c>
      <c r="D139" s="92" t="n">
        <v>116602</v>
      </c>
      <c r="E139" s="82" t="n">
        <v>100518.68</v>
      </c>
      <c r="F139" s="93" t="n">
        <v>16657.38</v>
      </c>
      <c r="G139" s="82" t="n">
        <v>14359.81</v>
      </c>
      <c r="H139" s="123" t="n"/>
      <c r="I139" s="84" t="n">
        <v>7.01</v>
      </c>
      <c r="J139" s="84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1" t="inlineStr">
        <is>
          <t>MX</t>
        </is>
      </c>
      <c r="D140" s="92" t="n">
        <v>150226</v>
      </c>
      <c r="E140" s="82" t="n">
        <v>129505.4</v>
      </c>
      <c r="F140" s="93" t="n">
        <v>21460.89</v>
      </c>
      <c r="G140" s="82" t="n">
        <v>18500.77</v>
      </c>
      <c r="H140" s="123" t="n"/>
      <c r="I140" s="84" t="n">
        <v>7.01</v>
      </c>
      <c r="J140" s="84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1" t="inlineStr">
        <is>
          <t>MX</t>
        </is>
      </c>
      <c r="D141" s="92" t="n">
        <v>124591</v>
      </c>
      <c r="E141" s="82" t="n">
        <v>107406.29</v>
      </c>
      <c r="F141" s="93" t="n">
        <v>17798.76</v>
      </c>
      <c r="G141" s="82" t="n">
        <v>15343.76</v>
      </c>
      <c r="H141" s="123" t="n"/>
      <c r="I141" s="84" t="n">
        <v>7.01</v>
      </c>
      <c r="J141" s="84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1" t="inlineStr">
        <is>
          <t>MX</t>
        </is>
      </c>
      <c r="D142" s="92" t="n">
        <v>132224</v>
      </c>
      <c r="E142" s="82" t="n">
        <v>113985.84</v>
      </c>
      <c r="F142" s="93" t="n">
        <v>18889.08</v>
      </c>
      <c r="G142" s="82" t="n">
        <v>16283.69</v>
      </c>
      <c r="H142" s="123" t="n"/>
      <c r="I142" s="84" t="n">
        <v>7.01</v>
      </c>
      <c r="J142" s="84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1" t="inlineStr">
        <is>
          <t>MX</t>
        </is>
      </c>
      <c r="D143" s="92" t="n">
        <v>111704</v>
      </c>
      <c r="E143" s="82" t="n">
        <v>96296.39</v>
      </c>
      <c r="F143" s="93" t="n">
        <v>15957.69</v>
      </c>
      <c r="G143" s="82" t="n">
        <v>13756.63</v>
      </c>
      <c r="H143" s="123" t="n"/>
      <c r="I143" s="84" t="n">
        <v>7.01</v>
      </c>
      <c r="J143" s="84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1" t="inlineStr">
        <is>
          <t>MX</t>
        </is>
      </c>
      <c r="D144" s="92" t="n">
        <v>90709</v>
      </c>
      <c r="E144" s="82" t="n">
        <v>78197.41</v>
      </c>
      <c r="F144" s="93" t="n">
        <v>12958.43</v>
      </c>
      <c r="G144" s="82" t="n">
        <v>11171.06</v>
      </c>
      <c r="H144" s="123" t="n"/>
      <c r="I144" s="84" t="n">
        <v>7.02</v>
      </c>
      <c r="J144" s="84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1" t="inlineStr">
        <is>
          <t>MX</t>
        </is>
      </c>
      <c r="D145" s="92" t="n">
        <v>138705.03</v>
      </c>
      <c r="E145" s="82">
        <f>D145/1.16</f>
        <v/>
      </c>
      <c r="F145" s="93">
        <f>IFERROR(D145/J145,0)</f>
        <v/>
      </c>
      <c r="G145" s="82">
        <f>F145/1.16</f>
        <v/>
      </c>
      <c r="H145" s="123" t="n"/>
      <c r="I145" s="84" t="n">
        <v>7.01</v>
      </c>
      <c r="J145" s="84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32" t="inlineStr">
        <is>
          <t>langavibars</t>
        </is>
      </c>
      <c r="C2" s="32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LET(dec, I2-INT(I2), IF(dec&lt;0.1, INT(I2), IF(dec&lt;=0.7, INT(I2)+0.5, INT(I2)+1)))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32" t="inlineStr">
        <is>
          <t>langavibars</t>
        </is>
      </c>
      <c r="C3" s="32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LET(dec, I3-INT(I3), IF(dec&lt;0.1, INT(I3), IF(dec&lt;=0.7, INT(I3)+0.5, INT(I3)+1)))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32" t="inlineStr">
        <is>
          <t>langavibars</t>
        </is>
      </c>
      <c r="C4" s="32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LET(dec, I4-INT(I4), IF(dec&lt;0.1, INT(I4), IF(dec&lt;=0.7, INT(I4)+0.5, INT(I4)+1)))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32" t="inlineStr">
        <is>
          <t>langavibars</t>
        </is>
      </c>
      <c r="C5" s="32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LET(dec, I5-INT(I5), IF(dec&lt;0.1, INT(I5), IF(dec&lt;=0.7, INT(I5)+0.5, INT(I5)+1)))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32" t="inlineStr">
        <is>
          <t>langavibars</t>
        </is>
      </c>
      <c r="C6" s="32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LET(dec, I6-INT(I6), IF(dec&lt;0.1, INT(I6), IF(dec&lt;=0.7, INT(I6)+0.5, INT(I6)+1)))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32" t="inlineStr">
        <is>
          <t>langavibars</t>
        </is>
      </c>
      <c r="C7" s="32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LET(dec, I7-INT(I7), IF(dec&lt;0.1, INT(I7), IF(dec&lt;=0.7, INT(I7)+0.5, INT(I7)+1)))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32" t="inlineStr">
        <is>
          <t>langavibars</t>
        </is>
      </c>
      <c r="C8" s="32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LET(dec, I8-INT(I8), IF(dec&lt;0.1, INT(I8), IF(dec&lt;=0.7, INT(I8)+0.5, INT(I8)+1)))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32" t="inlineStr">
        <is>
          <t>langavibars</t>
        </is>
      </c>
      <c r="C9" s="32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LET(dec, I9-INT(I9), IF(dec&lt;0.1, INT(I9), IF(dec&lt;=0.7, INT(I9)+0.5, INT(I9)+1)))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32" t="inlineStr">
        <is>
          <t>langavibars</t>
        </is>
      </c>
      <c r="C10" s="32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LET(dec, I10-INT(I10), IF(dec&lt;0.1, INT(I10), IF(dec&lt;=0.7, INT(I10)+0.5, INT(I10)+1)))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32" t="inlineStr">
        <is>
          <t>langavibars</t>
        </is>
      </c>
      <c r="C11" s="32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LET(dec, I11-INT(I11), IF(dec&lt;0.1, INT(I11), IF(dec&lt;=0.7, INT(I11)+0.5, INT(I11)+1)))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32" t="inlineStr">
        <is>
          <t>langavibars</t>
        </is>
      </c>
      <c r="C12" s="32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LET(dec, I12-INT(I12), IF(dec&lt;0.1, INT(I12), IF(dec&lt;=0.7, INT(I12)+0.5, INT(I12)+1)))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32" t="inlineStr">
        <is>
          <t>langavibars</t>
        </is>
      </c>
      <c r="C13" s="32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LET(dec, I13-INT(I13), IF(dec&lt;0.1, INT(I13), IF(dec&lt;=0.7, INT(I13)+0.5, INT(I13)+1)))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32" t="inlineStr">
        <is>
          <t>langavibars</t>
        </is>
      </c>
      <c r="C14" s="32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LET(dec, I14-INT(I14), IF(dec&lt;0.1, INT(I14), IF(dec&lt;=0.7, INT(I14)+0.5, INT(I14)+1)))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32" t="inlineStr">
        <is>
          <t>langavibars</t>
        </is>
      </c>
      <c r="C15" s="32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LET(dec, I15-INT(I15), IF(dec&lt;0.1, INT(I15), IF(dec&lt;=0.7, INT(I15)+0.5, INT(I15)+1)))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32" t="inlineStr">
        <is>
          <t>langavibars</t>
        </is>
      </c>
      <c r="C16" s="32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LET(dec, I16-INT(I16), IF(dec&lt;0.1, INT(I16), IF(dec&lt;=0.7, INT(I16)+0.5, INT(I16)+1)))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32" t="inlineStr">
        <is>
          <t>langavibars</t>
        </is>
      </c>
      <c r="C17" s="32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LET(dec, I17-INT(I17), IF(dec&lt;0.1, INT(I17), IF(dec&lt;=0.7, INT(I17)+0.5, INT(I17)+1)))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32" t="inlineStr">
        <is>
          <t>langavibars</t>
        </is>
      </c>
      <c r="C18" s="32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LET(dec, I18-INT(I18), IF(dec&lt;0.1, INT(I18), IF(dec&lt;=0.7, INT(I18)+0.5, INT(I18)+1)))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32" t="inlineStr">
        <is>
          <t>langavibars</t>
        </is>
      </c>
      <c r="C19" s="32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32" t="inlineStr">
        <is>
          <t>langavibars</t>
        </is>
      </c>
      <c r="C20" s="32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LET(dec, I20-INT(I20), IF(dec&lt;0.1, INT(I20), IF(dec&lt;=0.7, INT(I20)+0.5, INT(I20)+1)))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32" t="inlineStr">
        <is>
          <t>langavibars</t>
        </is>
      </c>
      <c r="C21" s="32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LET(dec, I21-INT(I21), IF(dec&lt;0.1, INT(I21), IF(dec&lt;=0.7, INT(I21)+0.5, INT(I21)+1)))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32" t="inlineStr">
        <is>
          <t>langavibars</t>
        </is>
      </c>
      <c r="C22" s="32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LET(dec, I22-INT(I22), IF(dec&lt;0.1, INT(I22), IF(dec&lt;=0.7, INT(I22)+0.5, INT(I22)+1)))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32" t="inlineStr">
        <is>
          <t>langavibars</t>
        </is>
      </c>
      <c r="C27" s="32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LET(dec, I27-INT(I27), IF(dec&lt;0.1, INT(I27), IF(dec&lt;=0.7, INT(I27)+0.5, INT(I27)+1)))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32" t="inlineStr">
        <is>
          <t>langavibars</t>
        </is>
      </c>
      <c r="C28" s="32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LET(dec, I28-INT(I28), IF(dec&lt;0.1, INT(I28), IF(dec&lt;=0.7, INT(I28)+0.5, INT(I28)+1)))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32" t="inlineStr">
        <is>
          <t>langavibars</t>
        </is>
      </c>
      <c r="C29" s="32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LET(dec, I29-INT(I29), IF(dec&lt;0.1, INT(I29), IF(dec&lt;=0.7, INT(I29)+0.5, INT(I29)+1)))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32" t="inlineStr">
        <is>
          <t>langavibars</t>
        </is>
      </c>
      <c r="C30" s="32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LET(dec, I30-INT(I30), IF(dec&lt;0.1, INT(I30), IF(dec&lt;=0.7, INT(I30)+0.5, INT(I30)+1)))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32" t="inlineStr">
        <is>
          <t>langavibars</t>
        </is>
      </c>
      <c r="C31" s="32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LET(dec, I31-INT(I31), IF(dec&lt;0.1, INT(I31), IF(dec&lt;=0.7, INT(I31)+0.5, INT(I31)+1)))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32" t="inlineStr">
        <is>
          <t>langavibars</t>
        </is>
      </c>
      <c r="C32" s="32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LET(dec, I32-INT(I32), IF(dec&lt;0.1, INT(I32), IF(dec&lt;=0.7, INT(I32)+0.5, INT(I32)+1)))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32" t="inlineStr">
        <is>
          <t>langavibars</t>
        </is>
      </c>
      <c r="C33" s="32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LET(dec, I33-INT(I33), IF(dec&lt;0.1, INT(I33), IF(dec&lt;=0.7, INT(I33)+0.5, INT(I33)+1)))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32" t="inlineStr">
        <is>
          <t>langavibars</t>
        </is>
      </c>
      <c r="C34" s="32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LET(dec, I34-INT(I34), IF(dec&lt;0.1, INT(I34), IF(dec&lt;=0.7, INT(I34)+0.5, INT(I34)+1)))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32" t="inlineStr">
        <is>
          <t>langavibars</t>
        </is>
      </c>
      <c r="C35" s="32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LET(dec, I35-INT(I35), IF(dec&lt;0.1, INT(I35), IF(dec&lt;=0.7, INT(I35)+0.5, INT(I35)+1)))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32" t="inlineStr">
        <is>
          <t>langavibars</t>
        </is>
      </c>
      <c r="C36" s="32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LET(dec, I36-INT(I36), IF(dec&lt;0.1, INT(I36), IF(dec&lt;=0.7, INT(I36)+0.5, INT(I36)+1)))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32" t="inlineStr">
        <is>
          <t>langavibars</t>
        </is>
      </c>
      <c r="C37" s="32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LET(dec, I37-INT(I37), IF(dec&lt;0.1, INT(I37), IF(dec&lt;=0.7, INT(I37)+0.5, INT(I37)+1)))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32" t="inlineStr">
        <is>
          <t>langavibars</t>
        </is>
      </c>
      <c r="C38" s="32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LET(dec, I38-INT(I38), IF(dec&lt;0.1, INT(I38), IF(dec&lt;=0.7, INT(I38)+0.5, INT(I38)+1)))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32" t="inlineStr">
        <is>
          <t>langavibars</t>
        </is>
      </c>
      <c r="C39" s="32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LET(dec, I39-INT(I39), IF(dec&lt;0.1, INT(I39), IF(dec&lt;=0.7, INT(I39)+0.5, INT(I39)+1)))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32" t="inlineStr">
        <is>
          <t>langavibars</t>
        </is>
      </c>
      <c r="C40" s="32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LET(dec, I40-INT(I40), IF(dec&lt;0.1, INT(I40), IF(dec&lt;=0.7, INT(I40)+0.5, INT(I40)+1)))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32" t="inlineStr">
        <is>
          <t>langavibars</t>
        </is>
      </c>
      <c r="C41" s="32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LET(dec, I41-INT(I41), IF(dec&lt;0.1, INT(I41), IF(dec&lt;=0.7, INT(I41)+0.5, INT(I41)+1)))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32" t="inlineStr">
        <is>
          <t>langavibars</t>
        </is>
      </c>
      <c r="C44" s="32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LET(dec, I44-INT(I44), IF(dec&lt;0.1, INT(I44), IF(dec&lt;=0.7, INT(I44)+0.5, INT(I44)+1)))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32" t="inlineStr">
        <is>
          <t>langavibars</t>
        </is>
      </c>
      <c r="C45" s="32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LET(dec, I45-INT(I45), IF(dec&lt;0.1, INT(I45), IF(dec&lt;=0.7, INT(I45)+0.5, INT(I45)+1)))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32" t="inlineStr">
        <is>
          <t>langavibars</t>
        </is>
      </c>
      <c r="C46" s="32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LET(dec, I46-INT(I46), IF(dec&lt;0.1, INT(I46), IF(dec&lt;=0.7, INT(I46)+0.5, INT(I46)+1)))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32" t="inlineStr">
        <is>
          <t>langavibars</t>
        </is>
      </c>
      <c r="C47" s="32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LET(dec, I47-INT(I47), IF(dec&lt;0.1, INT(I47), IF(dec&lt;=0.7, INT(I47)+0.5, INT(I47)+1)))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32" t="inlineStr">
        <is>
          <t>langavibars</t>
        </is>
      </c>
      <c r="C48" s="32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LET(dec, I48-INT(I48), IF(dec&lt;0.1, INT(I48), IF(dec&lt;=0.7, INT(I48)+0.5, INT(I48)+1)))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32" t="inlineStr">
        <is>
          <t>langavibars</t>
        </is>
      </c>
      <c r="C49" s="32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LET(dec, I49-INT(I49), IF(dec&lt;0.1, INT(I49), IF(dec&lt;=0.7, INT(I49)+0.5, INT(I49)+1)))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32" t="inlineStr">
        <is>
          <t>langavibars</t>
        </is>
      </c>
      <c r="C50" s="32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LET(dec, I50-INT(I50), IF(dec&lt;0.1, INT(I50), IF(dec&lt;=0.7, INT(I50)+0.5, INT(I50)+1)))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32" t="inlineStr">
        <is>
          <t>langavibars</t>
        </is>
      </c>
      <c r="C51" s="32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LET(dec, I51-INT(I51), IF(dec&lt;0.1, INT(I51), IF(dec&lt;=0.7, INT(I51)+0.5, INT(I51)+1)))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32" t="inlineStr">
        <is>
          <t>langavibars</t>
        </is>
      </c>
      <c r="C52" s="32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LET(dec, I52-INT(I52), IF(dec&lt;0.1, INT(I52), IF(dec&lt;=0.7, INT(I52)+0.5, INT(I52)+1)))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32" t="inlineStr">
        <is>
          <t>langavibars</t>
        </is>
      </c>
      <c r="C53" s="32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LET(dec, I53-INT(I53), IF(dec&lt;0.1, INT(I53), IF(dec&lt;=0.7, INT(I53)+0.5, INT(I53)+1)))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32" t="inlineStr">
        <is>
          <t>langavibars</t>
        </is>
      </c>
      <c r="C54" s="32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LET(dec, I54-INT(I54), IF(dec&lt;0.1, INT(I54), IF(dec&lt;=0.7, INT(I54)+0.5, INT(I54)+1)))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32" t="inlineStr">
        <is>
          <t>langavibars</t>
        </is>
      </c>
      <c r="C57" s="32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32" t="inlineStr">
        <is>
          <t>langavibars</t>
        </is>
      </c>
      <c r="C58" s="32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32" t="inlineStr">
        <is>
          <t>langavibars</t>
        </is>
      </c>
      <c r="C59" s="32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32" t="inlineStr">
        <is>
          <t>langavibars</t>
        </is>
      </c>
      <c r="C60" s="32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32" t="inlineStr">
        <is>
          <t>langavibars</t>
        </is>
      </c>
      <c r="C61" s="32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32" t="inlineStr">
        <is>
          <t>langavibars</t>
        </is>
      </c>
      <c r="C62" s="32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32" t="inlineStr">
        <is>
          <t>langavibars</t>
        </is>
      </c>
      <c r="C63" s="32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32" t="inlineStr">
        <is>
          <t>langavibars</t>
        </is>
      </c>
      <c r="C64" s="32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32" t="inlineStr">
        <is>
          <t>langavibars</t>
        </is>
      </c>
      <c r="C65" s="32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32" t="inlineStr">
        <is>
          <t>langavibars</t>
        </is>
      </c>
      <c r="C66" s="32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32" t="inlineStr">
        <is>
          <t>langavibars</t>
        </is>
      </c>
      <c r="C67" s="32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32" t="inlineStr">
        <is>
          <t>langavibars</t>
        </is>
      </c>
      <c r="C68" s="32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32" t="inlineStr">
        <is>
          <t>langavibars</t>
        </is>
      </c>
      <c r="C69" s="32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32" t="inlineStr">
        <is>
          <t>langavibars</t>
        </is>
      </c>
      <c r="C70" s="32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32" t="inlineStr">
        <is>
          <t>langavibars</t>
        </is>
      </c>
      <c r="C71" s="32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32" t="inlineStr">
        <is>
          <t>langavibars</t>
        </is>
      </c>
      <c r="C74" s="32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LET(dec, I74-INT(I74), IF(dec&lt;0.1, INT(I74), IF(dec&lt;=0.7, INT(I74)+0.5, INT(I74)+1)))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32" t="inlineStr">
        <is>
          <t>langavibars</t>
        </is>
      </c>
      <c r="C75" s="32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LET(dec, I75-INT(I75), IF(dec&lt;0.1, INT(I75), IF(dec&lt;=0.7, INT(I75)+0.5, INT(I75)+1)))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32" t="inlineStr">
        <is>
          <t>langavibars</t>
        </is>
      </c>
      <c r="C76" s="32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LET(dec, I76-INT(I76), IF(dec&lt;0.1, INT(I76), IF(dec&lt;=0.7, INT(I76)+0.5, INT(I76)+1)))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32" t="inlineStr">
        <is>
          <t>langavibars</t>
        </is>
      </c>
      <c r="C77" s="32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LET(dec, I77-INT(I77), IF(dec&lt;0.1, INT(I77), IF(dec&lt;=0.7, INT(I77)+0.5, INT(I77)+1)))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32" t="inlineStr">
        <is>
          <t>langavibars</t>
        </is>
      </c>
      <c r="C78" s="32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LET(dec, I78-INT(I78), IF(dec&lt;0.1, INT(I78), IF(dec&lt;=0.7, INT(I78)+0.5, INT(I78)+1)))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32" t="inlineStr">
        <is>
          <t>langavibars</t>
        </is>
      </c>
      <c r="C79" s="32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LET(dec, I79-INT(I79), IF(dec&lt;0.1, INT(I79), IF(dec&lt;=0.7, INT(I79)+0.5, INT(I79)+1)))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32" t="inlineStr">
        <is>
          <t>langavibars</t>
        </is>
      </c>
      <c r="C80" s="32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LET(dec, I80-INT(I80), IF(dec&lt;0.1, INT(I80), IF(dec&lt;=0.7, INT(I80)+0.5, INT(I80)+1)))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32" t="inlineStr">
        <is>
          <t>langavibars</t>
        </is>
      </c>
      <c r="C81" s="32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LET(dec, I81-INT(I81), IF(dec&lt;0.1, INT(I81), IF(dec&lt;=0.7, INT(I81)+0.5, INT(I81)+1)))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32" t="inlineStr">
        <is>
          <t>langavibars</t>
        </is>
      </c>
      <c r="C82" s="32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LET(dec, I82-INT(I82), IF(dec&lt;0.1, INT(I82), IF(dec&lt;=0.7, INT(I82)+0.5, INT(I82)+1)))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32" t="inlineStr">
        <is>
          <t>langavibars</t>
        </is>
      </c>
      <c r="C83" s="32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LET(dec, I83-INT(I83), IF(dec&lt;0.1, INT(I83), IF(dec&lt;=0.7, INT(I83)+0.5, INT(I83)+1)))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32" t="inlineStr">
        <is>
          <t>langavibars</t>
        </is>
      </c>
      <c r="C84" s="32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LET(dec, I84-INT(I84), IF(dec&lt;0.1, INT(I84), IF(dec&lt;=0.7, INT(I84)+0.5, INT(I84)+1)))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32" t="inlineStr">
        <is>
          <t>langavibars</t>
        </is>
      </c>
      <c r="C85" s="32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LET(dec, I85-INT(I85), IF(dec&lt;0.1, INT(I85), IF(dec&lt;=0.7, INT(I85)+0.5, INT(I85)+1)))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32" t="inlineStr">
        <is>
          <t>langavibars</t>
        </is>
      </c>
      <c r="C86" s="32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LET(dec, I86-INT(I86), IF(dec&lt;0.1, INT(I86), IF(dec&lt;=0.7, INT(I86)+0.5, INT(I86)+1)))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32" t="inlineStr">
        <is>
          <t>langavibars</t>
        </is>
      </c>
      <c r="C87" s="32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LET(dec, I87-INT(I87), IF(dec&lt;0.1, INT(I87), IF(dec&lt;=0.7, INT(I87)+0.5, INT(I87)+1)))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32" t="inlineStr">
        <is>
          <t>langavibars</t>
        </is>
      </c>
      <c r="C88" s="32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LET(dec, I88-INT(I88), IF(dec&lt;0.1, INT(I88), IF(dec&lt;=0.7, INT(I88)+0.5, INT(I88)+1)))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32" t="inlineStr">
        <is>
          <t>langavibars</t>
        </is>
      </c>
      <c r="C89" s="32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LET(dec, I89-INT(I89), IF(dec&lt;0.1, INT(I89), IF(dec&lt;=0.7, INT(I89)+0.5, INT(I89)+1)))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32" t="inlineStr">
        <is>
          <t>langavibars</t>
        </is>
      </c>
      <c r="C90" s="32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LET(dec, I90-INT(I90), IF(dec&lt;0.1, INT(I90), IF(dec&lt;=0.7, INT(I90)+0.5, INT(I90)+1)))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32" t="inlineStr">
        <is>
          <t>langavibars</t>
        </is>
      </c>
      <c r="C91" s="32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LET(dec, I91-INT(I91), IF(dec&lt;0.1, INT(I91), IF(dec&lt;=0.7, INT(I91)+0.5, INT(I91)+1)))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32" t="inlineStr">
        <is>
          <t>langavibars</t>
        </is>
      </c>
      <c r="C92" s="32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LET(dec, I92-INT(I92), IF(dec&lt;0.1, INT(I92), IF(dec&lt;=0.7, INT(I92)+0.5, INT(I92)+1)))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32" t="inlineStr">
        <is>
          <t>langavibars</t>
        </is>
      </c>
      <c r="C93" s="32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LET(dec, I93-INT(I93), IF(dec&lt;0.1, INT(I93), IF(dec&lt;=0.7, INT(I93)+0.5, INT(I93)+1)))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1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82" t="n">
        <v>28451.48</v>
      </c>
      <c r="F96" s="82" t="n">
        <v>4714.82</v>
      </c>
      <c r="G96" s="82" t="n">
        <v>4064.5</v>
      </c>
      <c r="H96" s="123" t="n"/>
      <c r="I96" s="91" t="n">
        <v>7</v>
      </c>
      <c r="J96" s="84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82" t="n">
        <v>20164.99</v>
      </c>
      <c r="F97" s="82" t="n">
        <v>3898.57</v>
      </c>
      <c r="G97" s="82" t="n">
        <v>3360.83</v>
      </c>
      <c r="H97" s="123" t="n"/>
      <c r="I97" s="91" t="n">
        <v>6</v>
      </c>
      <c r="J97" s="84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82" t="n">
        <v>23879.97</v>
      </c>
      <c r="F98" s="82" t="n">
        <v>3462.6</v>
      </c>
      <c r="G98" s="82" t="n">
        <v>2985</v>
      </c>
      <c r="H98" s="123" t="n"/>
      <c r="I98" s="91" t="n">
        <v>8.01</v>
      </c>
      <c r="J98" s="84" t="n">
        <v>8</v>
      </c>
      <c r="K98" s="85" t="n">
        <v>46295</v>
      </c>
      <c r="L98" s="110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82" t="n">
        <v>15249.22</v>
      </c>
      <c r="F99" s="82" t="n">
        <v>2948.18</v>
      </c>
      <c r="G99" s="82" t="n">
        <v>2541.54</v>
      </c>
      <c r="H99" s="123" t="n"/>
      <c r="I99" s="91" t="n">
        <v>6.02</v>
      </c>
      <c r="J99" s="84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82" t="n">
        <v>18029.14</v>
      </c>
      <c r="F100" s="82" t="n">
        <v>3485.63</v>
      </c>
      <c r="G100" s="82" t="n">
        <v>3004.86</v>
      </c>
      <c r="H100" s="123" t="n"/>
      <c r="I100" s="91" t="n">
        <v>6.01</v>
      </c>
      <c r="J100" s="84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82" t="n">
        <v>25896.73</v>
      </c>
      <c r="F101" s="82" t="n">
        <v>5006.7</v>
      </c>
      <c r="G101" s="82" t="n">
        <v>4316.12</v>
      </c>
      <c r="H101" s="123" t="n"/>
      <c r="I101" s="91" t="n">
        <v>6.01</v>
      </c>
      <c r="J101" s="84" t="n">
        <v>6</v>
      </c>
      <c r="K101" s="85" t="n">
        <v>46301</v>
      </c>
      <c r="L101" s="110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82" t="n">
        <v>18148.34</v>
      </c>
      <c r="F102" s="82" t="n">
        <v>3508.68</v>
      </c>
      <c r="G102" s="82" t="n">
        <v>3024.72</v>
      </c>
      <c r="H102" s="123" t="n"/>
      <c r="I102" s="91" t="n">
        <v>6.02</v>
      </c>
      <c r="J102" s="84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82" t="n">
        <v>13046.27</v>
      </c>
      <c r="F103" s="82" t="n">
        <v>2522.28</v>
      </c>
      <c r="G103" s="82" t="n">
        <v>2174.38</v>
      </c>
      <c r="H103" s="123" t="n"/>
      <c r="I103" s="91" t="n">
        <v>6.01</v>
      </c>
      <c r="J103" s="84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82" t="n">
        <v>15233.09</v>
      </c>
      <c r="F104" s="82" t="n">
        <v>2945.07</v>
      </c>
      <c r="G104" s="82" t="n">
        <v>2538.85</v>
      </c>
      <c r="H104" s="123" t="n"/>
      <c r="I104" s="91" t="n">
        <v>6.02</v>
      </c>
      <c r="J104" s="84" t="n">
        <v>6</v>
      </c>
      <c r="K104" s="85" t="n">
        <v>46304</v>
      </c>
      <c r="L104" s="110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82" t="n">
        <v>19110.66</v>
      </c>
      <c r="F105" s="82" t="n">
        <v>3694.73</v>
      </c>
      <c r="G105" s="82" t="n">
        <v>3185.11</v>
      </c>
      <c r="H105" s="123" t="n"/>
      <c r="I105" s="91" t="n">
        <v>6.01</v>
      </c>
      <c r="J105" s="84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82" t="n">
        <v>18043.32</v>
      </c>
      <c r="F106" s="82" t="n">
        <v>3488.38</v>
      </c>
      <c r="G106" s="82" t="n">
        <v>3007.22</v>
      </c>
      <c r="H106" s="123" t="n"/>
      <c r="I106" s="91" t="n">
        <v>6.01</v>
      </c>
      <c r="J106" s="84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82" t="n">
        <v>11464.79</v>
      </c>
      <c r="F107" s="82" t="n">
        <v>2216.53</v>
      </c>
      <c r="G107" s="82" t="n">
        <v>1910.8</v>
      </c>
      <c r="H107" s="123" t="n"/>
      <c r="I107" s="91" t="n">
        <v>6.01</v>
      </c>
      <c r="J107" s="84" t="n">
        <v>6</v>
      </c>
      <c r="K107" s="85" t="n">
        <v>46309</v>
      </c>
      <c r="L107" s="110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82" t="n">
        <v>15732.68</v>
      </c>
      <c r="F108" s="82" t="n">
        <v>2281.24</v>
      </c>
      <c r="G108" s="82" t="n">
        <v>1966.59</v>
      </c>
      <c r="H108" s="123" t="n"/>
      <c r="I108" s="91" t="n">
        <v>8.029999999999999</v>
      </c>
      <c r="J108" s="84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82" t="n">
        <v>9679.870000000001</v>
      </c>
      <c r="F109" s="82" t="n">
        <v>1871.44</v>
      </c>
      <c r="G109" s="82" t="n">
        <v>1613.31</v>
      </c>
      <c r="H109" s="123" t="n"/>
      <c r="I109" s="91" t="n">
        <v>6.01</v>
      </c>
      <c r="J109" s="84" t="n">
        <v>6</v>
      </c>
      <c r="K109" s="85" t="n">
        <v>46311</v>
      </c>
      <c r="L109" s="110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82" t="n">
        <v>17153</v>
      </c>
      <c r="F110" s="82" t="n">
        <v>3316.25</v>
      </c>
      <c r="G110" s="82" t="n">
        <v>2858.83</v>
      </c>
      <c r="H110" s="123" t="n"/>
      <c r="I110" s="91" t="n">
        <v>6.01</v>
      </c>
      <c r="J110" s="84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82" t="n">
        <v>3128.41</v>
      </c>
      <c r="F111" s="82" t="n">
        <v>1814.48</v>
      </c>
      <c r="G111" s="82" t="n">
        <v>1564.2</v>
      </c>
      <c r="H111" s="123" t="n"/>
      <c r="I111" s="91" t="n">
        <v>2</v>
      </c>
      <c r="J111" s="84" t="n">
        <v>2</v>
      </c>
      <c r="K111" s="85" t="n">
        <v>46315</v>
      </c>
      <c r="L111" s="110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82" t="n">
        <v>13382.05</v>
      </c>
      <c r="F112" s="82" t="n">
        <v>2587.2</v>
      </c>
      <c r="G112" s="82" t="n">
        <v>2230.34</v>
      </c>
      <c r="H112" s="123" t="n"/>
      <c r="I112" s="91" t="n">
        <v>6.01</v>
      </c>
      <c r="J112" s="84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82" t="n">
        <v>11532.15</v>
      </c>
      <c r="F113" s="82" t="n">
        <v>2229.55</v>
      </c>
      <c r="G113" s="82" t="n">
        <v>1922.02</v>
      </c>
      <c r="H113" s="123" t="n"/>
      <c r="I113" s="91" t="n">
        <v>6.01</v>
      </c>
      <c r="J113" s="84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82" t="n">
        <v>10553.08</v>
      </c>
      <c r="F114" s="82" t="n">
        <v>3060.39</v>
      </c>
      <c r="G114" s="82" t="n">
        <v>2638.27</v>
      </c>
      <c r="H114" s="123" t="n"/>
      <c r="I114" s="91" t="n">
        <v>4.01</v>
      </c>
      <c r="J114" s="84" t="n">
        <v>4</v>
      </c>
      <c r="K114" s="85" t="n">
        <v>46318</v>
      </c>
      <c r="L114" s="110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82" t="n">
        <v>14870.45</v>
      </c>
      <c r="F115" s="82" t="n">
        <v>2874.95</v>
      </c>
      <c r="G115" s="82" t="n">
        <v>2478.41</v>
      </c>
      <c r="H115" s="123" t="n"/>
      <c r="I115" s="91" t="n">
        <v>6.01</v>
      </c>
      <c r="J115" s="84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1" t="inlineStr">
        <is>
          <t>YAEL</t>
        </is>
      </c>
    </row>
    <row r="116">
      <c r="A116" s="91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82">
        <f>D116/1.16</f>
        <v/>
      </c>
      <c r="F116" s="82">
        <f>IFERROR(D116/J116,0)</f>
        <v/>
      </c>
      <c r="G116" s="82">
        <f>F116/1.16</f>
        <v/>
      </c>
      <c r="H116" s="123" t="n"/>
      <c r="I116" s="91" t="n">
        <v>6.01</v>
      </c>
      <c r="J116" s="84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1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LET(dec, I2-INT(I2), IF(dec&lt;0.1, INT(I2), IF(dec&lt;=0.7, INT(I2)+0.5, INT(I2)+1)))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LET(dec, I3-INT(I3), IF(dec&lt;0.1, INT(I3), IF(dec&lt;=0.7, INT(I3)+0.5, INT(I3)+1)))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LET(dec, I4-INT(I4), IF(dec&lt;0.1, INT(I4), IF(dec&lt;=0.7, INT(I4)+0.5, INT(I4)+1)))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LET(dec, I5-INT(I5), IF(dec&lt;0.1, INT(I5), IF(dec&lt;=0.7, INT(I5)+0.5, INT(I5)+1)))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LET(dec, I6-INT(I6), IF(dec&lt;0.1, INT(I6), IF(dec&lt;=0.7, INT(I6)+0.5, INT(I6)+1)))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LET(dec, I7-INT(I7), IF(dec&lt;0.1, INT(I7), IF(dec&lt;=0.7, INT(I7)+0.5, INT(I7)+1)))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LET(dec, I8-INT(I8), IF(dec&lt;0.1, INT(I8), IF(dec&lt;=0.7, INT(I8)+0.5, INT(I8)+1)))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LET(dec, I9-INT(I9), IF(dec&lt;0.1, INT(I9), IF(dec&lt;=0.7, INT(I9)+0.5, INT(I9)+1)))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LET(dec, I10-INT(I10), IF(dec&lt;0.1, INT(I10), IF(dec&lt;=0.7, INT(I10)+0.5, INT(I10)+1)))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LET(dec, I11-INT(I11), IF(dec&lt;0.1, INT(I11), IF(dec&lt;=0.7, INT(I11)+0.5, INT(I11)+1)))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LET(dec, I17-INT(I17), IF(dec&lt;0.1, INT(I17), IF(dec&lt;=0.7, INT(I17)+0.5, INT(I17)+1)))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LET(dec, I18-INT(I18), IF(dec&lt;0.1, INT(I18), IF(dec&lt;=0.7, INT(I18)+0.5, INT(I18)+1)))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LET(dec, I19-INT(I19), IF(dec&lt;0.1, INT(I19), IF(dec&lt;=0.7, INT(I19)+0.5, INT(I19)+1)))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LET(dec, I20-INT(I20), IF(dec&lt;0.1, INT(I20), IF(dec&lt;=0.7, INT(I20)+0.5, INT(I20)+1)))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LET(dec, I21-INT(I21), IF(dec&lt;0.1, INT(I21), IF(dec&lt;=0.7, INT(I21)+0.5, INT(I21)+1)))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LET(dec, I22-INT(I22), IF(dec&lt;0.1, INT(I22), IF(dec&lt;=0.7, INT(I22)+0.5, INT(I22)+1)))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LET(dec, I23-INT(I23), IF(dec&lt;0.1, INT(I23), IF(dec&lt;=0.7, INT(I23)+0.5, INT(I23)+1)))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LET(dec, I24-INT(I24), IF(dec&lt;0.1, INT(I24), IF(dec&lt;=0.7, INT(I24)+0.5, INT(I24)+1)))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LET(dec, I25-INT(I25), IF(dec&lt;0.1, INT(I25), IF(dec&lt;=0.7, INT(I25)+0.5, INT(I25)+1)))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LET(dec, I26-INT(I26), IF(dec&lt;0.1, INT(I26), IF(dec&lt;=0.7, INT(I26)+0.5, INT(I26)+1)))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LET(dec, I27-INT(I27), IF(dec&lt;0.1, INT(I27), IF(dec&lt;=0.7, INT(I27)+0.5, INT(I27)+1)))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LET(dec, I28-INT(I28), IF(dec&lt;0.1, INT(I28), IF(dec&lt;=0.7, INT(I28)+0.5, INT(I28)+1)))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LET(dec, I29-INT(I29), IF(dec&lt;0.1, INT(I29), IF(dec&lt;=0.7, INT(I29)+0.5, INT(I29)+1)))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LET(dec, I30-INT(I30), IF(dec&lt;0.1, INT(I30), IF(dec&lt;=0.7, INT(I30)+0.5, INT(I30)+1)))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LET(dec, I31-INT(I31), IF(dec&lt;0.1, INT(I31), IF(dec&lt;=0.7, INT(I31)+0.5, INT(I31)+1)))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LET(dec, I32-INT(I32), IF(dec&lt;0.1, INT(I32), IF(dec&lt;=0.7, INT(I32)+0.5, INT(I32)+1)))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LET(dec, I36-INT(I36), IF(dec&lt;0.1, INT(I36), IF(dec&lt;=0.7, INT(I36)+0.5, INT(I36)+1)))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LET(dec, I37-INT(I37), IF(dec&lt;0.1, INT(I37), IF(dec&lt;=0.7, INT(I37)+0.5, INT(I37)+1)))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LET(dec, I38-INT(I38), IF(dec&lt;0.1, INT(I38), IF(dec&lt;=0.7, INT(I38)+0.5, INT(I38)+1)))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LET(dec, I39-INT(I39), IF(dec&lt;0.1, INT(I39), IF(dec&lt;=0.7, INT(I39)+0.5, INT(I39)+1)))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LET(dec, I40-INT(I40), IF(dec&lt;0.1, INT(I40), IF(dec&lt;=0.7, INT(I40)+0.5, INT(I40)+1)))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LET(dec, I41-INT(I41), IF(dec&lt;0.1, INT(I41), IF(dec&lt;=0.7, INT(I41)+0.5, INT(I41)+1)))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LET(dec, I42-INT(I42), IF(dec&lt;0.1, INT(I42), IF(dec&lt;=0.7, INT(I42)+0.5, INT(I42)+1)))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LET(dec, I43-INT(I43), IF(dec&lt;0.1, INT(I43), IF(dec&lt;=0.7, INT(I43)+0.5, INT(I43)+1)))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LET(dec, I44-INT(I44), IF(dec&lt;0.1, INT(I44), IF(dec&lt;=0.7, INT(I44)+0.5, INT(I44)+1)))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LET(dec, I45-INT(I45), IF(dec&lt;0.1, INT(I45), IF(dec&lt;=0.7, INT(I45)+0.5, INT(I45)+1)))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LET(dec, I46-INT(I46), IF(dec&lt;0.1, INT(I46), IF(dec&lt;=0.7, INT(I46)+0.5, INT(I46)+1)))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LET(dec, I47-INT(I47), IF(dec&lt;0.1, INT(I47), IF(dec&lt;=0.7, INT(I47)+0.5, INT(I47)+1)))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LET(dec, I48-INT(I48), IF(dec&lt;0.1, INT(I48), IF(dec&lt;=0.7, INT(I48)+0.5, INT(I48)+1)))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LET(dec, I49-INT(I49), IF(dec&lt;0.1, INT(I49), IF(dec&lt;=0.7, INT(I49)+0.5, INT(I49)+1)))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LET(dec, I68-INT(I68), IF(dec&lt;0.1, INT(I68), IF(dec&lt;=0.7, INT(I68)+0.5, INT(I68)+1)))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LET(dec, I69-INT(I69), IF(dec&lt;0.1, INT(I69), IF(dec&lt;=0.7, INT(I69)+0.5, INT(I69)+1)))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LET(dec, I70-INT(I70), IF(dec&lt;0.1, INT(I70), IF(dec&lt;=0.7, INT(I70)+0.5, INT(I70)+1)))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LET(dec, I71-INT(I71), IF(dec&lt;0.1, INT(I71), IF(dec&lt;=0.7, INT(I71)+0.5, INT(I71)+1)))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LET(dec, I72-INT(I72), IF(dec&lt;0.1, INT(I72), IF(dec&lt;=0.7, INT(I72)+0.5, INT(I72)+1)))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LET(dec, I73-INT(I73), IF(dec&lt;0.1, INT(I73), IF(dec&lt;=0.7, INT(I73)+0.5, INT(I73)+1)))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LET(dec, I74-INT(I74), IF(dec&lt;0.1, INT(I74), IF(dec&lt;=0.7, INT(I74)+0.5, INT(I74)+1)))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LET(dec, I75-INT(I75), IF(dec&lt;0.1, INT(I75), IF(dec&lt;=0.7, INT(I75)+0.5, INT(I75)+1)))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LET(dec, I76-INT(I76), IF(dec&lt;0.1, INT(I76), IF(dec&lt;=0.7, INT(I76)+0.5, INT(I76)+1)))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LET(dec, I77-INT(I77), IF(dec&lt;0.1, INT(I77), IF(dec&lt;=0.7, INT(I77)+0.5, INT(I77)+1)))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LET(dec, I78-INT(I78), IF(dec&lt;0.1, INT(I78), IF(dec&lt;=0.7, INT(I78)+0.5, INT(I78)+1)))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LET(dec, I79-INT(I79), IF(dec&lt;0.1, INT(I79), IF(dec&lt;=0.7, INT(I79)+0.5, INT(I79)+1)))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LET(dec, I80-INT(I80), IF(dec&lt;0.1, INT(I80), IF(dec&lt;=0.7, INT(I80)+0.5, INT(I80)+1)))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LET(dec, I81-INT(I81), IF(dec&lt;0.1, INT(I81), IF(dec&lt;=0.7, INT(I81)+0.5, INT(I81)+1)))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84" t="n"/>
      <c r="B85" s="91" t="inlineStr">
        <is>
          <t>lbelonline.tienda</t>
        </is>
      </c>
      <c r="C85" s="91" t="inlineStr">
        <is>
          <t>MX</t>
        </is>
      </c>
      <c r="D85" s="81" t="n">
        <v>31200.8</v>
      </c>
      <c r="E85" s="82" t="n">
        <v>26897.24</v>
      </c>
      <c r="F85" s="82" t="n">
        <v>3900.1</v>
      </c>
      <c r="G85" s="82" t="n">
        <v>3362.16</v>
      </c>
      <c r="H85" s="87" t="n"/>
      <c r="I85" s="91" t="n">
        <v>8.02</v>
      </c>
      <c r="J85" s="84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84" t="inlineStr">
        <is>
          <t>Rodrigo Toledo</t>
        </is>
      </c>
    </row>
    <row r="86">
      <c r="A86" s="84" t="inlineStr">
        <is>
          <t>7691838590143105813</t>
        </is>
      </c>
      <c r="B86" s="91" t="inlineStr">
        <is>
          <t>lbelonline.tienda</t>
        </is>
      </c>
      <c r="C86" s="91" t="inlineStr">
        <is>
          <t>MX</t>
        </is>
      </c>
      <c r="D86" s="81" t="n">
        <v>12274.49</v>
      </c>
      <c r="E86" s="82" t="n">
        <v>10581.46</v>
      </c>
      <c r="F86" s="82" t="n">
        <v>3068.62</v>
      </c>
      <c r="G86" s="82" t="n">
        <v>2645.36</v>
      </c>
      <c r="H86" s="87" t="n"/>
      <c r="I86" s="91" t="n">
        <v>4</v>
      </c>
      <c r="J86" s="84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84" t="inlineStr">
        <is>
          <t>Rodrigo Toledo</t>
        </is>
      </c>
    </row>
    <row r="87">
      <c r="A87" s="84" t="inlineStr">
        <is>
          <t>7692209513448917778</t>
        </is>
      </c>
      <c r="B87" s="91" t="inlineStr">
        <is>
          <t>lbelonline.tienda</t>
        </is>
      </c>
      <c r="C87" s="91" t="inlineStr">
        <is>
          <t>MX</t>
        </is>
      </c>
      <c r="D87" s="81" t="n">
        <v>3847.4</v>
      </c>
      <c r="E87" s="82" t="n">
        <v>3316.72</v>
      </c>
      <c r="F87" s="82" t="n">
        <v>961.85</v>
      </c>
      <c r="G87" s="82" t="n">
        <v>829.1799999999999</v>
      </c>
      <c r="H87" s="87" t="n"/>
      <c r="I87" s="91" t="n">
        <v>4</v>
      </c>
      <c r="J87" s="84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84" t="inlineStr">
        <is>
          <t>Rodrigo Toledo</t>
        </is>
      </c>
    </row>
    <row r="88">
      <c r="A88" s="84" t="inlineStr">
        <is>
          <t>7693260219732347668</t>
        </is>
      </c>
      <c r="B88" s="91" t="inlineStr">
        <is>
          <t>lbelonline.tienda</t>
        </is>
      </c>
      <c r="C88" s="91" t="inlineStr">
        <is>
          <t>MX</t>
        </is>
      </c>
      <c r="D88" s="81" t="n">
        <v>7110.47</v>
      </c>
      <c r="E88" s="82" t="n">
        <v>6129.72</v>
      </c>
      <c r="F88" s="82" t="n">
        <v>1777.62</v>
      </c>
      <c r="G88" s="82" t="n">
        <v>1532.43</v>
      </c>
      <c r="H88" s="87" t="n"/>
      <c r="I88" s="91" t="n">
        <v>4.02</v>
      </c>
      <c r="J88" s="84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84" t="inlineStr">
        <is>
          <t>Rodrigo Toledo</t>
        </is>
      </c>
    </row>
    <row r="89">
      <c r="A89" s="84" t="inlineStr">
        <is>
          <t>7694003325624273671</t>
        </is>
      </c>
      <c r="B89" s="91" t="inlineStr">
        <is>
          <t>lbelonline.tienda</t>
        </is>
      </c>
      <c r="C89" s="91" t="inlineStr">
        <is>
          <t>MX</t>
        </is>
      </c>
      <c r="D89" s="81" t="n">
        <v>11076.76</v>
      </c>
      <c r="E89" s="82" t="n">
        <v>9548.93</v>
      </c>
      <c r="F89" s="82" t="n">
        <v>2769.19</v>
      </c>
      <c r="G89" s="82" t="n">
        <v>2387.23</v>
      </c>
      <c r="H89" s="87" t="n"/>
      <c r="I89" s="91" t="n">
        <v>4.01</v>
      </c>
      <c r="J89" s="84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84" t="inlineStr">
        <is>
          <t>Rodrigo Toledo</t>
        </is>
      </c>
    </row>
    <row r="90">
      <c r="A90" s="84" t="inlineStr">
        <is>
          <t>7694745859196766994</t>
        </is>
      </c>
      <c r="B90" s="91" t="inlineStr">
        <is>
          <t>lbelonline.tienda</t>
        </is>
      </c>
      <c r="C90" s="91" t="inlineStr">
        <is>
          <t>MX</t>
        </is>
      </c>
      <c r="D90" s="81" t="n">
        <v>7977.81</v>
      </c>
      <c r="E90" s="82" t="n">
        <v>6877.42</v>
      </c>
      <c r="F90" s="82" t="n">
        <v>1994.45</v>
      </c>
      <c r="G90" s="82" t="n">
        <v>1719.36</v>
      </c>
      <c r="H90" s="87" t="n"/>
      <c r="I90" s="91" t="n">
        <v>4</v>
      </c>
      <c r="J90" s="84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84" t="inlineStr">
        <is>
          <t>Rodrigo Toledo</t>
        </is>
      </c>
    </row>
    <row r="91">
      <c r="A91" s="84" t="inlineStr">
        <is>
          <t>7696291428913220359</t>
        </is>
      </c>
      <c r="B91" s="91" t="inlineStr">
        <is>
          <t>lbelonline.tienda</t>
        </is>
      </c>
      <c r="C91" s="91" t="inlineStr">
        <is>
          <t>MX</t>
        </is>
      </c>
      <c r="D91" s="81" t="n">
        <v>5803.55</v>
      </c>
      <c r="E91" s="82" t="n">
        <v>5003.06</v>
      </c>
      <c r="F91" s="82" t="n">
        <v>1450.89</v>
      </c>
      <c r="G91" s="82" t="n">
        <v>1250.77</v>
      </c>
      <c r="H91" s="87" t="n"/>
      <c r="I91" s="91" t="n">
        <v>4</v>
      </c>
      <c r="J91" s="84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84" t="inlineStr">
        <is>
          <t>Rodrigo Toledo</t>
        </is>
      </c>
    </row>
    <row r="92">
      <c r="A92" s="84" t="inlineStr">
        <is>
          <t>7697002141421341456</t>
        </is>
      </c>
      <c r="B92" s="91" t="inlineStr">
        <is>
          <t>lbelonline.tienda</t>
        </is>
      </c>
      <c r="C92" s="91" t="inlineStr">
        <is>
          <t>MX</t>
        </is>
      </c>
      <c r="D92" s="81" t="n">
        <v>16636.8</v>
      </c>
      <c r="E92" s="82" t="n">
        <v>14342.07</v>
      </c>
      <c r="F92" s="82" t="n">
        <v>2772.8</v>
      </c>
      <c r="G92" s="82" t="n">
        <v>2390.34</v>
      </c>
      <c r="H92" s="87" t="n"/>
      <c r="I92" s="91" t="n">
        <v>6.01</v>
      </c>
      <c r="J92" s="84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84" t="inlineStr">
        <is>
          <t>Rodrigo Toledo</t>
        </is>
      </c>
    </row>
    <row r="93">
      <c r="A93" s="84" t="inlineStr">
        <is>
          <t>7697405572920806162</t>
        </is>
      </c>
      <c r="B93" s="91" t="inlineStr">
        <is>
          <t>lbelonline.tienda</t>
        </is>
      </c>
      <c r="C93" s="91" t="inlineStr">
        <is>
          <t>MX</t>
        </is>
      </c>
      <c r="D93" s="81" t="n">
        <v>16670.07</v>
      </c>
      <c r="E93" s="82" t="n">
        <v>14370.75</v>
      </c>
      <c r="F93" s="82" t="n">
        <v>4167.52</v>
      </c>
      <c r="G93" s="82" t="n">
        <v>3592.69</v>
      </c>
      <c r="H93" s="87" t="n"/>
      <c r="I93" s="91" t="n">
        <v>4</v>
      </c>
      <c r="J93" s="84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84" t="inlineStr">
        <is>
          <t>Rodrigo Toledo</t>
        </is>
      </c>
    </row>
    <row r="94">
      <c r="A94" s="84" t="inlineStr">
        <is>
          <t>7698455644219919125</t>
        </is>
      </c>
      <c r="B94" s="91" t="inlineStr">
        <is>
          <t>lbelonline.tienda</t>
        </is>
      </c>
      <c r="C94" s="91" t="inlineStr">
        <is>
          <t>MX</t>
        </is>
      </c>
      <c r="D94" s="81" t="n">
        <v>14550.95</v>
      </c>
      <c r="E94" s="82" t="n">
        <v>12543.92</v>
      </c>
      <c r="F94" s="82" t="n">
        <v>3637.74</v>
      </c>
      <c r="G94" s="82" t="n">
        <v>3135.98</v>
      </c>
      <c r="H94" s="87" t="n"/>
      <c r="I94" s="91" t="n">
        <v>4</v>
      </c>
      <c r="J94" s="84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84" t="inlineStr">
        <is>
          <t>Rodrigo Toledo</t>
        </is>
      </c>
    </row>
    <row r="95">
      <c r="A95" s="84" t="inlineStr">
        <is>
          <t>7699198834610227989</t>
        </is>
      </c>
      <c r="B95" s="91" t="inlineStr">
        <is>
          <t>lbelonline.tienda</t>
        </is>
      </c>
      <c r="C95" s="91" t="inlineStr">
        <is>
          <t>MX</t>
        </is>
      </c>
      <c r="D95" s="81" t="n">
        <v>7151.31</v>
      </c>
      <c r="E95" s="82" t="n">
        <v>6164.92</v>
      </c>
      <c r="F95" s="82" t="n">
        <v>1787.83</v>
      </c>
      <c r="G95" s="82" t="n">
        <v>1541.23</v>
      </c>
      <c r="H95" s="87" t="n"/>
      <c r="I95" s="91" t="n">
        <v>4.01</v>
      </c>
      <c r="J95" s="84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84" t="inlineStr">
        <is>
          <t>Rodrigo Toledo</t>
        </is>
      </c>
    </row>
    <row r="96">
      <c r="A96" s="84" t="inlineStr">
        <is>
          <t>7699940008983726854</t>
        </is>
      </c>
      <c r="B96" s="91" t="inlineStr">
        <is>
          <t>lbelonline.tienda</t>
        </is>
      </c>
      <c r="C96" s="91" t="inlineStr">
        <is>
          <t>MX</t>
        </is>
      </c>
      <c r="D96" s="81" t="n">
        <v>7520.33</v>
      </c>
      <c r="E96" s="82" t="n">
        <v>6483.04</v>
      </c>
      <c r="F96" s="82" t="n">
        <v>1880.08</v>
      </c>
      <c r="G96" s="82" t="n">
        <v>1620.76</v>
      </c>
      <c r="H96" s="87" t="n"/>
      <c r="I96" s="91" t="n">
        <v>4.01</v>
      </c>
      <c r="J96" s="84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84" t="inlineStr">
        <is>
          <t>Rodrigo Toledo</t>
        </is>
      </c>
    </row>
    <row r="97">
      <c r="A97" s="84" t="inlineStr">
        <is>
          <t>7701053096092289810</t>
        </is>
      </c>
      <c r="B97" s="91" t="inlineStr">
        <is>
          <t>lbelonline.tienda</t>
        </is>
      </c>
      <c r="C97" s="91" t="inlineStr">
        <is>
          <t>MX</t>
        </is>
      </c>
      <c r="D97" s="81" t="n">
        <v>6499.94</v>
      </c>
      <c r="E97" s="82" t="n">
        <v>5603.4</v>
      </c>
      <c r="F97" s="82" t="n">
        <v>1624.99</v>
      </c>
      <c r="G97" s="82" t="n">
        <v>1400.85</v>
      </c>
      <c r="H97" s="87" t="n"/>
      <c r="I97" s="91" t="n">
        <v>4.01</v>
      </c>
      <c r="J97" s="84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84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32" t="inlineStr">
        <is>
          <t>vaselinemx</t>
        </is>
      </c>
      <c r="C2" s="32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32" t="inlineStr">
        <is>
          <t>vaselinemx</t>
        </is>
      </c>
      <c r="C3" s="32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32" t="inlineStr">
        <is>
          <t>vaselinemx</t>
        </is>
      </c>
      <c r="C4" s="32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32" t="inlineStr">
        <is>
          <t>vaselinemx</t>
        </is>
      </c>
      <c r="C5" s="32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32" t="inlineStr">
        <is>
          <t>vaselinemx</t>
        </is>
      </c>
      <c r="C6" s="32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32" t="inlineStr">
        <is>
          <t>vaselinemx</t>
        </is>
      </c>
      <c r="C7" s="32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32" t="inlineStr">
        <is>
          <t>vaselinemx</t>
        </is>
      </c>
      <c r="C8" s="32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32" t="inlineStr">
        <is>
          <t>vaselinemx</t>
        </is>
      </c>
      <c r="C13" s="32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32" t="inlineStr">
        <is>
          <t>vaselinemx</t>
        </is>
      </c>
      <c r="C14" s="32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32" t="inlineStr">
        <is>
          <t>vaselinemx</t>
        </is>
      </c>
      <c r="C15" s="32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32" t="inlineStr">
        <is>
          <t>vaselinemx</t>
        </is>
      </c>
      <c r="C16" s="32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32" t="inlineStr">
        <is>
          <t>vaselinemx</t>
        </is>
      </c>
      <c r="C17" s="32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32" t="inlineStr">
        <is>
          <t>vaselinemx</t>
        </is>
      </c>
      <c r="C18" s="32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32" t="inlineStr">
        <is>
          <t>vaselinemx</t>
        </is>
      </c>
      <c r="C19" s="32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32" t="inlineStr">
        <is>
          <t>vaselinemx</t>
        </is>
      </c>
      <c r="C20" s="32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32" t="inlineStr">
        <is>
          <t>vaselinemx</t>
        </is>
      </c>
      <c r="C21" s="32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32" t="inlineStr">
        <is>
          <t>vaselinemx</t>
        </is>
      </c>
      <c r="C22" s="32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32" t="inlineStr">
        <is>
          <t>vaselinemx</t>
        </is>
      </c>
      <c r="C23" s="32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32" t="inlineStr">
        <is>
          <t>vaselinemx</t>
        </is>
      </c>
      <c r="C24" s="32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32" t="inlineStr">
        <is>
          <t>vaselinemx</t>
        </is>
      </c>
      <c r="C25" s="32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32" t="inlineStr">
        <is>
          <t>vaselinemx</t>
        </is>
      </c>
      <c r="C29" s="32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32" t="inlineStr">
        <is>
          <t>vaselinemx</t>
        </is>
      </c>
      <c r="C30" s="32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32" t="inlineStr">
        <is>
          <t>vaselinemx</t>
        </is>
      </c>
      <c r="C31" s="32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32" t="inlineStr">
        <is>
          <t>vaselinemx</t>
        </is>
      </c>
      <c r="C32" s="32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32" t="inlineStr">
        <is>
          <t>vaselinemx</t>
        </is>
      </c>
      <c r="C33" s="32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32" t="inlineStr">
        <is>
          <t>vaselinemx</t>
        </is>
      </c>
      <c r="C34" s="32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32" t="inlineStr">
        <is>
          <t>vaselinemx</t>
        </is>
      </c>
      <c r="C35" s="32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32" t="inlineStr">
        <is>
          <t>vaselinemx</t>
        </is>
      </c>
      <c r="C36" s="32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32" t="inlineStr">
        <is>
          <t>vaselinemx</t>
        </is>
      </c>
      <c r="C37" s="32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LET(dec, I2-INT(I2), IF(dec&lt;0.1, INT(I2), IF(dec&lt;=0.7, INT(I2)+0.5, INT(I2)+1)))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LET(dec, I3-INT(I3), IF(dec&lt;0.1, INT(I3), IF(dec&lt;=0.7, INT(I3)+0.5, INT(I3)+1)))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LET(dec, I4-INT(I4), IF(dec&lt;0.1, INT(I4), IF(dec&lt;=0.7, INT(I4)+0.5, INT(I4)+1)))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LET(dec, I5-INT(I5), IF(dec&lt;0.1, INT(I5), IF(dec&lt;=0.7, INT(I5)+0.5, INT(I5)+1)))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LET(dec, I6-INT(I6), IF(dec&lt;0.1, INT(I6), IF(dec&lt;=0.7, INT(I6)+0.5, INT(I6)+1)))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LET(dec, I7-INT(I7), IF(dec&lt;0.1, INT(I7), IF(dec&lt;=0.7, INT(I7)+0.5, INT(I7)+1)))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LET(dec, I2-INT(I2), IF(dec&lt;0.1, INT(I2), IF(dec&lt;=0.7, INT(I2)+0.5, INT(I2)+1)))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LET(dec, I3-INT(I3), IF(dec&lt;0.1, INT(I3), IF(dec&lt;=0.7, INT(I3)+0.5, INT(I3)+1)))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LET(dec, I4-INT(I4), IF(dec&lt;0.1, INT(I4), IF(dec&lt;=0.7, INT(I4)+0.5, INT(I4)+1)))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LET(dec, I5-INT(I5), IF(dec&lt;0.1, INT(I5), IF(dec&lt;=0.7, INT(I5)+0.5, INT(I5)+1)))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LET(dec, I6-INT(I6), IF(dec&lt;0.1, INT(I6), IF(dec&lt;=0.7, INT(I6)+0.5, INT(I6)+1)))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LET(dec, I7-INT(I7), IF(dec&lt;0.1, INT(I7), IF(dec&lt;=0.7, INT(I7)+0.5, INT(I7)+1)))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LET(dec, I8-INT(I8), IF(dec&lt;0.1, INT(I8), IF(dec&lt;=0.7, INT(I8)+0.5, INT(I8)+1)))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LET(dec, I9-INT(I9), IF(dec&lt;0.1, INT(I9), IF(dec&lt;=0.7, INT(I9)+0.5, INT(I9)+1)))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LET(dec, I10-INT(I10), IF(dec&lt;0.1, INT(I10), IF(dec&lt;=0.7, INT(I10)+0.5, INT(I10)+1)))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LET(dec, I2-INT(I2), IF(dec&lt;0.1, INT(I2), IF(dec&lt;=0.7, INT(I2)+0.5, INT(I2)+1)))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LET(dec, I3-INT(I3), IF(dec&lt;0.1, INT(I3), IF(dec&lt;=0.7, INT(I3)+0.5, INT(I3)+1)))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LET(dec, I4-INT(I4), IF(dec&lt;0.1, INT(I4), IF(dec&lt;=0.7, INT(I4)+0.5, INT(I4)+1)))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LET(dec, I5-INT(I5), IF(dec&lt;0.1, INT(I5), IF(dec&lt;=0.7, INT(I5)+0.5, INT(I5)+1)))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LET(dec, I6-INT(I6), IF(dec&lt;0.1, INT(I6), IF(dec&lt;=0.7, INT(I6)+0.5, INT(I6)+1)))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LET(dec, I7-INT(I7), IF(dec&lt;0.1, INT(I7), IF(dec&lt;=0.7, INT(I7)+0.5, INT(I7)+1)))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LET(dec, I8-INT(I8), IF(dec&lt;0.1, INT(I8), IF(dec&lt;=0.7, INT(I8)+0.5, INT(I8)+1)))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LET(dec, I9-INT(I9), IF(dec&lt;0.1, INT(I9), IF(dec&lt;=0.7, INT(I9)+0.5, INT(I9)+1)))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LET(dec, I10-INT(I10), IF(dec&lt;0.1, INT(I10), IF(dec&lt;=0.7, INT(I10)+0.5, INT(I10)+1)))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LET(dec, I15-INT(I15), IF(dec&lt;0.1, INT(I15), IF(dec&lt;=0.7, INT(I15)+0.5, INT(I15)+1)))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LET(dec, I16-INT(I16), IF(dec&lt;0.1, INT(I16), IF(dec&lt;=0.7, INT(I16)+0.5, INT(I16)+1)))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LET(dec, I17-INT(I17), IF(dec&lt;0.1, INT(I17), IF(dec&lt;=0.7, INT(I17)+0.5, INT(I17)+1)))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LET(dec, I18-INT(I18), IF(dec&lt;0.1, INT(I18), IF(dec&lt;=0.7, INT(I18)+0.5, INT(I18)+1)))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LET(dec, I19-INT(I19), IF(dec&lt;0.1, INT(I19), IF(dec&lt;=0.7, INT(I19)+0.5, INT(I19)+1)))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LET(dec, I20-INT(I20), IF(dec&lt;0.1, INT(I20), IF(dec&lt;=0.7, INT(I20)+0.5, INT(I20)+1)))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LET(dec, I21-INT(I21), IF(dec&lt;0.1, INT(I21), IF(dec&lt;=0.7, INT(I21)+0.5, INT(I21)+1)))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LET(dec, I22-INT(I22), IF(dec&lt;0.1, INT(I22), IF(dec&lt;=0.7, INT(I22)+0.5, INT(I22)+1)))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LET(dec, I23-INT(I23), IF(dec&lt;0.1, INT(I23), IF(dec&lt;=0.7, INT(I23)+0.5, INT(I23)+1)))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LET(dec, I24-INT(I24), IF(dec&lt;0.1, INT(I24), IF(dec&lt;=0.7, INT(I24)+0.5, INT(I24)+1)))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LET(dec, I25-INT(I25), IF(dec&lt;0.1, INT(I25), IF(dec&lt;=0.7, INT(I25)+0.5, INT(I25)+1)))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LET(dec, I26-INT(I26), IF(dec&lt;0.1, INT(I26), IF(dec&lt;=0.7, INT(I26)+0.5, INT(I26)+1)))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LET(dec, I27-INT(I27), IF(dec&lt;0.1, INT(I27), IF(dec&lt;=0.7, INT(I27)+0.5, INT(I27)+1)))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LET(dec, I28-INT(I28), IF(dec&lt;0.1, INT(I28), IF(dec&lt;=0.7, INT(I28)+0.5, INT(I28)+1)))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LET(dec, I29-INT(I29), IF(dec&lt;0.1, INT(I29), IF(dec&lt;=0.7, INT(I29)+0.5, INT(I29)+1)))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LET(dec, I30-INT(I30), IF(dec&lt;0.1, INT(I30), IF(dec&lt;=0.7, INT(I30)+0.5, INT(I30)+1)))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LET(dec, I31-INT(I31), IF(dec&lt;0.1, INT(I31), IF(dec&lt;=0.7, INT(I31)+0.5, INT(I31)+1)))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LET(dec, I32-INT(I32), IF(dec&lt;0.1, INT(I32), IF(dec&lt;=0.7, INT(I32)+0.5, INT(I32)+1)))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LET(dec, I36-INT(I36), IF(dec&lt;0.1, INT(I36), IF(dec&lt;=0.7, INT(I36)+0.5, INT(I36)+1)))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LET(dec, I37-INT(I37), IF(dec&lt;0.1, INT(I37), IF(dec&lt;=0.7, INT(I37)+0.5, INT(I37)+1)))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LET(dec, I38-INT(I38), IF(dec&lt;0.1, INT(I38), IF(dec&lt;=0.7, INT(I38)+0.5, INT(I38)+1)))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LET(dec, I39-INT(I39), IF(dec&lt;0.1, INT(I39), IF(dec&lt;=0.7, INT(I39)+0.5, INT(I39)+1)))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LET(dec, I40-INT(I40), IF(dec&lt;0.1, INT(I40), IF(dec&lt;=0.7, INT(I40)+0.5, INT(I40)+1)))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LET(dec, I41-INT(I41), IF(dec&lt;0.1, INT(I41), IF(dec&lt;=0.7, INT(I41)+0.5, INT(I41)+1)))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LET(dec, I42-INT(I42), IF(dec&lt;0.1, INT(I42), IF(dec&lt;=0.7, INT(I42)+0.5, INT(I42)+1)))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LET(dec, I43-INT(I43), IF(dec&lt;0.1, INT(I43), IF(dec&lt;=0.7, INT(I43)+0.5, INT(I43)+1)))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LET(dec, I44-INT(I44), IF(dec&lt;0.1, INT(I44), IF(dec&lt;=0.7, INT(I44)+0.5, INT(I44)+1)))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LET(dec, I45-INT(I45), IF(dec&lt;0.1, INT(I45), IF(dec&lt;=0.7, INT(I45)+0.5, INT(I45)+1)))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LET(dec, I46-INT(I46), IF(dec&lt;0.1, INT(I46), IF(dec&lt;=0.7, INT(I46)+0.5, INT(I46)+1)))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LET(dec, I47-INT(I47), IF(dec&lt;0.1, INT(I47), IF(dec&lt;=0.7, INT(I47)+0.5, INT(I47)+1)))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LET(dec, I48-INT(I48), IF(dec&lt;0.1, INT(I48), IF(dec&lt;=0.7, INT(I48)+0.5, INT(I48)+1)))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LET(dec, I51-INT(I51), IF(dec&lt;0.1, INT(I51), IF(dec&lt;=0.7, INT(I51)+0.5, INT(I51)+1)))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LET(dec, I52-INT(I52), IF(dec&lt;0.1, INT(I52), IF(dec&lt;=0.7, INT(I52)+0.5, INT(I52)+1)))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LET(dec, I53-INT(I53), IF(dec&lt;0.1, INT(I53), IF(dec&lt;=0.7, INT(I53)+0.5, INT(I53)+1)))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LET(dec, I54-INT(I54), IF(dec&lt;0.1, INT(I54), IF(dec&lt;=0.7, INT(I54)+0.5, INT(I54)+1)))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LET(dec, I55-INT(I55), IF(dec&lt;0.1, INT(I55), IF(dec&lt;=0.7, INT(I55)+0.5, INT(I55)+1)))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LET(dec, I56-INT(I56), IF(dec&lt;0.1, INT(I56), IF(dec&lt;=0.7, INT(I56)+0.5, INT(I56)+1)))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LET(dec, I57-INT(I57), IF(dec&lt;0.1, INT(I57), IF(dec&lt;=0.7, INT(I57)+0.5, INT(I57)+1)))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LET(dec, I58-INT(I58), IF(dec&lt;0.1, INT(I58), IF(dec&lt;=0.7, INT(I58)+0.5, INT(I58)+1)))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LET(dec, I59-INT(I59), IF(dec&lt;0.1, INT(I59), IF(dec&lt;=0.7, INT(I59)+0.5, INT(I59)+1)))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LET(dec, I60-INT(I60), IF(dec&lt;0.1, INT(I60), IF(dec&lt;=0.7, INT(I60)+0.5, INT(I60)+1)))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LET(dec, I61-INT(I61), IF(dec&lt;0.1, INT(I61), IF(dec&lt;=0.7, INT(I61)+0.5, INT(I61)+1)))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LET(dec, I62-INT(I62), IF(dec&lt;0.1, INT(I62), IF(dec&lt;=0.7, INT(I62)+0.5, INT(I62)+1)))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82" t="n">
        <v>5669.53</v>
      </c>
      <c r="F65" s="124" t="n">
        <v>1644.16</v>
      </c>
      <c r="G65" s="82" t="n">
        <v>1417.38</v>
      </c>
      <c r="H65" s="123" t="n"/>
      <c r="I65" s="123" t="n">
        <v>4.04</v>
      </c>
      <c r="J65" s="84" t="n">
        <v>4</v>
      </c>
      <c r="K65" s="125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82" t="n">
        <v>1697.59</v>
      </c>
      <c r="F66" s="124" t="n">
        <v>492.3</v>
      </c>
      <c r="G66" s="82" t="n">
        <v>424.4</v>
      </c>
      <c r="H66" s="123" t="n"/>
      <c r="I66" s="123" t="n">
        <v>4</v>
      </c>
      <c r="J66" s="84" t="n">
        <v>4</v>
      </c>
      <c r="K66" s="125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82" t="n">
        <v>2036.47</v>
      </c>
      <c r="F67" s="124" t="n">
        <v>590.58</v>
      </c>
      <c r="G67" s="82" t="n">
        <v>509.12</v>
      </c>
      <c r="H67" s="123" t="n"/>
      <c r="I67" s="123" t="n">
        <v>4.02</v>
      </c>
      <c r="J67" s="84" t="n">
        <v>4</v>
      </c>
      <c r="K67" s="125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82" t="n">
        <v>4406.9</v>
      </c>
      <c r="F68" s="124" t="n">
        <v>1278</v>
      </c>
      <c r="G68" s="82" t="n">
        <v>1101.72</v>
      </c>
      <c r="H68" s="123" t="n"/>
      <c r="I68" s="123" t="n">
        <v>4</v>
      </c>
      <c r="J68" s="84" t="n">
        <v>4</v>
      </c>
      <c r="K68" s="125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82" t="n">
        <v>5841.21</v>
      </c>
      <c r="F69" s="124" t="n">
        <v>1693.95</v>
      </c>
      <c r="G69" s="82" t="n">
        <v>1460.3</v>
      </c>
      <c r="H69" s="123" t="n"/>
      <c r="I69" s="123" t="n">
        <v>4.02</v>
      </c>
      <c r="J69" s="84" t="n">
        <v>4</v>
      </c>
      <c r="K69" s="125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82" t="n">
        <v>2531.45</v>
      </c>
      <c r="F70" s="124" t="n">
        <v>734.12</v>
      </c>
      <c r="G70" s="82" t="n">
        <v>632.86</v>
      </c>
      <c r="H70" s="123" t="n"/>
      <c r="I70" s="123" t="n">
        <v>4</v>
      </c>
      <c r="J70" s="84" t="n">
        <v>4</v>
      </c>
      <c r="K70" s="125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82" t="n">
        <v>5405.73</v>
      </c>
      <c r="F71" s="124" t="n">
        <v>1567.66</v>
      </c>
      <c r="G71" s="82" t="n">
        <v>1351.43</v>
      </c>
      <c r="H71" s="123" t="n"/>
      <c r="I71" s="123" t="n">
        <v>4</v>
      </c>
      <c r="J71" s="84" t="n">
        <v>4</v>
      </c>
      <c r="K71" s="125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82" t="n">
        <v>3881.84</v>
      </c>
      <c r="F72" s="124" t="n">
        <v>1125.73</v>
      </c>
      <c r="G72" s="82" t="n">
        <v>970.46</v>
      </c>
      <c r="H72" s="123" t="n"/>
      <c r="I72" s="123" t="n">
        <v>4.01</v>
      </c>
      <c r="J72" s="84" t="n">
        <v>4</v>
      </c>
      <c r="K72" s="125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82" t="n">
        <v>6535.41</v>
      </c>
      <c r="F73" s="124" t="n">
        <v>1895.27</v>
      </c>
      <c r="G73" s="82" t="n">
        <v>1633.85</v>
      </c>
      <c r="H73" s="123" t="n"/>
      <c r="I73" s="123" t="n">
        <v>4</v>
      </c>
      <c r="J73" s="84" t="n">
        <v>4</v>
      </c>
      <c r="K73" s="125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LET(dec, I2-INT(I2), IF(dec&lt;0.1, INT(I2), IF(dec&lt;=0.7, INT(I2)+0.5, INT(I2)+1)))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LET(dec, I3-INT(I3), IF(dec&lt;0.1, INT(I3), IF(dec&lt;=0.7, INT(I3)+0.5, INT(I3)+1)))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LET(dec, I4-INT(I4), IF(dec&lt;0.1, INT(I4), IF(dec&lt;=0.7, INT(I4)+0.5, INT(I4)+1)))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LET(dec, I5-INT(I5), IF(dec&lt;0.1, INT(I5), IF(dec&lt;=0.7, INT(I5)+0.5, INT(I5)+1)))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LET(dec, I6-INT(I6), IF(dec&lt;0.1, INT(I6), IF(dec&lt;=0.7, INT(I6)+0.5, INT(I6)+1)))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LET(dec, I7-INT(I7), IF(dec&lt;0.1, INT(I7), IF(dec&lt;=0.7, INT(I7)+0.5, INT(I7)+1)))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LET(dec, I8-INT(I8), IF(dec&lt;0.1, INT(I8), IF(dec&lt;=0.7, INT(I8)+0.5, INT(I8)+1)))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LET(dec, I9-INT(I9), IF(dec&lt;0.1, INT(I9), IF(dec&lt;=0.7, INT(I9)+0.5, INT(I9)+1)))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3"/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LET(dec, I16-INT(I16), IF(dec&lt;0.1, INT(I16), IF(dec&lt;=0.7, INT(I16)+0.5, INT(I16)+1)))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LET(dec, I17-INT(I17), IF(dec&lt;0.1, INT(I17), IF(dec&lt;=0.7, INT(I17)+0.5, INT(I17)+1)))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LET(dec, I18-INT(I18), IF(dec&lt;0.1, INT(I18), IF(dec&lt;=0.7, INT(I18)+0.5, INT(I18)+1)))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LET(dec, I19-INT(I19), IF(dec&lt;0.1, INT(I19), IF(dec&lt;=0.7, INT(I19)+0.5, INT(I19)+1)))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LET(dec, I20-INT(I20), IF(dec&lt;0.1, INT(I20), IF(dec&lt;=0.7, INT(I20)+0.5, INT(I20)+1)))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LET(dec, I21-INT(I21), IF(dec&lt;0.1, INT(I21), IF(dec&lt;=0.7, INT(I21)+0.5, INT(I21)+1)))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LET(dec, I22-INT(I22), IF(dec&lt;0.1, INT(I22), IF(dec&lt;=0.7, INT(I22)+0.5, INT(I22)+1)))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LET(dec, I23-INT(I23), IF(dec&lt;0.1, INT(I23), IF(dec&lt;=0.7, INT(I23)+0.5, INT(I23)+1)))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LET(dec, I24-INT(I24), IF(dec&lt;0.1, INT(I24), IF(dec&lt;=0.7, INT(I24)+0.5, INT(I24)+1)))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LET(dec, I25-INT(I25), IF(dec&lt;0.1, INT(I25), IF(dec&lt;=0.7, INT(I25)+0.5, INT(I25)+1)))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LET(dec, I29-INT(I29), IF(dec&lt;0.1, INT(I29), IF(dec&lt;=0.7, INT(I29)+0.5, INT(I29)+1)))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LET(dec, I30-INT(I30), IF(dec&lt;0.1, INT(I30), IF(dec&lt;=0.7, INT(I30)+0.5, INT(I30)+1)))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LET(dec, I31-INT(I31), IF(dec&lt;0.1, INT(I31), IF(dec&lt;=0.7, INT(I31)+0.5, INT(I31)+1)))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LET(dec, I32-INT(I32), IF(dec&lt;0.1, INT(I32), IF(dec&lt;=0.7, INT(I32)+0.5, INT(I32)+1)))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LET(dec, I33-INT(I33), IF(dec&lt;0.1, INT(I33), IF(dec&lt;=0.7, INT(I33)+0.5, INT(I33)+1)))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LET(dec, I34-INT(I34), IF(dec&lt;0.1, INT(I34), IF(dec&lt;=0.7, INT(I34)+0.5, INT(I34)+1)))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LET(dec, I35-INT(I35), IF(dec&lt;0.1, INT(I35), IF(dec&lt;=0.7, INT(I35)+0.5, INT(I35)+1)))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LET(dec, I36-INT(I36), IF(dec&lt;0.1, INT(I36), IF(dec&lt;=0.7, INT(I36)+0.5, INT(I36)+1)))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LET(dec, I37-INT(I37), IF(dec&lt;0.1, INT(I37), IF(dec&lt;=0.7, INT(I37)+0.5, INT(I37)+1)))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LET(dec, I38-INT(I38), IF(dec&lt;0.1, INT(I38), IF(dec&lt;=0.7, INT(I38)+0.5, INT(I38)+1)))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LET(dec, I39-INT(I39), IF(dec&lt;0.1, INT(I39), IF(dec&lt;=0.7, INT(I39)+0.5, INT(I39)+1)))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LET(dec, I40-INT(I40), IF(dec&lt;0.1, INT(I40), IF(dec&lt;=0.7, INT(I40)+0.5, INT(I40)+1)))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LET(dec, I41-INT(I41), IF(dec&lt;0.1, INT(I41), IF(dec&lt;=0.7, INT(I41)+0.5, INT(I41)+1)))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LET(dec, I42-INT(I42), IF(dec&lt;0.1, INT(I42), IF(dec&lt;=0.7, INT(I42)+0.5, INT(I42)+1)))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LET(dec, I45-INT(I45), IF(dec&lt;0.1, INT(I45), IF(dec&lt;=0.7, INT(I45)+0.5, INT(I45)+1)))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LET(dec, I46-INT(I46), IF(dec&lt;0.1, INT(I46), IF(dec&lt;=0.7, INT(I46)+0.5, INT(I46)+1)))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LET(dec, I47-INT(I47), IF(dec&lt;0.1, INT(I47), IF(dec&lt;=0.7, INT(I47)+0.5, INT(I47)+1)))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LET(dec, I48-INT(I48), IF(dec&lt;0.1, INT(I48), IF(dec&lt;=0.7, INT(I48)+0.5, INT(I48)+1)))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LET(dec, I49-INT(I49), IF(dec&lt;0.1, INT(I49), IF(dec&lt;=0.7, INT(I49)+0.5, INT(I49)+1)))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LET(dec, I50-INT(I50), IF(dec&lt;0.1, INT(I50), IF(dec&lt;=0.7, INT(I50)+0.5, INT(I50)+1)))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LET(dec, I51-INT(I51), IF(dec&lt;0.1, INT(I51), IF(dec&lt;=0.7, INT(I51)+0.5, INT(I51)+1)))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LET(dec, I52-INT(I52), IF(dec&lt;0.1, INT(I52), IF(dec&lt;=0.7, INT(I52)+0.5, INT(I52)+1)))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LET(dec, I53-INT(I53), IF(dec&lt;0.1, INT(I53), IF(dec&lt;=0.7, INT(I53)+0.5, INT(I53)+1)))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LET(dec, I54-INT(I54), IF(dec&lt;0.1, INT(I54), IF(dec&lt;=0.7, INT(I54)+0.5, INT(I54)+1)))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LET(dec, I55-INT(I55), IF(dec&lt;0.1, INT(I55), IF(dec&lt;=0.7, INT(I55)+0.5, INT(I55)+1)))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LET(dec, I56-INT(I56), IF(dec&lt;0.1, INT(I56), IF(dec&lt;=0.7, INT(I56)+0.5, INT(I56)+1)))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LET(dec, I57-INT(I57), IF(dec&lt;0.1, INT(I57), IF(dec&lt;=0.7, INT(I57)+0.5, INT(I57)+1)))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LET(dec, I58-INT(I58), IF(dec&lt;0.1, INT(I58), IF(dec&lt;=0.7, INT(I58)+0.5, INT(I58)+1)))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LET(dec, I61-INT(I61), IF(dec&lt;0.1, INT(I61), IF(dec&lt;=0.7, INT(I61)+0.5, INT(I61)+1)))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LET(dec, I62-INT(I62), IF(dec&lt;0.1, INT(I62), IF(dec&lt;=0.7, INT(I62)+0.5, INT(I62)+1)))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LET(dec, I63-INT(I63), IF(dec&lt;0.1, INT(I63), IF(dec&lt;=0.7, INT(I63)+0.5, INT(I63)+1)))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LET(dec, I64-INT(I64), IF(dec&lt;0.1, INT(I64), IF(dec&lt;=0.7, INT(I64)+0.5, INT(I64)+1)))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LET(dec, I65-INT(I65), IF(dec&lt;0.1, INT(I65), IF(dec&lt;=0.7, INT(I65)+0.5, INT(I65)+1)))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LET(dec, I66-INT(I66), IF(dec&lt;0.1, INT(I66), IF(dec&lt;=0.7, INT(I66)+0.5, INT(I66)+1)))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LET(dec, I67-INT(I67), IF(dec&lt;0.1, INT(I67), IF(dec&lt;=0.7, INT(I67)+0.5, INT(I67)+1)))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LET(dec, I68-INT(I68), IF(dec&lt;0.1, INT(I68), IF(dec&lt;=0.7, INT(I68)+0.5, INT(I68)+1)))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LET(dec, I69-INT(I69), IF(dec&lt;0.1, INT(I69), IF(dec&lt;=0.7, INT(I69)+0.5, INT(I69)+1)))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LET(dec, I70-INT(I70), IF(dec&lt;0.1, INT(I70), IF(dec&lt;=0.7, INT(I70)+0.5, INT(I70)+1)))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LET(dec, I71-INT(I71), IF(dec&lt;0.1, INT(I71), IF(dec&lt;=0.7, INT(I71)+0.5, INT(I71)+1)))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LET(dec, I72-INT(I72), IF(dec&lt;0.1, INT(I72), IF(dec&lt;=0.7, INT(I72)+0.5, INT(I72)+1)))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LET(dec, I73-INT(I73), IF(dec&lt;0.1, INT(I73), IF(dec&lt;=0.7, INT(I73)+0.5, INT(I73)+1)))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LET(dec, I74-INT(I74), IF(dec&lt;0.1, INT(I74), IF(dec&lt;=0.7, INT(I74)+0.5, INT(I74)+1)))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n"/>
      <c r="B77" s="91" t="inlineStr">
        <is>
          <t>yvesrochermexico</t>
        </is>
      </c>
      <c r="C77" s="91" t="inlineStr">
        <is>
          <t>MX</t>
        </is>
      </c>
      <c r="D77" s="132" t="n">
        <v>2632.93</v>
      </c>
      <c r="E77" s="82" t="n">
        <v>2269.77</v>
      </c>
      <c r="F77" s="82" t="n">
        <v>877.64</v>
      </c>
      <c r="G77" s="81" t="n">
        <v>756.59</v>
      </c>
      <c r="H77" s="84" t="n"/>
      <c r="I77" s="84" t="n">
        <v>3</v>
      </c>
      <c r="J77" s="84" t="n">
        <v>3</v>
      </c>
      <c r="K77" s="133" t="n">
        <v>46293</v>
      </c>
      <c r="L77" s="170" t="inlineStr">
        <is>
          <t>SILVANA</t>
        </is>
      </c>
      <c r="M77" s="84" t="n"/>
      <c r="N77" s="84" t="inlineStr">
        <is>
          <t>GUILLERMO</t>
        </is>
      </c>
    </row>
    <row r="78">
      <c r="A78" s="87" t="n"/>
      <c r="B78" s="91" t="inlineStr">
        <is>
          <t>yvesrochermexico</t>
        </is>
      </c>
      <c r="C78" s="91" t="inlineStr">
        <is>
          <t>MX</t>
        </is>
      </c>
      <c r="D78" s="132" t="n">
        <v>975.65</v>
      </c>
      <c r="E78" s="82" t="n">
        <v>841.08</v>
      </c>
      <c r="F78" s="82" t="n">
        <v>325.22</v>
      </c>
      <c r="G78" s="81" t="n">
        <v>280.36</v>
      </c>
      <c r="H78" s="84" t="n"/>
      <c r="I78" s="84" t="n">
        <v>3</v>
      </c>
      <c r="J78" s="84" t="n">
        <v>3</v>
      </c>
      <c r="K78" s="133" t="n">
        <v>46294</v>
      </c>
      <c r="L78" s="170" t="inlineStr">
        <is>
          <t>PAOLA LUNA</t>
        </is>
      </c>
      <c r="M78" s="84" t="n"/>
      <c r="N78" s="84" t="inlineStr">
        <is>
          <t>GUILLERMO</t>
        </is>
      </c>
    </row>
    <row r="79">
      <c r="A79" s="87" t="n"/>
      <c r="B79" s="91" t="inlineStr">
        <is>
          <t>yvesrochermexico</t>
        </is>
      </c>
      <c r="C79" s="91" t="inlineStr">
        <is>
          <t>MX</t>
        </is>
      </c>
      <c r="D79" s="132" t="n">
        <v>3996.79</v>
      </c>
      <c r="E79" s="82" t="n">
        <v>3445.51</v>
      </c>
      <c r="F79" s="82" t="n">
        <v>999.2</v>
      </c>
      <c r="G79" s="81" t="n">
        <v>861.38</v>
      </c>
      <c r="H79" s="84" t="n"/>
      <c r="I79" s="84" t="n">
        <v>3.95</v>
      </c>
      <c r="J79" s="84" t="n">
        <v>4</v>
      </c>
      <c r="K79" s="133" t="n">
        <v>46295</v>
      </c>
      <c r="L79" s="170" t="inlineStr">
        <is>
          <t>PAOLA LUNA</t>
        </is>
      </c>
      <c r="M79" s="84" t="n"/>
      <c r="N79" s="84" t="inlineStr">
        <is>
          <t>GUILLERMO</t>
        </is>
      </c>
    </row>
    <row r="80">
      <c r="A80" s="87" t="n"/>
      <c r="B80" s="91" t="inlineStr">
        <is>
          <t>yvesrochermexico</t>
        </is>
      </c>
      <c r="C80" s="91" t="inlineStr">
        <is>
          <t>MX</t>
        </is>
      </c>
      <c r="D80" s="132" t="n">
        <v>2295.52</v>
      </c>
      <c r="E80" s="82" t="n">
        <v>1978.9</v>
      </c>
      <c r="F80" s="82" t="n">
        <v>573.88</v>
      </c>
      <c r="G80" s="81" t="n">
        <v>494.72</v>
      </c>
      <c r="H80" s="84" t="n"/>
      <c r="I80" s="84" t="n">
        <v>4</v>
      </c>
      <c r="J80" s="84" t="n">
        <v>4</v>
      </c>
      <c r="K80" s="133" t="n">
        <v>46296</v>
      </c>
      <c r="L80" s="170" t="inlineStr">
        <is>
          <t>SILVANA</t>
        </is>
      </c>
      <c r="M80" s="84" t="n"/>
      <c r="N80" s="84" t="inlineStr">
        <is>
          <t>MAURICIO</t>
        </is>
      </c>
    </row>
    <row r="81">
      <c r="A81" s="87" t="n"/>
      <c r="B81" s="91" t="inlineStr">
        <is>
          <t>yvesrochermexico</t>
        </is>
      </c>
      <c r="C81" s="91" t="inlineStr">
        <is>
          <t>MX</t>
        </is>
      </c>
      <c r="D81" s="132" t="n">
        <v>6828.06</v>
      </c>
      <c r="E81" s="82" t="n">
        <v>5886.26</v>
      </c>
      <c r="F81" s="82" t="n">
        <v>1517.35</v>
      </c>
      <c r="G81" s="81" t="n">
        <v>1308.06</v>
      </c>
      <c r="H81" s="84" t="n"/>
      <c r="I81" s="84" t="n">
        <v>4.37</v>
      </c>
      <c r="J81" s="84" t="n">
        <v>4.5</v>
      </c>
      <c r="K81" s="133" t="n">
        <v>46301</v>
      </c>
      <c r="L81" s="170" t="inlineStr">
        <is>
          <t>PAOLA LUNA</t>
        </is>
      </c>
      <c r="M81" s="84" t="n"/>
      <c r="N81" s="84" t="inlineStr">
        <is>
          <t>MAURICIO</t>
        </is>
      </c>
    </row>
    <row r="82">
      <c r="A82" s="87" t="n"/>
      <c r="B82" s="91" t="inlineStr">
        <is>
          <t>yvesrochermexico</t>
        </is>
      </c>
      <c r="C82" s="91" t="inlineStr">
        <is>
          <t>MX</t>
        </is>
      </c>
      <c r="D82" s="132" t="n">
        <v>4857.14</v>
      </c>
      <c r="E82" s="82" t="n">
        <v>4187.19</v>
      </c>
      <c r="F82" s="82" t="n">
        <v>1214.29</v>
      </c>
      <c r="G82" s="81" t="n">
        <v>1046.8</v>
      </c>
      <c r="H82" s="84" t="n"/>
      <c r="I82" s="84" t="n">
        <v>3.78</v>
      </c>
      <c r="J82" s="84" t="n">
        <v>4</v>
      </c>
      <c r="K82" s="133" t="n">
        <v>46303</v>
      </c>
      <c r="L82" s="170" t="inlineStr">
        <is>
          <t>BRENDA LOPEZ</t>
        </is>
      </c>
      <c r="M82" s="84" t="n"/>
      <c r="N82" s="84" t="inlineStr">
        <is>
          <t>MAURICIO</t>
        </is>
      </c>
    </row>
    <row r="83">
      <c r="A83" s="87" t="n"/>
      <c r="B83" s="91" t="inlineStr">
        <is>
          <t>yvesrochermexico</t>
        </is>
      </c>
      <c r="C83" s="91" t="inlineStr">
        <is>
          <t>MX</t>
        </is>
      </c>
      <c r="D83" s="132" t="n">
        <v>5553.12</v>
      </c>
      <c r="E83" s="82" t="n">
        <v>4787.17</v>
      </c>
      <c r="F83" s="82" t="n">
        <v>1388.28</v>
      </c>
      <c r="G83" s="81" t="n">
        <v>1196.79</v>
      </c>
      <c r="H83" s="84" t="n"/>
      <c r="I83" s="84" t="n">
        <v>4.05</v>
      </c>
      <c r="J83" s="84" t="n">
        <v>4</v>
      </c>
      <c r="K83" s="133" t="n">
        <v>46305</v>
      </c>
      <c r="L83" s="170" t="inlineStr">
        <is>
          <t>BRENDA LOPEZ</t>
        </is>
      </c>
      <c r="M83" s="84" t="n"/>
      <c r="N83" s="84" t="inlineStr">
        <is>
          <t>MAURICIO</t>
        </is>
      </c>
    </row>
    <row r="84">
      <c r="A84" s="87" t="n"/>
      <c r="B84" s="91" t="inlineStr">
        <is>
          <t>yvesrochermexico</t>
        </is>
      </c>
      <c r="C84" s="91" t="inlineStr">
        <is>
          <t>MX</t>
        </is>
      </c>
      <c r="D84" s="132" t="n">
        <v>847.8</v>
      </c>
      <c r="E84" s="82" t="n">
        <v>730.86</v>
      </c>
      <c r="F84" s="82" t="n">
        <v>211.95</v>
      </c>
      <c r="G84" s="81" t="n">
        <v>182.72</v>
      </c>
      <c r="H84" s="84" t="n"/>
      <c r="I84" s="84" t="n">
        <v>3.98</v>
      </c>
      <c r="J84" s="84" t="n">
        <v>4</v>
      </c>
      <c r="K84" s="133" t="n">
        <v>46308</v>
      </c>
      <c r="L84" s="170" t="inlineStr">
        <is>
          <t>BRENDA LOPEZ</t>
        </is>
      </c>
      <c r="M84" s="84" t="n"/>
      <c r="N84" s="84" t="inlineStr">
        <is>
          <t>MAURICIO</t>
        </is>
      </c>
    </row>
    <row r="85">
      <c r="A85" s="87" t="n"/>
      <c r="B85" s="91" t="inlineStr">
        <is>
          <t>yvesrochermexico</t>
        </is>
      </c>
      <c r="C85" s="91" t="inlineStr">
        <is>
          <t>MX</t>
        </is>
      </c>
      <c r="D85" s="132" t="n">
        <v>3253.41</v>
      </c>
      <c r="E85" s="82" t="n">
        <v>2804.66</v>
      </c>
      <c r="F85" s="82" t="n">
        <v>813.35</v>
      </c>
      <c r="G85" s="81" t="n">
        <v>701.17</v>
      </c>
      <c r="H85" s="84" t="n"/>
      <c r="I85" s="84" t="n">
        <v>3.98</v>
      </c>
      <c r="J85" s="84" t="n">
        <v>4</v>
      </c>
      <c r="K85" s="133" t="n">
        <v>46310</v>
      </c>
      <c r="L85" s="170" t="inlineStr">
        <is>
          <t>SILVANA</t>
        </is>
      </c>
      <c r="M85" s="84" t="n"/>
      <c r="N85" s="84" t="inlineStr">
        <is>
          <t>MAURICIO</t>
        </is>
      </c>
    </row>
    <row r="86">
      <c r="A86" s="87" t="n"/>
      <c r="B86" s="91" t="inlineStr">
        <is>
          <t>yvesrochermexico</t>
        </is>
      </c>
      <c r="C86" s="91" t="inlineStr">
        <is>
          <t>MX</t>
        </is>
      </c>
      <c r="D86" s="132" t="n">
        <v>3663.9</v>
      </c>
      <c r="E86" s="82" t="n">
        <v>3158.53</v>
      </c>
      <c r="F86" s="82" t="n">
        <v>915.98</v>
      </c>
      <c r="G86" s="81" t="n">
        <v>789.63</v>
      </c>
      <c r="H86" s="84" t="n"/>
      <c r="I86" s="84" t="n">
        <v>4.02</v>
      </c>
      <c r="J86" s="84" t="n">
        <v>4</v>
      </c>
      <c r="K86" s="133" t="n">
        <v>46312</v>
      </c>
      <c r="L86" s="170" t="inlineStr">
        <is>
          <t>BRENDA LOPEZ</t>
        </is>
      </c>
      <c r="M86" s="84" t="n"/>
      <c r="N86" s="84" t="inlineStr">
        <is>
          <t>MAURICIO</t>
        </is>
      </c>
    </row>
    <row r="87">
      <c r="A87" s="87" t="n"/>
      <c r="B87" s="91" t="inlineStr">
        <is>
          <t>yvesrochermexico</t>
        </is>
      </c>
      <c r="C87" s="91" t="inlineStr">
        <is>
          <t>MX</t>
        </is>
      </c>
      <c r="D87" s="132" t="n">
        <v>3031.88</v>
      </c>
      <c r="E87" s="82" t="n">
        <v>2613.69</v>
      </c>
      <c r="F87" s="82" t="n">
        <v>757.97</v>
      </c>
      <c r="G87" s="81" t="n">
        <v>653.42</v>
      </c>
      <c r="H87" s="84" t="n"/>
      <c r="I87" s="84" t="n">
        <v>3.98</v>
      </c>
      <c r="J87" s="84" t="n">
        <v>4</v>
      </c>
      <c r="K87" s="133" t="n">
        <v>46315</v>
      </c>
      <c r="L87" s="170" t="inlineStr">
        <is>
          <t>SILVANA</t>
        </is>
      </c>
      <c r="M87" s="84" t="n"/>
      <c r="N87" s="84" t="inlineStr">
        <is>
          <t>MAURICIO</t>
        </is>
      </c>
    </row>
    <row r="88">
      <c r="A88" s="87" t="n"/>
      <c r="B88" s="91" t="inlineStr">
        <is>
          <t>yvesrochermexico</t>
        </is>
      </c>
      <c r="C88" s="91" t="inlineStr">
        <is>
          <t>MX</t>
        </is>
      </c>
      <c r="D88" s="132" t="n">
        <v>1644.08</v>
      </c>
      <c r="E88" s="82" t="n">
        <v>1417.31</v>
      </c>
      <c r="F88" s="82" t="n">
        <v>411.02</v>
      </c>
      <c r="G88" s="81" t="n">
        <v>354.33</v>
      </c>
      <c r="H88" s="84" t="n"/>
      <c r="I88" s="84" t="n">
        <v>4</v>
      </c>
      <c r="J88" s="84" t="n">
        <v>4</v>
      </c>
      <c r="K88" s="133" t="n">
        <v>46317</v>
      </c>
      <c r="L88" s="170" t="inlineStr">
        <is>
          <t>BRENDA LOPEZ</t>
        </is>
      </c>
      <c r="M88" s="84" t="n"/>
      <c r="N88" s="84" t="inlineStr">
        <is>
          <t>MAURICIO</t>
        </is>
      </c>
    </row>
    <row r="89">
      <c r="A89" s="87" t="n"/>
      <c r="B89" s="91" t="inlineStr">
        <is>
          <t>yvesrochermexico</t>
        </is>
      </c>
      <c r="C89" s="91" t="inlineStr">
        <is>
          <t>MX</t>
        </is>
      </c>
      <c r="D89" s="132" t="n">
        <v>5200.68</v>
      </c>
      <c r="E89" s="82" t="n">
        <v>4483.34</v>
      </c>
      <c r="F89" s="82" t="n">
        <v>1155.71</v>
      </c>
      <c r="G89" s="81" t="n">
        <v>996.3</v>
      </c>
      <c r="H89" s="84" t="n"/>
      <c r="I89" s="84" t="n">
        <v>4.47</v>
      </c>
      <c r="J89" s="84" t="n">
        <v>4.5</v>
      </c>
      <c r="K89" s="133" t="n">
        <v>46319</v>
      </c>
      <c r="L89" s="170" t="inlineStr">
        <is>
          <t>BRENDA LOPEZ</t>
        </is>
      </c>
      <c r="M89" s="84" t="n"/>
      <c r="N89" s="84" t="inlineStr">
        <is>
          <t>MAURICIO</t>
        </is>
      </c>
    </row>
    <row r="90">
      <c r="A90" s="87" t="inlineStr">
        <is>
          <t>7701502111297276724</t>
        </is>
      </c>
      <c r="B90" s="91" t="inlineStr">
        <is>
          <t>yvesrochermexico</t>
        </is>
      </c>
      <c r="C90" s="91" t="inlineStr">
        <is>
          <t>MX</t>
        </is>
      </c>
      <c r="D90" s="132" t="n">
        <v>1065.13</v>
      </c>
      <c r="E90" s="82">
        <f>D90/1.16</f>
        <v/>
      </c>
      <c r="F90" s="82">
        <f>IFERROR(D90/J90,0)</f>
        <v/>
      </c>
      <c r="G90" s="81">
        <f>F90/1.16</f>
        <v/>
      </c>
      <c r="H90" s="84" t="n"/>
      <c r="I90" s="84" t="n">
        <v>2.01</v>
      </c>
      <c r="J90" s="84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84" t="n"/>
      <c r="N90" s="84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9"/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8"/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LET(dec, I20-INT(I20), IF(dec&lt;0.1, INT(I20), IF(dec&lt;=0.7, INT(I20)+0.5, INT(I20)+1)))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LET(dec, I21-INT(I21), IF(dec&lt;0.1, INT(I21), IF(dec&lt;=0.7, INT(I21)+0.5, INT(I21)+1)))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LET(dec, I22-INT(I22), IF(dec&lt;0.1, INT(I22), IF(dec&lt;=0.7, INT(I22)+0.5, INT(I22)+1)))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LET(dec, I23-INT(I23), IF(dec&lt;0.1, INT(I23), IF(dec&lt;=0.7, INT(I23)+0.5, INT(I23)+1)))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LET(dec, I24-INT(I24), IF(dec&lt;0.1, INT(I24), IF(dec&lt;=0.7, INT(I24)+0.5, INT(I24)+1)))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LET(dec, I25-INT(I25), IF(dec&lt;0.1, INT(I25), IF(dec&lt;=0.7, INT(I25)+0.5, INT(I25)+1)))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LET(dec, I26-INT(I26), IF(dec&lt;0.1, INT(I26), IF(dec&lt;=0.7, INT(I26)+0.5, INT(I26)+1)))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LET(dec, I27-INT(I27), IF(dec&lt;0.1, INT(I27), IF(dec&lt;=0.7, INT(I27)+0.5, INT(I27)+1)))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LET(dec, I28-INT(I28), IF(dec&lt;0.1, INT(I28), IF(dec&lt;=0.7, INT(I28)+0.5, INT(I28)+1)))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LET(dec, I29-INT(I29), IF(dec&lt;0.1, INT(I29), IF(dec&lt;=0.7, INT(I29)+0.5, INT(I29)+1)))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LET(dec, I30-INT(I30), IF(dec&lt;0.1, INT(I30), IF(dec&lt;=0.7, INT(I30)+0.5, INT(I30)+1)))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LET(dec, I31-INT(I31), IF(dec&lt;0.1, INT(I31), IF(dec&lt;=0.7, INT(I31)+0.5, INT(I31)+1)))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LET(dec, I32-INT(I32), IF(dec&lt;0.1, INT(I32), IF(dec&lt;=0.7, INT(I32)+0.5, INT(I32)+1)))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3"/>
    <row r="34"/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1" t="inlineStr">
        <is>
          <t>magnaperfumes</t>
        </is>
      </c>
      <c r="C36" s="91" t="inlineStr">
        <is>
          <t>MX</t>
        </is>
      </c>
      <c r="D36" s="129" t="n">
        <v>2310</v>
      </c>
      <c r="E36" s="82" t="n">
        <v>1991.38</v>
      </c>
      <c r="F36" s="82" t="n">
        <v>577.5</v>
      </c>
      <c r="G36" s="82" t="n">
        <v>497.84</v>
      </c>
      <c r="H36" s="84" t="n"/>
      <c r="I36" s="84" t="n">
        <v>4.02</v>
      </c>
      <c r="J36" s="84" t="n">
        <v>4</v>
      </c>
      <c r="K36" s="130" t="n">
        <v>46293</v>
      </c>
      <c r="L36" s="91" t="inlineStr">
        <is>
          <t>EMILIANO</t>
        </is>
      </c>
      <c r="M36" s="84" t="n"/>
      <c r="N36" s="84" t="inlineStr">
        <is>
          <t>GUILLERMO</t>
        </is>
      </c>
    </row>
    <row r="37">
      <c r="A37" s="87" t="inlineStr">
        <is>
          <t>7691111026963516180</t>
        </is>
      </c>
      <c r="B37" s="91" t="inlineStr">
        <is>
          <t>magnaperfumes</t>
        </is>
      </c>
      <c r="C37" s="91" t="inlineStr">
        <is>
          <t>MX</t>
        </is>
      </c>
      <c r="D37" s="129" t="n">
        <v>4723</v>
      </c>
      <c r="E37" s="82" t="n">
        <v>4071.38</v>
      </c>
      <c r="F37" s="82" t="n">
        <v>1180.7</v>
      </c>
      <c r="G37" s="82" t="n">
        <v>1017.84</v>
      </c>
      <c r="H37" s="84" t="n"/>
      <c r="I37" s="84" t="n">
        <v>4.01</v>
      </c>
      <c r="J37" s="84" t="n">
        <v>4</v>
      </c>
      <c r="K37" s="130" t="n">
        <v>46294</v>
      </c>
      <c r="L37" s="91" t="inlineStr">
        <is>
          <t>MILI CONCHA</t>
        </is>
      </c>
      <c r="M37" s="84" t="n"/>
      <c r="N37" s="84" t="inlineStr">
        <is>
          <t>GUILLERMO</t>
        </is>
      </c>
    </row>
    <row r="38">
      <c r="A38" s="87" t="inlineStr">
        <is>
          <t>7691405005455903495</t>
        </is>
      </c>
      <c r="B38" s="91" t="inlineStr">
        <is>
          <t>magnaperfumes</t>
        </is>
      </c>
      <c r="C38" s="91" t="inlineStr">
        <is>
          <t>MX</t>
        </is>
      </c>
      <c r="D38" s="129" t="n">
        <v>20457</v>
      </c>
      <c r="E38" s="82" t="n">
        <v>17635.31</v>
      </c>
      <c r="F38" s="82" t="n">
        <v>3409.49</v>
      </c>
      <c r="G38" s="82" t="n">
        <v>2939.22</v>
      </c>
      <c r="H38" s="84" t="n"/>
      <c r="I38" s="84" t="n">
        <v>6.06</v>
      </c>
      <c r="J38" s="84" t="n">
        <v>6</v>
      </c>
      <c r="K38" s="130" t="n">
        <v>46295</v>
      </c>
      <c r="L38" s="91" t="inlineStr">
        <is>
          <t>EMILIANO</t>
        </is>
      </c>
      <c r="M38" s="84" t="inlineStr">
        <is>
          <t>MILI CONCHA</t>
        </is>
      </c>
      <c r="N38" s="84" t="inlineStr">
        <is>
          <t>GUILLERMO</t>
        </is>
      </c>
    </row>
    <row r="39">
      <c r="A39" s="87" t="inlineStr">
        <is>
          <t>7691760829912288020</t>
        </is>
      </c>
      <c r="B39" s="91" t="inlineStr">
        <is>
          <t>magnaperfumes</t>
        </is>
      </c>
      <c r="C39" s="91" t="inlineStr">
        <is>
          <t>MX</t>
        </is>
      </c>
      <c r="D39" s="129" t="n">
        <v>23521</v>
      </c>
      <c r="E39" s="82" t="n">
        <v>20276.34</v>
      </c>
      <c r="F39" s="82" t="n">
        <v>4704.11</v>
      </c>
      <c r="G39" s="82" t="n">
        <v>4055.27</v>
      </c>
      <c r="H39" s="84" t="n"/>
      <c r="I39" s="84" t="n">
        <v>5</v>
      </c>
      <c r="J39" s="84" t="n">
        <v>5</v>
      </c>
      <c r="K39" s="130" t="n">
        <v>46296</v>
      </c>
      <c r="L39" s="91" t="inlineStr">
        <is>
          <t>MILI CONCHA</t>
        </is>
      </c>
      <c r="M39" s="84" t="n"/>
      <c r="N39" s="84" t="inlineStr">
        <is>
          <t>MAURICIO</t>
        </is>
      </c>
    </row>
    <row r="40">
      <c r="A40" s="87" t="inlineStr">
        <is>
          <t>7693245157185162004</t>
        </is>
      </c>
      <c r="B40" s="91" t="inlineStr">
        <is>
          <t>magnaperfumes</t>
        </is>
      </c>
      <c r="C40" s="91" t="inlineStr">
        <is>
          <t>MX</t>
        </is>
      </c>
      <c r="D40" s="129" t="n">
        <v>30317</v>
      </c>
      <c r="E40" s="82" t="n">
        <v>26135.41</v>
      </c>
      <c r="F40" s="82" t="n">
        <v>6063.42</v>
      </c>
      <c r="G40" s="82" t="n">
        <v>5227.08</v>
      </c>
      <c r="H40" s="84" t="n"/>
      <c r="I40" s="84" t="n">
        <v>5.01</v>
      </c>
      <c r="J40" s="84" t="n">
        <v>5</v>
      </c>
      <c r="K40" s="130" t="n">
        <v>46300</v>
      </c>
      <c r="L40" s="91" t="inlineStr">
        <is>
          <t>MILI CONCHA</t>
        </is>
      </c>
      <c r="M40" s="84" t="n"/>
      <c r="N40" s="84" t="inlineStr">
        <is>
          <t>MAURICIO</t>
        </is>
      </c>
    </row>
    <row r="41">
      <c r="A41" s="87" t="inlineStr">
        <is>
          <t>7693618475143924501</t>
        </is>
      </c>
      <c r="B41" s="91" t="inlineStr">
        <is>
          <t>magnaperfumes</t>
        </is>
      </c>
      <c r="C41" s="91" t="inlineStr">
        <is>
          <t>MX</t>
        </is>
      </c>
      <c r="D41" s="129" t="n">
        <v>13582</v>
      </c>
      <c r="E41" s="82" t="n">
        <v>11708.88</v>
      </c>
      <c r="F41" s="82" t="n">
        <v>2716.46</v>
      </c>
      <c r="G41" s="82" t="n">
        <v>2341.78</v>
      </c>
      <c r="H41" s="84" t="n"/>
      <c r="I41" s="84" t="n">
        <v>4.88</v>
      </c>
      <c r="J41" s="84" t="n">
        <v>5</v>
      </c>
      <c r="K41" s="130" t="n">
        <v>46301</v>
      </c>
      <c r="L41" s="91" t="inlineStr">
        <is>
          <t>EMILIANO</t>
        </is>
      </c>
      <c r="M41" s="84" t="n"/>
      <c r="N41" s="84" t="inlineStr">
        <is>
          <t>MAURICIO</t>
        </is>
      </c>
    </row>
    <row r="42">
      <c r="A42" s="87" t="inlineStr">
        <is>
          <t>7693987871442979604</t>
        </is>
      </c>
      <c r="B42" s="91" t="inlineStr">
        <is>
          <t>magnaperfumes</t>
        </is>
      </c>
      <c r="C42" s="91" t="inlineStr">
        <is>
          <t>MX</t>
        </is>
      </c>
      <c r="D42" s="129" t="n">
        <v>19524</v>
      </c>
      <c r="E42" s="82" t="n">
        <v>16831.03</v>
      </c>
      <c r="F42" s="82" t="n">
        <v>3549.82</v>
      </c>
      <c r="G42" s="82" t="n">
        <v>3060.19</v>
      </c>
      <c r="H42" s="84" t="n"/>
      <c r="I42" s="84" t="n">
        <v>5.12</v>
      </c>
      <c r="J42" s="84" t="n">
        <v>5.5</v>
      </c>
      <c r="K42" s="130" t="n">
        <v>46302</v>
      </c>
      <c r="L42" s="91" t="inlineStr">
        <is>
          <t>MILI CONCHA</t>
        </is>
      </c>
      <c r="M42" s="84" t="n"/>
      <c r="N42" s="84" t="inlineStr">
        <is>
          <t>MAURICIO</t>
        </is>
      </c>
    </row>
    <row r="43">
      <c r="A43" s="87" t="inlineStr">
        <is>
          <t>7694365950274964245</t>
        </is>
      </c>
      <c r="B43" s="91" t="inlineStr">
        <is>
          <t>magnaperfumes</t>
        </is>
      </c>
      <c r="C43" s="91" t="inlineStr">
        <is>
          <t>MX</t>
        </is>
      </c>
      <c r="D43" s="129" t="n">
        <v>11669</v>
      </c>
      <c r="E43" s="82" t="n">
        <v>10059.14</v>
      </c>
      <c r="F43" s="82" t="n">
        <v>2333.72</v>
      </c>
      <c r="G43" s="82" t="n">
        <v>2011.83</v>
      </c>
      <c r="H43" s="84" t="n"/>
      <c r="I43" s="84" t="n">
        <v>5.01</v>
      </c>
      <c r="J43" s="84" t="n">
        <v>5</v>
      </c>
      <c r="K43" s="130" t="n">
        <v>46303</v>
      </c>
      <c r="L43" s="91" t="inlineStr">
        <is>
          <t>MILI CONCHA</t>
        </is>
      </c>
      <c r="M43" s="84" t="n"/>
      <c r="N43" s="84" t="inlineStr">
        <is>
          <t>MAURICIO</t>
        </is>
      </c>
    </row>
    <row r="44">
      <c r="A44" s="87" t="inlineStr">
        <is>
          <t>7695148471849978632</t>
        </is>
      </c>
      <c r="B44" s="91" t="inlineStr">
        <is>
          <t>magnaperfumes</t>
        </is>
      </c>
      <c r="C44" s="91" t="inlineStr">
        <is>
          <t>MX</t>
        </is>
      </c>
      <c r="D44" s="129" t="n">
        <v>14701</v>
      </c>
      <c r="E44" s="82" t="n">
        <v>12673.53</v>
      </c>
      <c r="F44" s="82" t="n">
        <v>2940.26</v>
      </c>
      <c r="G44" s="82" t="n">
        <v>2534.71</v>
      </c>
      <c r="H44" s="84" t="n"/>
      <c r="I44" s="84" t="n">
        <v>5</v>
      </c>
      <c r="J44" s="84" t="n">
        <v>5</v>
      </c>
      <c r="K44" s="130" t="n">
        <v>46305</v>
      </c>
      <c r="L44" s="91" t="inlineStr">
        <is>
          <t>MILI CONCHA</t>
        </is>
      </c>
      <c r="M44" s="84" t="n"/>
      <c r="N44" s="84" t="inlineStr">
        <is>
          <t>MAURICIO</t>
        </is>
      </c>
    </row>
    <row r="45">
      <c r="A45" s="87" t="inlineStr">
        <is>
          <t>7695888902548949780</t>
        </is>
      </c>
      <c r="B45" s="91" t="inlineStr">
        <is>
          <t>magnaperfumes</t>
        </is>
      </c>
      <c r="C45" s="91" t="inlineStr">
        <is>
          <t>MX</t>
        </is>
      </c>
      <c r="D45" s="129" t="n">
        <v>18220</v>
      </c>
      <c r="E45" s="82" t="n">
        <v>15706.48</v>
      </c>
      <c r="F45" s="82" t="n">
        <v>3643.9</v>
      </c>
      <c r="G45" s="82" t="n">
        <v>3141.3</v>
      </c>
      <c r="H45" s="84" t="n"/>
      <c r="I45" s="84" t="n">
        <v>5</v>
      </c>
      <c r="J45" s="84" t="n">
        <v>5</v>
      </c>
      <c r="K45" s="130" t="n">
        <v>46307</v>
      </c>
      <c r="L45" s="91" t="inlineStr">
        <is>
          <t>MILI CONCHA</t>
        </is>
      </c>
      <c r="M45" s="84" t="n"/>
      <c r="N45" s="84" t="inlineStr">
        <is>
          <t>MAURICIO</t>
        </is>
      </c>
    </row>
    <row r="46">
      <c r="A46" s="87" t="inlineStr">
        <is>
          <t>7696214914004388615</t>
        </is>
      </c>
      <c r="B46" s="91" t="inlineStr">
        <is>
          <t>magnaperfumes</t>
        </is>
      </c>
      <c r="C46" s="91" t="inlineStr">
        <is>
          <t>MX</t>
        </is>
      </c>
      <c r="D46" s="129" t="n">
        <v>12349</v>
      </c>
      <c r="E46" s="82" t="n">
        <v>10645.99</v>
      </c>
      <c r="F46" s="82" t="n">
        <v>2469.87</v>
      </c>
      <c r="G46" s="82" t="n">
        <v>2129.2</v>
      </c>
      <c r="H46" s="84" t="n"/>
      <c r="I46" s="84" t="n">
        <v>5.02</v>
      </c>
      <c r="J46" s="84" t="n">
        <v>5</v>
      </c>
      <c r="K46" s="130" t="n">
        <v>46308</v>
      </c>
      <c r="L46" s="91" t="inlineStr">
        <is>
          <t>MILI CONCHA</t>
        </is>
      </c>
      <c r="M46" s="84" t="n"/>
      <c r="N46" s="84" t="inlineStr">
        <is>
          <t>MAURICIO</t>
        </is>
      </c>
    </row>
    <row r="47">
      <c r="A47" s="87" t="inlineStr">
        <is>
          <t>7696618133628652308</t>
        </is>
      </c>
      <c r="B47" s="91" t="inlineStr">
        <is>
          <t>magnaperfumes</t>
        </is>
      </c>
      <c r="C47" s="91" t="inlineStr">
        <is>
          <t>MX</t>
        </is>
      </c>
      <c r="D47" s="129" t="n">
        <v>21088</v>
      </c>
      <c r="E47" s="82" t="n">
        <v>18179.41</v>
      </c>
      <c r="F47" s="82" t="n">
        <v>4217.62</v>
      </c>
      <c r="G47" s="82" t="n">
        <v>3635.88</v>
      </c>
      <c r="H47" s="84" t="n"/>
      <c r="I47" s="84" t="n">
        <v>4.85</v>
      </c>
      <c r="J47" s="84" t="n">
        <v>5</v>
      </c>
      <c r="K47" s="130" t="n">
        <v>46309</v>
      </c>
      <c r="L47" s="91" t="inlineStr">
        <is>
          <t>EMILIANO</t>
        </is>
      </c>
      <c r="M47" s="84" t="n"/>
      <c r="N47" s="84" t="inlineStr">
        <is>
          <t>MAURICIO</t>
        </is>
      </c>
    </row>
    <row r="48">
      <c r="A48" s="87" t="inlineStr">
        <is>
          <t>7696943118515587848</t>
        </is>
      </c>
      <c r="B48" s="91" t="inlineStr">
        <is>
          <t>magnaperfumes</t>
        </is>
      </c>
      <c r="C48" s="91" t="inlineStr">
        <is>
          <t>MX</t>
        </is>
      </c>
      <c r="D48" s="129" t="n">
        <v>39923</v>
      </c>
      <c r="E48" s="82" t="n">
        <v>34416.32</v>
      </c>
      <c r="F48" s="82" t="n">
        <v>6653.82</v>
      </c>
      <c r="G48" s="82" t="n">
        <v>5736.05</v>
      </c>
      <c r="H48" s="84" t="n"/>
      <c r="I48" s="84" t="n">
        <v>6.03</v>
      </c>
      <c r="J48" s="84" t="n">
        <v>6</v>
      </c>
      <c r="K48" s="130" t="n">
        <v>46310</v>
      </c>
      <c r="L48" s="91" t="inlineStr">
        <is>
          <t>MILI CONCHA</t>
        </is>
      </c>
      <c r="M48" s="84" t="n"/>
      <c r="N48" s="84" t="inlineStr">
        <is>
          <t>MAURICIO</t>
        </is>
      </c>
    </row>
    <row r="49">
      <c r="A49" s="87" t="inlineStr">
        <is>
          <t>7697331521921387271</t>
        </is>
      </c>
      <c r="B49" s="91" t="inlineStr">
        <is>
          <t>magnaperfumes</t>
        </is>
      </c>
      <c r="C49" s="91" t="inlineStr">
        <is>
          <t>MX</t>
        </is>
      </c>
      <c r="D49" s="129" t="n">
        <v>46471</v>
      </c>
      <c r="E49" s="82" t="n">
        <v>40060.99</v>
      </c>
      <c r="F49" s="82" t="n">
        <v>7745.13</v>
      </c>
      <c r="G49" s="82" t="n">
        <v>6676.83</v>
      </c>
      <c r="H49" s="84" t="n"/>
      <c r="I49" s="84" t="n">
        <v>6</v>
      </c>
      <c r="J49" s="84" t="n">
        <v>6</v>
      </c>
      <c r="K49" s="130" t="n">
        <v>46311</v>
      </c>
      <c r="L49" s="91" t="inlineStr">
        <is>
          <t>MILI CONCHA</t>
        </is>
      </c>
      <c r="M49" s="84" t="n"/>
      <c r="N49" s="84" t="inlineStr">
        <is>
          <t>MAURICIO</t>
        </is>
      </c>
    </row>
    <row r="50">
      <c r="A50" s="87" t="inlineStr">
        <is>
          <t>7697750321540123400</t>
        </is>
      </c>
      <c r="B50" s="91" t="inlineStr">
        <is>
          <t>magnaperfumes</t>
        </is>
      </c>
      <c r="C50" s="91" t="inlineStr">
        <is>
          <t>MX</t>
        </is>
      </c>
      <c r="D50" s="129" t="n">
        <v>31554</v>
      </c>
      <c r="E50" s="82" t="n">
        <v>27202.15</v>
      </c>
      <c r="F50" s="82" t="n">
        <v>6310.9</v>
      </c>
      <c r="G50" s="82" t="n">
        <v>5440.43</v>
      </c>
      <c r="H50" s="84" t="n"/>
      <c r="I50" s="84" t="n">
        <v>5.08</v>
      </c>
      <c r="J50" s="84" t="n">
        <v>5</v>
      </c>
      <c r="K50" s="130" t="n">
        <v>46312</v>
      </c>
      <c r="L50" s="91" t="inlineStr">
        <is>
          <t>MILI CONCHA</t>
        </is>
      </c>
      <c r="M50" s="84" t="n"/>
      <c r="N50" s="84" t="inlineStr">
        <is>
          <t>MAURICIO</t>
        </is>
      </c>
    </row>
    <row r="51">
      <c r="A51" s="87" t="inlineStr">
        <is>
          <t>7698456999080807188</t>
        </is>
      </c>
      <c r="B51" s="91" t="inlineStr">
        <is>
          <t>magnaperfumes</t>
        </is>
      </c>
      <c r="C51" s="91" t="inlineStr">
        <is>
          <t>MX</t>
        </is>
      </c>
      <c r="D51" s="129" t="n">
        <v>33922</v>
      </c>
      <c r="E51" s="82" t="n">
        <v>29243.13</v>
      </c>
      <c r="F51" s="82" t="n">
        <v>6784.41</v>
      </c>
      <c r="G51" s="82" t="n">
        <v>5848.63</v>
      </c>
      <c r="H51" s="84" t="n"/>
      <c r="I51" s="84" t="n">
        <v>5.05</v>
      </c>
      <c r="J51" s="84" t="n">
        <v>5</v>
      </c>
      <c r="K51" s="130" t="n">
        <v>46314</v>
      </c>
      <c r="L51" s="91" t="inlineStr">
        <is>
          <t>MILI CONCHA</t>
        </is>
      </c>
      <c r="M51" s="84" t="n"/>
      <c r="N51" s="84" t="inlineStr">
        <is>
          <t>MAURICIO</t>
        </is>
      </c>
    </row>
    <row r="52">
      <c r="A52" s="87" t="inlineStr">
        <is>
          <t>7698812975243627285</t>
        </is>
      </c>
      <c r="B52" s="91" t="inlineStr">
        <is>
          <t>magnaperfumes</t>
        </is>
      </c>
      <c r="C52" s="91" t="inlineStr">
        <is>
          <t>MX</t>
        </is>
      </c>
      <c r="D52" s="129" t="n">
        <v>23556</v>
      </c>
      <c r="E52" s="82" t="n">
        <v>20306.51</v>
      </c>
      <c r="F52" s="82" t="n">
        <v>4711.11</v>
      </c>
      <c r="G52" s="82" t="n">
        <v>4061.3</v>
      </c>
      <c r="H52" s="84" t="n"/>
      <c r="I52" s="84" t="n">
        <v>5.02</v>
      </c>
      <c r="J52" s="84" t="n">
        <v>5</v>
      </c>
      <c r="K52" s="130" t="n">
        <v>46315</v>
      </c>
      <c r="L52" s="91" t="inlineStr">
        <is>
          <t>MILI CONCHA</t>
        </is>
      </c>
      <c r="M52" s="84" t="n"/>
      <c r="N52" s="84" t="inlineStr">
        <is>
          <t>MAURICIO</t>
        </is>
      </c>
    </row>
    <row r="53">
      <c r="A53" s="87" t="inlineStr">
        <is>
          <t>7699169492438338311</t>
        </is>
      </c>
      <c r="B53" s="91" t="inlineStr">
        <is>
          <t>magnaperfumes</t>
        </is>
      </c>
      <c r="C53" s="91" t="inlineStr">
        <is>
          <t>MX</t>
        </is>
      </c>
      <c r="D53" s="129" t="n">
        <v>37322</v>
      </c>
      <c r="E53" s="82" t="n">
        <v>32173.76</v>
      </c>
      <c r="F53" s="82" t="n">
        <v>7464.31</v>
      </c>
      <c r="G53" s="82" t="n">
        <v>6434.75</v>
      </c>
      <c r="H53" s="84" t="n"/>
      <c r="I53" s="84" t="n">
        <v>5</v>
      </c>
      <c r="J53" s="84" t="n">
        <v>5</v>
      </c>
      <c r="K53" s="130" t="n">
        <v>46316</v>
      </c>
      <c r="L53" s="91" t="inlineStr">
        <is>
          <t>MILI CONCHA</t>
        </is>
      </c>
      <c r="M53" s="84" t="n"/>
      <c r="N53" s="84" t="inlineStr">
        <is>
          <t>MOISES</t>
        </is>
      </c>
    </row>
    <row r="54">
      <c r="A54" s="87" t="inlineStr">
        <is>
          <t>7699554401588988692</t>
        </is>
      </c>
      <c r="B54" s="91" t="inlineStr">
        <is>
          <t>magnaperfumes</t>
        </is>
      </c>
      <c r="C54" s="91" t="inlineStr">
        <is>
          <t>MX</t>
        </is>
      </c>
      <c r="D54" s="129" t="n">
        <v>22714</v>
      </c>
      <c r="E54" s="82" t="n">
        <v>19580.72</v>
      </c>
      <c r="F54" s="82" t="n">
        <v>4542.73</v>
      </c>
      <c r="G54" s="82" t="n">
        <v>3916.14</v>
      </c>
      <c r="H54" s="84" t="n"/>
      <c r="I54" s="84" t="n">
        <v>5</v>
      </c>
      <c r="J54" s="84" t="n">
        <v>5</v>
      </c>
      <c r="K54" s="130" t="n">
        <v>46317</v>
      </c>
      <c r="L54" s="91" t="inlineStr">
        <is>
          <t>EMILIANO</t>
        </is>
      </c>
      <c r="M54" s="84" t="inlineStr">
        <is>
          <t>MILI CONCHA</t>
        </is>
      </c>
      <c r="N54" s="84" t="inlineStr">
        <is>
          <t>MAURICIO</t>
        </is>
      </c>
    </row>
    <row r="55">
      <c r="A55" s="87" t="inlineStr">
        <is>
          <t>7699925853836806920</t>
        </is>
      </c>
      <c r="B55" s="91" t="inlineStr">
        <is>
          <t>magnaperfumes</t>
        </is>
      </c>
      <c r="C55" s="91" t="inlineStr">
        <is>
          <t>MX</t>
        </is>
      </c>
      <c r="D55" s="129" t="n">
        <v>58065</v>
      </c>
      <c r="E55" s="82" t="n">
        <v>50056.37</v>
      </c>
      <c r="F55" s="82" t="n">
        <v>9677.57</v>
      </c>
      <c r="G55" s="82" t="n">
        <v>8342.73</v>
      </c>
      <c r="H55" s="84" t="n"/>
      <c r="I55" s="84" t="n">
        <v>6</v>
      </c>
      <c r="J55" s="84" t="n">
        <v>6</v>
      </c>
      <c r="K55" s="130" t="n">
        <v>46318</v>
      </c>
      <c r="L55" s="91" t="inlineStr">
        <is>
          <t>MILI CONCHA</t>
        </is>
      </c>
      <c r="M55" s="84" t="n"/>
      <c r="N55" s="84" t="inlineStr">
        <is>
          <t>MAURICIO</t>
        </is>
      </c>
    </row>
    <row r="56">
      <c r="A56" s="87" t="inlineStr">
        <is>
          <t>7701413419903142662</t>
        </is>
      </c>
      <c r="B56" s="91" t="inlineStr">
        <is>
          <t>magnaperfumes</t>
        </is>
      </c>
      <c r="C56" s="91" t="inlineStr">
        <is>
          <t>MX</t>
        </is>
      </c>
      <c r="D56" s="129" t="n">
        <v>26942</v>
      </c>
      <c r="E56" s="82">
        <f>D56/1.16</f>
        <v/>
      </c>
      <c r="F56" s="82">
        <f>IFERROR(D56/J56,0)</f>
        <v/>
      </c>
      <c r="G56" s="82">
        <f>F56/1.16</f>
        <v/>
      </c>
      <c r="H56" s="84" t="n"/>
      <c r="I56" s="84" t="n">
        <v>6.03</v>
      </c>
      <c r="J56" s="84">
        <f>IF(I56-INT(I56)&lt;0.1,INT(I56),IF(I56-INT(I56)&lt;=0.7,INT(I56)+0.5,INT(I56)+1))</f>
        <v/>
      </c>
      <c r="K56" s="130" t="n">
        <v>46322</v>
      </c>
      <c r="L56" s="91" t="inlineStr">
        <is>
          <t>MILI CONCHA</t>
        </is>
      </c>
      <c r="M56" s="84" t="n"/>
      <c r="N56" s="84" t="inlineStr">
        <is>
          <t>MAURICIO</t>
        </is>
      </c>
    </row>
    <row r="57"/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LET(dec, I2-INT(I2), IF(dec&lt;0.1, INT(I2), IF(dec&lt;=0.7, INT(I2)+0.5, INT(I2)+1)))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LET(dec, I3-INT(I3), IF(dec&lt;0.1, INT(I3), IF(dec&lt;=0.7, INT(I3)+0.5, INT(I3)+1)))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LET(dec, I4-INT(I4), IF(dec&lt;0.1, INT(I4), IF(dec&lt;=0.7, INT(I4)+0.5, INT(I4)+1)))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LET(dec, I5-INT(I5), IF(dec&lt;0.1, INT(I5), IF(dec&lt;=0.7, INT(I5)+0.5, INT(I5)+1)))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LET(dec, I6-INT(I6), IF(dec&lt;0.1, INT(I6), IF(dec&lt;=0.7, INT(I6)+0.5, INT(I6)+1)))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LET(dec, I10-INT(I10), IF(dec&lt;0.1, INT(I10), IF(dec&lt;=0.7, INT(I10)+0.5, INT(I10)+1)))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LET(dec, I11-INT(I11), IF(dec&lt;0.1, INT(I11), IF(dec&lt;=0.7, INT(I11)+0.5, INT(I11)+1)))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LET(dec, I12-INT(I12), IF(dec&lt;0.1, INT(I12), IF(dec&lt;=0.7, INT(I12)+0.5, INT(I12)+1)))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LET(dec, I13-INT(I13), IF(dec&lt;0.1, INT(I13), IF(dec&lt;=0.7, INT(I13)+0.5, INT(I13)+1)))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LET(dec, I14-INT(I14), IF(dec&lt;0.1, INT(I14), IF(dec&lt;=0.7, INT(I14)+0.5, INT(I14)+1)))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LET(dec, I15-INT(I15), IF(dec&lt;0.1, INT(I15), IF(dec&lt;=0.7, INT(I15)+0.5, INT(I15)+1)))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LET(dec, I16-INT(I16), IF(dec&lt;0.1, INT(I16), IF(dec&lt;=0.7, INT(I16)+0.5, INT(I16)+1)))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LET(dec, I32-INT(I32), IF(dec&lt;0.1, INT(I32), IF(dec&lt;=0.7, INT(I32)+0.5, INT(I32)+1)))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LET(dec, I33-INT(I33), IF(dec&lt;0.1, INT(I33), IF(dec&lt;=0.7, INT(I33)+0.5, INT(I33)+1)))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LET(dec, I34-INT(I34), IF(dec&lt;0.1, INT(I34), IF(dec&lt;=0.7, INT(I34)+0.5, INT(I34)+1)))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LET(dec, I35-INT(I35), IF(dec&lt;0.1, INT(I35), IF(dec&lt;=0.7, INT(I35)+0.5, INT(I35)+1)))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LET(dec, I36-INT(I36), IF(dec&lt;0.1, INT(I36), IF(dec&lt;=0.7, INT(I36)+0.5, INT(I36)+1)))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LET(dec, I37-INT(I37), IF(dec&lt;0.1, INT(I37), IF(dec&lt;=0.7, INT(I37)+0.5, INT(I37)+1)))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LET(dec, I38-INT(I38), IF(dec&lt;0.1, INT(I38), IF(dec&lt;=0.7, INT(I38)+0.5, INT(I38)+1)))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LET(dec, I39-INT(I39), IF(dec&lt;0.1, INT(I39), IF(dec&lt;=0.7, INT(I39)+0.5, INT(I39)+1)))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LET(dec, I40-INT(I40), IF(dec&lt;0.1, INT(I40), IF(dec&lt;=0.7, INT(I40)+0.5, INT(I40)+1)))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LET(dec, I41-INT(I41), IF(dec&lt;0.1, INT(I41), IF(dec&lt;=0.7, INT(I41)+0.5, INT(I41)+1)))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LET(dec, I42-INT(I42), IF(dec&lt;0.1, INT(I42), IF(dec&lt;=0.7, INT(I42)+0.5, INT(I42)+1)))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LET(dec, I43-INT(I43), IF(dec&lt;0.1, INT(I43), IF(dec&lt;=0.7, INT(I43)+0.5, INT(I43)+1)))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1" t="inlineStr">
        <is>
          <t>revlonmexico</t>
        </is>
      </c>
      <c r="C46" s="91" t="inlineStr">
        <is>
          <t>MX</t>
        </is>
      </c>
      <c r="D46" s="129" t="n">
        <v>3430</v>
      </c>
      <c r="E46" s="82" t="n">
        <v>2956.64</v>
      </c>
      <c r="F46" s="82" t="n">
        <v>1143.23</v>
      </c>
      <c r="G46" s="81" t="n">
        <v>985.55</v>
      </c>
      <c r="H46" s="84" t="n"/>
      <c r="I46" s="84" t="n">
        <v>3.04</v>
      </c>
      <c r="J46" s="84" t="n">
        <v>3</v>
      </c>
      <c r="K46" s="130" t="n">
        <v>46293</v>
      </c>
      <c r="L46" s="110" t="inlineStr">
        <is>
          <t>Emily Bustamante</t>
        </is>
      </c>
      <c r="M46" s="84" t="n"/>
      <c r="N46" s="84" t="inlineStr">
        <is>
          <t>MOISES</t>
        </is>
      </c>
    </row>
    <row r="47">
      <c r="A47" s="87" t="inlineStr">
        <is>
          <t>7693708803850242836</t>
        </is>
      </c>
      <c r="B47" s="91" t="inlineStr">
        <is>
          <t>revlonmexico</t>
        </is>
      </c>
      <c r="C47" s="91" t="inlineStr">
        <is>
          <t>MX</t>
        </is>
      </c>
      <c r="D47" s="129" t="n">
        <v>4226</v>
      </c>
      <c r="E47" s="82" t="n">
        <v>3642.91</v>
      </c>
      <c r="F47" s="82" t="n">
        <v>1408.59</v>
      </c>
      <c r="G47" s="81" t="n">
        <v>1214.3</v>
      </c>
      <c r="H47" s="84" t="n"/>
      <c r="I47" s="84" t="n">
        <v>3.01</v>
      </c>
      <c r="J47" s="84" t="n">
        <v>3</v>
      </c>
      <c r="K47" s="130" t="n">
        <v>46301</v>
      </c>
      <c r="L47" s="91" t="inlineStr">
        <is>
          <t>BRENDA LOPEZ</t>
        </is>
      </c>
      <c r="M47" s="84" t="n"/>
      <c r="N47" s="84" t="inlineStr">
        <is>
          <t>MOISES</t>
        </is>
      </c>
    </row>
    <row r="48">
      <c r="A48" s="87" t="inlineStr">
        <is>
          <t>7694452498953816839</t>
        </is>
      </c>
      <c r="B48" s="91" t="inlineStr">
        <is>
          <t>revlonmexico</t>
        </is>
      </c>
      <c r="C48" s="91" t="inlineStr">
        <is>
          <t>MX</t>
        </is>
      </c>
      <c r="D48" s="129" t="n">
        <v>3272</v>
      </c>
      <c r="E48" s="82" t="n">
        <v>2820.62</v>
      </c>
      <c r="F48" s="82" t="n">
        <v>1090.64</v>
      </c>
      <c r="G48" s="81" t="n">
        <v>940.21</v>
      </c>
      <c r="H48" s="84" t="n"/>
      <c r="I48" s="84" t="n">
        <v>3.02</v>
      </c>
      <c r="J48" s="84" t="n">
        <v>3</v>
      </c>
      <c r="K48" s="130" t="n">
        <v>46303</v>
      </c>
      <c r="L48" s="110" t="inlineStr">
        <is>
          <t>Emily Bustamante</t>
        </is>
      </c>
      <c r="M48" s="84" t="n"/>
      <c r="N48" s="84" t="inlineStr">
        <is>
          <t>MOISES</t>
        </is>
      </c>
    </row>
    <row r="49">
      <c r="A49" s="87" t="inlineStr">
        <is>
          <t>7696306304524077831</t>
        </is>
      </c>
      <c r="B49" s="91" t="inlineStr">
        <is>
          <t>revlonmexico</t>
        </is>
      </c>
      <c r="C49" s="91" t="inlineStr">
        <is>
          <t>MX</t>
        </is>
      </c>
      <c r="D49" s="129" t="n">
        <v>1881</v>
      </c>
      <c r="E49" s="82" t="n">
        <v>1621.38</v>
      </c>
      <c r="F49" s="82" t="n">
        <v>626.9299999999999</v>
      </c>
      <c r="G49" s="81" t="n">
        <v>540.46</v>
      </c>
      <c r="H49" s="84" t="n"/>
      <c r="I49" s="84" t="n">
        <v>3.08</v>
      </c>
      <c r="J49" s="84" t="n">
        <v>3</v>
      </c>
      <c r="K49" s="130" t="n">
        <v>46308</v>
      </c>
      <c r="L49" s="91" t="inlineStr">
        <is>
          <t>KARIM</t>
        </is>
      </c>
      <c r="M49" s="84" t="n"/>
      <c r="N49" s="84" t="inlineStr">
        <is>
          <t>MOISES</t>
        </is>
      </c>
    </row>
    <row r="50">
      <c r="A50" s="87" t="inlineStr">
        <is>
          <t>7697048716272618241</t>
        </is>
      </c>
      <c r="B50" s="91" t="inlineStr">
        <is>
          <t>revlonmexico</t>
        </is>
      </c>
      <c r="C50" s="91" t="inlineStr">
        <is>
          <t>MX</t>
        </is>
      </c>
      <c r="D50" s="129" t="n">
        <v>2877</v>
      </c>
      <c r="E50" s="82" t="n">
        <v>2479.87</v>
      </c>
      <c r="F50" s="82" t="n">
        <v>719.16</v>
      </c>
      <c r="G50" s="81" t="n">
        <v>619.97</v>
      </c>
      <c r="H50" s="84" t="n"/>
      <c r="I50" s="84" t="n">
        <v>4</v>
      </c>
      <c r="J50" s="84" t="n">
        <v>4</v>
      </c>
      <c r="K50" s="130" t="n">
        <v>46310</v>
      </c>
      <c r="L50" s="91" t="inlineStr">
        <is>
          <t>BRENDA LOPEZ</t>
        </is>
      </c>
      <c r="M50" s="84" t="n"/>
      <c r="N50" s="84" t="inlineStr">
        <is>
          <t>MOISES</t>
        </is>
      </c>
    </row>
    <row r="51">
      <c r="A51" s="87" t="inlineStr">
        <is>
          <t>7697790926735166224</t>
        </is>
      </c>
      <c r="B51" s="91" t="inlineStr">
        <is>
          <t>revlonmexico</t>
        </is>
      </c>
      <c r="C51" s="91" t="inlineStr">
        <is>
          <t>MX</t>
        </is>
      </c>
      <c r="D51" s="129" t="n">
        <v>2571</v>
      </c>
      <c r="E51" s="82" t="n">
        <v>2216.51</v>
      </c>
      <c r="F51" s="82" t="n">
        <v>734.61</v>
      </c>
      <c r="G51" s="81" t="n">
        <v>633.29</v>
      </c>
      <c r="H51" s="84" t="n"/>
      <c r="I51" s="84" t="n">
        <v>3.12</v>
      </c>
      <c r="J51" s="84" t="n">
        <v>3.5</v>
      </c>
      <c r="K51" s="130" t="n">
        <v>46312</v>
      </c>
      <c r="L51" s="110" t="inlineStr">
        <is>
          <t>Emily Bustamante</t>
        </is>
      </c>
      <c r="M51" s="84" t="n"/>
      <c r="N51" s="84" t="inlineStr">
        <is>
          <t>MOISES</t>
        </is>
      </c>
    </row>
    <row r="52">
      <c r="A52" s="87" t="inlineStr">
        <is>
          <t>7698904628225772306</t>
        </is>
      </c>
      <c r="B52" s="91" t="inlineStr">
        <is>
          <t>revlonmexico</t>
        </is>
      </c>
      <c r="C52" s="91" t="inlineStr">
        <is>
          <t>MX</t>
        </is>
      </c>
      <c r="D52" s="129" t="n">
        <v>2400</v>
      </c>
      <c r="E52" s="82" t="n">
        <v>2068.97</v>
      </c>
      <c r="F52" s="82" t="n">
        <v>800</v>
      </c>
      <c r="G52" s="81" t="n">
        <v>689.66</v>
      </c>
      <c r="H52" s="84" t="n"/>
      <c r="I52" s="84" t="n">
        <v>3.04</v>
      </c>
      <c r="J52" s="84" t="n">
        <v>3</v>
      </c>
      <c r="K52" s="130" t="n">
        <v>46315</v>
      </c>
      <c r="L52" s="91" t="inlineStr">
        <is>
          <t>KARIM</t>
        </is>
      </c>
      <c r="M52" s="84" t="n"/>
      <c r="N52" s="84" t="inlineStr">
        <is>
          <t>MOISES</t>
        </is>
      </c>
    </row>
    <row r="53">
      <c r="A53" s="87" t="inlineStr">
        <is>
          <t>7699645187568847636</t>
        </is>
      </c>
      <c r="B53" s="91" t="inlineStr">
        <is>
          <t>revlonmexico</t>
        </is>
      </c>
      <c r="C53" s="91" t="inlineStr">
        <is>
          <t>MX</t>
        </is>
      </c>
      <c r="D53" s="129" t="n">
        <v>3466</v>
      </c>
      <c r="E53" s="82" t="n">
        <v>2988.23</v>
      </c>
      <c r="F53" s="82" t="n">
        <v>990.39</v>
      </c>
      <c r="G53" s="81" t="n">
        <v>853.78</v>
      </c>
      <c r="H53" s="84" t="n"/>
      <c r="I53" s="84" t="n">
        <v>3.1</v>
      </c>
      <c r="J53" s="84" t="n">
        <v>3.5</v>
      </c>
      <c r="K53" s="130" t="n">
        <v>46317</v>
      </c>
      <c r="L53" s="110" t="inlineStr">
        <is>
          <t>Emily Bustamante</t>
        </is>
      </c>
      <c r="M53" s="84" t="n"/>
      <c r="N53" s="84" t="inlineStr">
        <is>
          <t>MOISES</t>
        </is>
      </c>
    </row>
    <row r="54">
      <c r="A54" s="87" t="inlineStr">
        <is>
          <t>7700016107565959943</t>
        </is>
      </c>
      <c r="B54" s="91" t="inlineStr">
        <is>
          <t>revlonmexico</t>
        </is>
      </c>
      <c r="C54" s="91" t="inlineStr">
        <is>
          <t>MX</t>
        </is>
      </c>
      <c r="D54" s="129" t="n">
        <v>1577</v>
      </c>
      <c r="E54" s="82" t="n">
        <v>1359.05</v>
      </c>
      <c r="F54" s="82" t="n">
        <v>450.43</v>
      </c>
      <c r="G54" s="81" t="n">
        <v>388.3</v>
      </c>
      <c r="H54" s="84" t="n"/>
      <c r="I54" s="84" t="n">
        <v>3.1</v>
      </c>
      <c r="J54" s="84" t="n">
        <v>3.5</v>
      </c>
      <c r="K54" s="130" t="n">
        <v>46318</v>
      </c>
      <c r="L54" s="91" t="inlineStr">
        <is>
          <t>BRENDA LOPEZ</t>
        </is>
      </c>
      <c r="M54" s="84" t="n"/>
      <c r="N54" s="84" t="inlineStr">
        <is>
          <t>MOISES</t>
        </is>
      </c>
    </row>
    <row r="55">
      <c r="A55" s="87" t="inlineStr">
        <is>
          <t>7701132019296242440</t>
        </is>
      </c>
      <c r="B55" s="91" t="inlineStr">
        <is>
          <t>revlonmexico</t>
        </is>
      </c>
      <c r="C55" s="91" t="inlineStr">
        <is>
          <t>MX</t>
        </is>
      </c>
      <c r="D55" s="129" t="n">
        <v>2833</v>
      </c>
      <c r="E55" s="82" t="n">
        <v>2442.04</v>
      </c>
      <c r="F55" s="82" t="n">
        <v>944.26</v>
      </c>
      <c r="G55" s="81" t="n">
        <v>814.01</v>
      </c>
      <c r="H55" s="84" t="n"/>
      <c r="I55" s="84" t="n">
        <v>3.01</v>
      </c>
      <c r="J55" s="84" t="n">
        <v>3</v>
      </c>
      <c r="K55" s="130" t="n">
        <v>46321</v>
      </c>
      <c r="L55" s="91" t="inlineStr">
        <is>
          <t>BRENDA LOPEZ</t>
        </is>
      </c>
      <c r="M55" s="84" t="n"/>
      <c r="N55" s="84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LET(dec, I2-INT(I2), IF(dec&lt;0.1, INT(I2), IF(dec&lt;=0.7, INT(I2)+0.5, INT(I2)+1)))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LET(dec, I3-INT(I3), IF(dec&lt;0.1, INT(I3), IF(dec&lt;=0.7, INT(I3)+0.5, INT(I3)+1)))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LET(dec, I4-INT(I4), IF(dec&lt;0.1, INT(I4), IF(dec&lt;=0.7, INT(I4)+0.5, INT(I4)+1)))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LET(dec, I5-INT(I5), IF(dec&lt;0.1, INT(I5), IF(dec&lt;=0.7, INT(I5)+0.5, INT(I5)+1)))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LET(dec, I6-INT(I6), IF(dec&lt;0.1, INT(I6), IF(dec&lt;=0.7, INT(I6)+0.5, INT(I6)+1)))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LET(dec, I7-INT(I7), IF(dec&lt;0.1, INT(I7), IF(dec&lt;=0.7, INT(I7)+0.5, INT(I7)+1)))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LET(dec, I8-INT(I8), IF(dec&lt;0.1, INT(I8), IF(dec&lt;=0.7, INT(I8)+0.5, INT(I8)+1)))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LET(dec, I9-INT(I9), IF(dec&lt;0.1, INT(I9), IF(dec&lt;=0.7, INT(I9)+0.5, INT(I9)+1)))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LET(dec, I10-INT(I10), IF(dec&lt;0.1, INT(I10), IF(dec&lt;=0.7, INT(I10)+0.5, INT(I10)+1)))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LET(dec, I11-INT(I11), IF(dec&lt;0.1, INT(I11), IF(dec&lt;=0.7, INT(I11)+0.5, INT(I11)+1)))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LET(dec, I2-INT(I2), IF(dec&lt;0.1, INT(I2), IF(dec&lt;=0.7, INT(I2)+0.5, INT(I2)+1)))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LET(dec, I3-INT(I3), IF(dec&lt;0.1, INT(I3), IF(dec&lt;=0.7, INT(I3)+0.5, INT(I3)+1)))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LET(dec, I4-INT(I4), IF(dec&lt;0.1, INT(I4), IF(dec&lt;=0.7, INT(I4)+0.5, INT(I4)+1)))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LET(dec, I6-INT(I6), IF(dec&lt;0.1, INT(I6), IF(dec&lt;=0.7, INT(I6)+0.5, INT(I6)+1)))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LET(dec, I8-INT(I8), IF(dec&lt;0.1, INT(I8), IF(dec&lt;=0.7, INT(I8)+0.5, INT(I8)+1)))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LET(dec, I10-INT(I10), IF(dec&lt;0.1, INT(I10), IF(dec&lt;=0.7, INT(I10)+0.5, INT(I10)+1)))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LET(dec, I11-INT(I11), IF(dec&lt;0.1, INT(I11), IF(dec&lt;=0.7, INT(I11)+0.5, INT(I11)+1)))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LET(dec, I12-INT(I12), IF(dec&lt;0.1, INT(I12), IF(dec&lt;=0.7, INT(I12)+0.5, INT(I12)+1)))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LET(dec, I13-INT(I13), IF(dec&lt;0.1, INT(I13), IF(dec&lt;=0.7, INT(I13)+0.5, INT(I13)+1)))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LET(dec, I14-INT(I14), IF(dec&lt;0.1, INT(I14), IF(dec&lt;=0.7, INT(I14)+0.5, INT(I14)+1)))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LET(dec, I15-INT(I15), IF(dec&lt;0.1, INT(I15), IF(dec&lt;=0.7, INT(I15)+0.5, INT(I15)+1)))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LET(dec, I16-INT(I16), IF(dec&lt;0.1, INT(I16), IF(dec&lt;=0.7, INT(I16)+0.5, INT(I16)+1)))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LET(dec, I17-INT(I17), IF(dec&lt;0.1, INT(I17), IF(dec&lt;=0.7, INT(I17)+0.5, INT(I17)+1)))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LET(dec, I18-INT(I18), IF(dec&lt;0.1, INT(I18), IF(dec&lt;=0.7, INT(I18)+0.5, INT(I18)+1)))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LET(dec, I19-INT(I19), IF(dec&lt;0.1, INT(I19), IF(dec&lt;=0.7, INT(I19)+0.5, INT(I19)+1)))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LET(dec, I20-INT(I20), IF(dec&lt;0.1, INT(I20), IF(dec&lt;=0.7, INT(I20)+0.5, INT(I20)+1)))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LET(dec, I21-INT(I21), IF(dec&lt;0.1, INT(I21), IF(dec&lt;=0.7, INT(I21)+0.5, INT(I21)+1)))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LET(dec, I22-INT(I22), IF(dec&lt;0.1, INT(I22), IF(dec&lt;=0.7, INT(I22)+0.5, INT(I22)+1)))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LET(dec, I23-INT(I23), IF(dec&lt;0.1, INT(I23), IF(dec&lt;=0.7, INT(I23)+0.5, INT(I23)+1)))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LET(dec, I24-INT(I24), IF(dec&lt;0.1, INT(I24), IF(dec&lt;=0.7, INT(I24)+0.5, INT(I24)+1)))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LET(dec, I27-INT(I27), IF(dec&lt;0.1, INT(I27), IF(dec&lt;=0.7, INT(I27)+0.5, INT(I27)+1)))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LET(dec, I28-INT(I28), IF(dec&lt;0.1, INT(I28), IF(dec&lt;=0.7, INT(I28)+0.5, INT(I28)+1)))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LET(dec, I29-INT(I29), IF(dec&lt;0.1, INT(I29), IF(dec&lt;=0.7, INT(I29)+0.5, INT(I29)+1)))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LET(dec, I30-INT(I30), IF(dec&lt;0.1, INT(I30), IF(dec&lt;=0.7, INT(I30)+0.5, INT(I30)+1)))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LET(dec, I31-INT(I31), IF(dec&lt;0.1, INT(I31), IF(dec&lt;=0.7, INT(I31)+0.5, INT(I31)+1)))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LET(dec, I32-INT(I32), IF(dec&lt;0.1, INT(I32), IF(dec&lt;=0.7, INT(I32)+0.5, INT(I32)+1)))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LET(dec, I33-INT(I33), IF(dec&lt;0.1, INT(I33), IF(dec&lt;=0.7, INT(I33)+0.5, INT(I33)+1)))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LET(dec, I34-INT(I34), IF(dec&lt;0.1, INT(I34), IF(dec&lt;=0.7, INT(I34)+0.5, INT(I34)+1)))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LET(dec, I35-INT(I35), IF(dec&lt;0.1, INT(I35), IF(dec&lt;=0.7, INT(I35)+0.5, INT(I35)+1)))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LET(dec, I36-INT(I36), IF(dec&lt;0.1, INT(I36), IF(dec&lt;=0.7, INT(I36)+0.5, INT(I36)+1)))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LET(dec, I37-INT(I37), IF(dec&lt;0.1, INT(I37), IF(dec&lt;=0.7, INT(I37)+0.5, INT(I37)+1)))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LET(dec, I38-INT(I38), IF(dec&lt;0.1, INT(I38), IF(dec&lt;=0.7, INT(I38)+0.5, INT(I38)+1)))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LET(dec, I39-INT(I39), IF(dec&lt;0.1, INT(I39), IF(dec&lt;=0.7, INT(I39)+0.5, INT(I39)+1)))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LET(dec, I40-INT(I40), IF(dec&lt;0.1, INT(I40), IF(dec&lt;=0.7, INT(I40)+0.5, INT(I40)+1)))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LET(dec, I41-INT(I41), IF(dec&lt;0.1, INT(I41), IF(dec&lt;=0.7, INT(I41)+0.5, INT(I41)+1)))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LET(dec, I42-INT(I42), IF(dec&lt;0.1, INT(I42), IF(dec&lt;=0.7, INT(I42)+0.5, INT(I42)+1)))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LET(dec, I43-INT(I43), IF(dec&lt;0.1, INT(I43), IF(dec&lt;=0.7, INT(I43)+0.5, INT(I43)+1)))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LET(dec, I44-INT(I44), IF(dec&lt;0.1, INT(I44), IF(dec&lt;=0.7, INT(I44)+0.5, INT(I44)+1)))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LET(dec, I45-INT(I45), IF(dec&lt;0.1, INT(I45), IF(dec&lt;=0.7, INT(I45)+0.5, INT(I45)+1)))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LET(dec, I46-INT(I46), IF(dec&lt;0.1, INT(I46), IF(dec&lt;=0.7, INT(I46)+0.5, INT(I46)+1)))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LET(dec, I47-INT(I47), IF(dec&lt;0.1, INT(I47), IF(dec&lt;=0.7, INT(I47)+0.5, INT(I47)+1)))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LET(dec, I48-INT(I48), IF(dec&lt;0.1, INT(I48), IF(dec&lt;=0.7, INT(I48)+0.5, INT(I48)+1)))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LET(dec, I49-INT(I49), IF(dec&lt;0.1, INT(I49), IF(dec&lt;=0.7, INT(I49)+0.5, INT(I49)+1)))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LET(dec, I50-INT(I50), IF(dec&lt;0.1, INT(I50), IF(dec&lt;=0.7, INT(I50)+0.5, INT(I50)+1)))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LET(dec, I54-INT(I54), IF(dec&lt;0.1, INT(I54), IF(dec&lt;=0.7, INT(I54)+0.5, INT(I54)+1)))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LET(dec, I55-INT(I55), IF(dec&lt;0.1, INT(I55), IF(dec&lt;=0.7, INT(I55)+0.5, INT(I55)+1)))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LET(dec, I56-INT(I56), IF(dec&lt;0.1, INT(I56), IF(dec&lt;=0.7, INT(I56)+0.5, INT(I56)+1)))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LET(dec, I57-INT(I57), IF(dec&lt;0.1, INT(I57), IF(dec&lt;=0.7, INT(I57)+0.5, INT(I57)+1)))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LET(dec, I58-INT(I58), IF(dec&lt;0.1, INT(I58), IF(dec&lt;=0.7, INT(I58)+0.5, INT(I58)+1)))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LET(dec, I59-INT(I59), IF(dec&lt;0.1, INT(I59), IF(dec&lt;=0.7, INT(I59)+0.5, INT(I59)+1)))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LET(dec, I60-INT(I60), IF(dec&lt;0.1, INT(I60), IF(dec&lt;=0.7, INT(I60)+0.5, INT(I60)+1)))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LET(dec, I61-INT(I61), IF(dec&lt;0.1, INT(I61), IF(dec&lt;=0.7, INT(I61)+0.5, INT(I61)+1)))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LET(dec, I62-INT(I62), IF(dec&lt;0.1, INT(I62), IF(dec&lt;=0.7, INT(I62)+0.5, INT(I62)+1)))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LET(dec, I63-INT(I63), IF(dec&lt;0.1, INT(I63), IF(dec&lt;=0.7, INT(I63)+0.5, INT(I63)+1)))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LET(dec, I64-INT(I64), IF(dec&lt;0.1, INT(I64), IF(dec&lt;=0.7, INT(I64)+0.5, INT(I64)+1)))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LET(dec, I65-INT(I65), IF(dec&lt;0.1, INT(I65), IF(dec&lt;=0.7, INT(I65)+0.5, INT(I65)+1)))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LET(dec, I66-INT(I66), IF(dec&lt;0.1, INT(I66), IF(dec&lt;=0.7, INT(I66)+0.5, INT(I66)+1)))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LET(dec, I67-INT(I67), IF(dec&lt;0.1, INT(I67), IF(dec&lt;=0.7, INT(I67)+0.5, INT(I67)+1)))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LET(dec, I68-INT(I68), IF(dec&lt;0.1, INT(I68), IF(dec&lt;=0.7, INT(I68)+0.5, INT(I68)+1)))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LET(dec, I69-INT(I69), IF(dec&lt;0.1, INT(I69), IF(dec&lt;=0.7, INT(I69)+0.5, INT(I69)+1)))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LET(dec, I70-INT(I70), IF(dec&lt;0.1, INT(I70), IF(dec&lt;=0.7, INT(I70)+0.5, INT(I70)+1)))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LET(dec, I71-INT(I71), IF(dec&lt;0.1, INT(I71), IF(dec&lt;=0.7, INT(I71)+0.5, INT(I71)+1)))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LET(dec, I72-INT(I72), IF(dec&lt;0.1, INT(I72), IF(dec&lt;=0.7, INT(I72)+0.5, INT(I72)+1)))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LET(dec, I73-INT(I73), IF(dec&lt;0.1, INT(I73), IF(dec&lt;=0.7, INT(I73)+0.5, INT(I73)+1)))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LET(dec, I74-INT(I74), IF(dec&lt;0.1, INT(I74), IF(dec&lt;=0.7, INT(I74)+0.5, INT(I74)+1)))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LET(dec, I75-INT(I75), IF(dec&lt;0.1, INT(I75), IF(dec&lt;=0.7, INT(I75)+0.5, INT(I75)+1)))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LET(dec, I76-INT(I76), IF(dec&lt;0.1, INT(I76), IF(dec&lt;=0.7, INT(I76)+0.5, INT(I76)+1)))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LET(dec, I79-INT(I79), IF(dec&lt;0.1, INT(I79), IF(dec&lt;=0.7, INT(I79)+0.5, INT(I79)+1)))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LET(dec, I80-INT(I80), IF(dec&lt;0.1, INT(I80), IF(dec&lt;=0.7, INT(I80)+0.5, INT(I80)+1)))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LET(dec, I81-INT(I81), IF(dec&lt;0.1, INT(I81), IF(dec&lt;=0.7, INT(I81)+0.5, INT(I81)+1)))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LET(dec, I82-INT(I82), IF(dec&lt;0.1, INT(I82), IF(dec&lt;=0.7, INT(I82)+0.5, INT(I82)+1)))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LET(dec, I83-INT(I83), IF(dec&lt;0.1, INT(I83), IF(dec&lt;=0.7, INT(I83)+0.5, INT(I83)+1)))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LET(dec, I84-INT(I84), IF(dec&lt;0.1, INT(I84), IF(dec&lt;=0.7, INT(I84)+0.5, INT(I84)+1)))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LET(dec, I85-INT(I85), IF(dec&lt;0.1, INT(I85), IF(dec&lt;=0.7, INT(I85)+0.5, INT(I85)+1)))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LET(dec, I86-INT(I86), IF(dec&lt;0.1, INT(I86), IF(dec&lt;=0.7, INT(I86)+0.5, INT(I86)+1)))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LET(dec, I87-INT(I87), IF(dec&lt;0.1, INT(I87), IF(dec&lt;=0.7, INT(I87)+0.5, INT(I87)+1)))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LET(dec, I88-INT(I88), IF(dec&lt;0.1, INT(I88), IF(dec&lt;=0.7, INT(I88)+0.5, INT(I88)+1)))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LET(dec, I89-INT(I89), IF(dec&lt;0.1, INT(I89), IF(dec&lt;=0.7, INT(I89)+0.5, INT(I89)+1)))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LET(dec, I90-INT(I90), IF(dec&lt;0.1, INT(I90), IF(dec&lt;=0.7, INT(I90)+0.5, INT(I90)+1)))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LET(dec, I91-INT(I91), IF(dec&lt;0.1, INT(I91), IF(dec&lt;=0.7, INT(I91)+0.5, INT(I91)+1)))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LET(dec, I92-INT(I92), IF(dec&lt;0.1, INT(I92), IF(dec&lt;=0.7, INT(I92)+0.5, INT(I92)+1)))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LET(dec, I93-INT(I93), IF(dec&lt;0.1, INT(I93), IF(dec&lt;=0.7, INT(I93)+0.5, INT(I93)+1)))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LET(dec, I94-INT(I94), IF(dec&lt;0.1, INT(I94), IF(dec&lt;=0.7, INT(I94)+0.5, INT(I94)+1)))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LET(dec, I95-INT(I95), IF(dec&lt;0.1, INT(I95), IF(dec&lt;=0.7, INT(I95)+0.5, INT(I95)+1)))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LET(dec, I96-INT(I96), IF(dec&lt;0.1, INT(I96), IF(dec&lt;=0.7, INT(I96)+0.5, INT(I96)+1)))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LET(dec, I97-INT(I97), IF(dec&lt;0.1, INT(I97), IF(dec&lt;=0.7, INT(I97)+0.5, INT(I97)+1)))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LET(dec, I98-INT(I98), IF(dec&lt;0.1, INT(I98), IF(dec&lt;=0.7, INT(I98)+0.5, INT(I98)+1)))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LET(dec, I99-INT(I99), IF(dec&lt;0.1, INT(I99), IF(dec&lt;=0.7, INT(I99)+0.5, INT(I99)+1)))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LET(dec, I100-INT(I100), IF(dec&lt;0.1, INT(I100), IF(dec&lt;=0.7, INT(I100)+0.5, INT(I100)+1)))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LET(dec, I101-INT(I101), IF(dec&lt;0.1, INT(I101), IF(dec&lt;=0.7, INT(I101)+0.5, INT(I101)+1)))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LET(dec, I102-INT(I102), IF(dec&lt;0.1, INT(I102), IF(dec&lt;=0.7, INT(I102)+0.5, INT(I102)+1)))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LET(dec, I103-INT(I103), IF(dec&lt;0.1, INT(I103), IF(dec&lt;=0.7, INT(I103)+0.5, INT(I103)+1)))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LET(dec, I106-INT(I106), IF(dec&lt;0.1, INT(I106), IF(dec&lt;=0.7, INT(I106)+0.5, INT(I106)+1)))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LET(dec, I107-INT(I107), IF(dec&lt;0.1, INT(I107), IF(dec&lt;=0.7, INT(I107)+0.5, INT(I107)+1)))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LET(dec, I108-INT(I108), IF(dec&lt;0.1, INT(I108), IF(dec&lt;=0.7, INT(I108)+0.5, INT(I108)+1)))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LET(dec, I109-INT(I109), IF(dec&lt;0.1, INT(I109), IF(dec&lt;=0.7, INT(I109)+0.5, INT(I109)+1)))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LET(dec, I110-INT(I110), IF(dec&lt;0.1, INT(I110), IF(dec&lt;=0.7, INT(I110)+0.5, INT(I110)+1)))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LET(dec, I111-INT(I111), IF(dec&lt;0.1, INT(I111), IF(dec&lt;=0.7, INT(I111)+0.5, INT(I111)+1)))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LET(dec, I112-INT(I112), IF(dec&lt;0.1, INT(I112), IF(dec&lt;=0.7, INT(I112)+0.5, INT(I112)+1)))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LET(dec, I113-INT(I113), IF(dec&lt;0.1, INT(I113), IF(dec&lt;=0.7, INT(I113)+0.5, INT(I113)+1)))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LET(dec, I114-INT(I114), IF(dec&lt;0.1, INT(I114), IF(dec&lt;=0.7, INT(I114)+0.5, INT(I114)+1)))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LET(dec, I115-INT(I115), IF(dec&lt;0.1, INT(I115), IF(dec&lt;=0.7, INT(I115)+0.5, INT(I115)+1)))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LET(dec, I116-INT(I116), IF(dec&lt;0.1, INT(I116), IF(dec&lt;=0.7, INT(I116)+0.5, INT(I116)+1)))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LET(dec, I117-INT(I117), IF(dec&lt;0.1, INT(I117), IF(dec&lt;=0.7, INT(I117)+0.5, INT(I117)+1)))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LET(dec, I118-INT(I118), IF(dec&lt;0.1, INT(I118), IF(dec&lt;=0.7, INT(I118)+0.5, INT(I118)+1)))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LET(dec, I119-INT(I119), IF(dec&lt;0.1, INT(I119), IF(dec&lt;=0.7, INT(I119)+0.5, INT(I119)+1)))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LET(dec, I120-INT(I120), IF(dec&lt;0.1, INT(I120), IF(dec&lt;=0.7, INT(I120)+0.5, INT(I120)+1)))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LET(dec, I121-INT(I121), IF(dec&lt;0.1, INT(I121), IF(dec&lt;=0.7, INT(I121)+0.5, INT(I121)+1)))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LET(dec, I122-INT(I122), IF(dec&lt;0.1, INT(I122), IF(dec&lt;=0.7, INT(I122)+0.5, INT(I122)+1)))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LET(dec, I123-INT(I123), IF(dec&lt;0.1, INT(I123), IF(dec&lt;=0.7, INT(I123)+0.5, INT(I123)+1)))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LET(dec, I124-INT(I124), IF(dec&lt;0.1, INT(I124), IF(dec&lt;=0.7, INT(I124)+0.5, INT(I124)+1)))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LET(dec, I125-INT(I125), IF(dec&lt;0.1, INT(I125), IF(dec&lt;=0.7, INT(I125)+0.5, INT(I125)+1)))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LET(dec, I126-INT(I126), IF(dec&lt;0.1, INT(I126), IF(dec&lt;=0.7, INT(I126)+0.5, INT(I126)+1)))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82" t="n">
        <v>56081.41</v>
      </c>
      <c r="F129" s="152" t="n">
        <v>10842.41</v>
      </c>
      <c r="G129" s="82" t="n">
        <v>9346.9</v>
      </c>
      <c r="H129" s="123" t="n"/>
      <c r="I129" s="123" t="n">
        <v>6.01</v>
      </c>
      <c r="J129" s="84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84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82" t="n">
        <v>84032.81</v>
      </c>
      <c r="F130" s="152" t="n">
        <v>16246.34</v>
      </c>
      <c r="G130" s="82" t="n">
        <v>14005.47</v>
      </c>
      <c r="H130" s="123" t="n"/>
      <c r="I130" s="123" t="n">
        <v>6</v>
      </c>
      <c r="J130" s="84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84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82" t="n">
        <v>190519.84</v>
      </c>
      <c r="F131" s="152" t="n">
        <v>15785.93</v>
      </c>
      <c r="G131" s="82" t="n">
        <v>13608.56</v>
      </c>
      <c r="H131" s="123" t="n"/>
      <c r="I131" s="123" t="n">
        <v>13.95</v>
      </c>
      <c r="J131" s="84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84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82" t="n">
        <v>16517.11</v>
      </c>
      <c r="F132" s="152" t="n">
        <v>3831.97</v>
      </c>
      <c r="G132" s="82" t="n">
        <v>3303.42</v>
      </c>
      <c r="H132" s="123" t="n"/>
      <c r="I132" s="123" t="n">
        <v>5.01</v>
      </c>
      <c r="J132" s="84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84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82" t="n">
        <v>130326.1</v>
      </c>
      <c r="F133" s="152" t="n">
        <v>12598.19</v>
      </c>
      <c r="G133" s="82" t="n">
        <v>10860.51</v>
      </c>
      <c r="H133" s="123" t="n"/>
      <c r="I133" s="123" t="n">
        <v>12.01</v>
      </c>
      <c r="J133" s="84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84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82" t="n">
        <v>265520.51</v>
      </c>
      <c r="F134" s="152" t="n">
        <v>38500.47</v>
      </c>
      <c r="G134" s="82" t="n">
        <v>33190.06</v>
      </c>
      <c r="H134" s="123" t="n"/>
      <c r="I134" s="123" t="n">
        <v>8</v>
      </c>
      <c r="J134" s="84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84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82" t="n">
        <v>73966.08</v>
      </c>
      <c r="F135" s="152" t="n">
        <v>8580.07</v>
      </c>
      <c r="G135" s="82" t="n">
        <v>7396.61</v>
      </c>
      <c r="H135" s="123" t="n"/>
      <c r="I135" s="123" t="n">
        <v>10.03</v>
      </c>
      <c r="J135" s="84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84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82" t="n">
        <v>70628.75999999999</v>
      </c>
      <c r="F136" s="152" t="n">
        <v>13654.89</v>
      </c>
      <c r="G136" s="82" t="n">
        <v>11771.46</v>
      </c>
      <c r="H136" s="123" t="n"/>
      <c r="I136" s="123" t="n">
        <v>6</v>
      </c>
      <c r="J136" s="84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84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82" t="n">
        <v>135894.47</v>
      </c>
      <c r="F137" s="152" t="n">
        <v>28661.38</v>
      </c>
      <c r="G137" s="82" t="n">
        <v>24708.08</v>
      </c>
      <c r="H137" s="123" t="n"/>
      <c r="I137" s="123" t="n">
        <v>5.34</v>
      </c>
      <c r="J137" s="84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84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82" t="n">
        <v>135878.28</v>
      </c>
      <c r="F138" s="152" t="n">
        <v>13705.98</v>
      </c>
      <c r="G138" s="82" t="n">
        <v>11815.5</v>
      </c>
      <c r="H138" s="123" t="n"/>
      <c r="I138" s="123" t="n">
        <v>11.51</v>
      </c>
      <c r="J138" s="84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84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82" t="n">
        <v>28295.93</v>
      </c>
      <c r="F139" s="152" t="n">
        <v>6564.66</v>
      </c>
      <c r="G139" s="82" t="n">
        <v>5659.19</v>
      </c>
      <c r="H139" s="123" t="n"/>
      <c r="I139" s="123" t="n">
        <v>5</v>
      </c>
      <c r="J139" s="84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84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82" t="n">
        <v>27329.72</v>
      </c>
      <c r="F140" s="152" t="n">
        <v>6340.49</v>
      </c>
      <c r="G140" s="82" t="n">
        <v>5465.94</v>
      </c>
      <c r="H140" s="123" t="n"/>
      <c r="I140" s="123" t="n">
        <v>5.01</v>
      </c>
      <c r="J140" s="84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84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82" t="n">
        <v>36155.58</v>
      </c>
      <c r="F141" s="152" t="n">
        <v>8388.09</v>
      </c>
      <c r="G141" s="82" t="n">
        <v>7231.12</v>
      </c>
      <c r="H141" s="123" t="n"/>
      <c r="I141" s="123" t="n">
        <v>5.05</v>
      </c>
      <c r="J141" s="84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84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82" t="n">
        <v>181657.87</v>
      </c>
      <c r="F142" s="152" t="n">
        <v>19156.65</v>
      </c>
      <c r="G142" s="82" t="n">
        <v>16514.35</v>
      </c>
      <c r="H142" s="123" t="n"/>
      <c r="I142" s="123" t="n">
        <v>11.01</v>
      </c>
      <c r="J142" s="84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84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82" t="n">
        <v>195901.6</v>
      </c>
      <c r="F143" s="152" t="n">
        <v>20658.71</v>
      </c>
      <c r="G143" s="82" t="n">
        <v>17809.24</v>
      </c>
      <c r="H143" s="123" t="n"/>
      <c r="I143" s="123" t="n">
        <v>11.08</v>
      </c>
      <c r="J143" s="84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84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82" t="n">
        <v>180063.12</v>
      </c>
      <c r="F144" s="152" t="n">
        <v>21986.65</v>
      </c>
      <c r="G144" s="82" t="n">
        <v>18954.01</v>
      </c>
      <c r="H144" s="123" t="n"/>
      <c r="I144" s="123" t="n">
        <v>9.49</v>
      </c>
      <c r="J144" s="84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84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82" t="n">
        <v>27992.97</v>
      </c>
      <c r="F145" s="152" t="n">
        <v>6494.37</v>
      </c>
      <c r="G145" s="82" t="n">
        <v>5598.59</v>
      </c>
      <c r="H145" s="123" t="n"/>
      <c r="I145" s="123" t="n">
        <v>5</v>
      </c>
      <c r="J145" s="84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84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82" t="n">
        <v>32389.34</v>
      </c>
      <c r="F146" s="152" t="n">
        <v>7514.33</v>
      </c>
      <c r="G146" s="82" t="n">
        <v>6477.87</v>
      </c>
      <c r="H146" s="123" t="n"/>
      <c r="I146" s="123" t="n">
        <v>5.04</v>
      </c>
      <c r="J146" s="84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84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82" t="n">
        <v>29561.79</v>
      </c>
      <c r="F147" s="152" t="n">
        <v>6858.34</v>
      </c>
      <c r="G147" s="82" t="n">
        <v>5912.36</v>
      </c>
      <c r="H147" s="123" t="n"/>
      <c r="I147" s="123" t="n">
        <v>5.04</v>
      </c>
      <c r="J147" s="84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84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82" t="n">
        <v>36371.03</v>
      </c>
      <c r="F148" s="152" t="n">
        <v>7670.98</v>
      </c>
      <c r="G148" s="82" t="n">
        <v>6612.92</v>
      </c>
      <c r="H148" s="123" t="n"/>
      <c r="I148" s="123" t="n">
        <v>5.41</v>
      </c>
      <c r="J148" s="84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84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82" t="n">
        <v>49349.16</v>
      </c>
      <c r="F149" s="152" t="n">
        <v>10408.19</v>
      </c>
      <c r="G149" s="82" t="n">
        <v>8972.58</v>
      </c>
      <c r="H149" s="123" t="n"/>
      <c r="I149" s="123" t="n">
        <v>5.31</v>
      </c>
      <c r="J149" s="84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84" t="inlineStr">
        <is>
          <t>RODRIGO LOPEZ</t>
        </is>
      </c>
    </row>
    <row r="150">
      <c r="D150" s="146" t="n"/>
      <c r="F150" s="146" t="n"/>
      <c r="K150" s="107" t="n"/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LET(dec, I2-INT(I2), IF(dec&lt;0.1, INT(I2), IF(dec&lt;=0.7, INT(I2)+0.5, INT(I2)+1)))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LET(dec, I3-INT(I3), IF(dec&lt;0.1, INT(I3), IF(dec&lt;=0.7, INT(I3)+0.5, INT(I3)+1)))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LET(dec, I4-INT(I4), IF(dec&lt;0.1, INT(I4), IF(dec&lt;=0.7, INT(I4)+0.5, INT(I4)+1)))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LET(dec, I5-INT(I5), IF(dec&lt;0.1, INT(I5), IF(dec&lt;=0.7, INT(I5)+0.5, INT(I5)+1)))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LET(dec, I6-INT(I6), IF(dec&lt;0.1, INT(I6), IF(dec&lt;=0.7, INT(I6)+0.5, INT(I6)+1)))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LET(dec, I7-INT(I7), IF(dec&lt;0.1, INT(I7), IF(dec&lt;=0.7, INT(I7)+0.5, INT(I7)+1)))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LET(dec, I8-INT(I8), IF(dec&lt;0.1, INT(I8), IF(dec&lt;=0.7, INT(I8)+0.5, INT(I8)+1)))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LET(dec, I9-INT(I9), IF(dec&lt;0.1, INT(I9), IF(dec&lt;=0.7, INT(I9)+0.5, INT(I9)+1)))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LET(dec, I10-INT(I10), IF(dec&lt;0.1, INT(I10), IF(dec&lt;=0.7, INT(I10)+0.5, INT(I10)+1)))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LET(dec, I11-INT(I11), IF(dec&lt;0.1, INT(I11), IF(dec&lt;=0.7, INT(I11)+0.5, INT(I11)+1)))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LET(dec, I12-INT(I12), IF(dec&lt;0.1, INT(I12), IF(dec&lt;=0.7, INT(I12)+0.5, INT(I12)+1)))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LET(dec, I13-INT(I13), IF(dec&lt;0.1, INT(I13), IF(dec&lt;=0.7, INT(I13)+0.5, INT(I13)+1)))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LET(dec, I14-INT(I14), IF(dec&lt;0.1, INT(I14), IF(dec&lt;=0.7, INT(I14)+0.5, INT(I14)+1)))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LET(dec, I15-INT(I15), IF(dec&lt;0.1, INT(I15), IF(dec&lt;=0.7, INT(I15)+0.5, INT(I15)+1)))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LET(dec, I16-INT(I16), IF(dec&lt;0.1, INT(I16), IF(dec&lt;=0.7, INT(I16)+0.5, INT(I16)+1)))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LET(dec, I17-INT(I17), IF(dec&lt;0.1, INT(I17), IF(dec&lt;=0.7, INT(I17)+0.5, INT(I17)+1)))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LET(dec, I18-INT(I18), IF(dec&lt;0.1, INT(I18), IF(dec&lt;=0.7, INT(I18)+0.5, INT(I18)+1)))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LET(dec, I19-INT(I19), IF(dec&lt;0.1, INT(I19), IF(dec&lt;=0.7, INT(I19)+0.5, INT(I19)+1)))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LET(dec, I20-INT(I20), IF(dec&lt;0.1, INT(I20), IF(dec&lt;=0.7, INT(I20)+0.5, INT(I20)+1)))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LET(dec, I21-INT(I21), IF(dec&lt;0.1, INT(I21), IF(dec&lt;=0.7, INT(I21)+0.5, INT(I21)+1)))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LET(dec, I22-INT(I22), IF(dec&lt;0.1, INT(I22), IF(dec&lt;=0.7, INT(I22)+0.5, INT(I22)+1)))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LET(dec, I23-INT(I23), IF(dec&lt;0.1, INT(I23), IF(dec&lt;=0.7, INT(I23)+0.5, INT(I23)+1)))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LET(dec, I24-INT(I24), IF(dec&lt;0.1, INT(I24), IF(dec&lt;=0.7, INT(I24)+0.5, INT(I24)+1)))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LET(dec, I25-INT(I25), IF(dec&lt;0.1, INT(I25), IF(dec&lt;=0.7, INT(I25)+0.5, INT(I25)+1)))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LET(dec, I26-INT(I26), IF(dec&lt;0.1, INT(I26), IF(dec&lt;=0.7, INT(I26)+0.5, INT(I26)+1)))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LET(dec, I30-INT(I30), IF(dec&lt;0.1, INT(I30), IF(dec&lt;=0.7, INT(I30)+0.5, INT(I30)+1)))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LET(dec, I31-INT(I31), IF(dec&lt;0.1, INT(I31), IF(dec&lt;=0.7, INT(I31)+0.5, INT(I31)+1)))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LET(dec, I32-INT(I32), IF(dec&lt;0.1, INT(I32), IF(dec&lt;=0.7, INT(I32)+0.5, INT(I32)+1)))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LET(dec, I33-INT(I33), IF(dec&lt;0.1, INT(I33), IF(dec&lt;=0.7, INT(I33)+0.5, INT(I33)+1)))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LET(dec, I34-INT(I34), IF(dec&lt;0.1, INT(I34), IF(dec&lt;=0.7, INT(I34)+0.5, INT(I34)+1)))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LET(dec, I35-INT(I35), IF(dec&lt;0.1, INT(I35), IF(dec&lt;=0.7, INT(I35)+0.5, INT(I35)+1)))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LET(dec, I36-INT(I36), IF(dec&lt;0.1, INT(I36), IF(dec&lt;=0.7, INT(I36)+0.5, INT(I36)+1)))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LET(dec, I37-INT(I37), IF(dec&lt;0.1, INT(I37), IF(dec&lt;=0.7, INT(I37)+0.5, INT(I37)+1)))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LET(dec, I38-INT(I38), IF(dec&lt;0.1, INT(I38), IF(dec&lt;=0.7, INT(I38)+0.5, INT(I38)+1)))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LET(dec, I39-INT(I39), IF(dec&lt;0.1, INT(I39), IF(dec&lt;=0.7, INT(I39)+0.5, INT(I39)+1)))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LET(dec, I40-INT(I40), IF(dec&lt;0.1, INT(I40), IF(dec&lt;=0.7, INT(I40)+0.5, INT(I40)+1)))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LET(dec, I41-INT(I41), IF(dec&lt;0.1, INT(I41), IF(dec&lt;=0.7, INT(I41)+0.5, INT(I41)+1)))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LET(dec, I42-INT(I42), IF(dec&lt;0.1, INT(I42), IF(dec&lt;=0.7, INT(I42)+0.5, INT(I42)+1)))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LET(dec, I43-INT(I43), IF(dec&lt;0.1, INT(I43), IF(dec&lt;=0.7, INT(I43)+0.5, INT(I43)+1)))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LET(dec, I44-INT(I44), IF(dec&lt;0.1, INT(I44), IF(dec&lt;=0.7, INT(I44)+0.5, INT(I44)+1)))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LET(dec, I45-INT(I45), IF(dec&lt;0.1, INT(I45), IF(dec&lt;=0.7, INT(I45)+0.5, INT(I45)+1)))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LET(dec, I46-INT(I46), IF(dec&lt;0.1, INT(I46), IF(dec&lt;=0.7, INT(I46)+0.5, INT(I46)+1)))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LET(dec, I47-INT(I47), IF(dec&lt;0.1, INT(I47), IF(dec&lt;=0.7, INT(I47)+0.5, INT(I47)+1)))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LET(dec, I48-INT(I48), IF(dec&lt;0.1, INT(I48), IF(dec&lt;=0.7, INT(I48)+0.5, INT(I48)+1)))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LET(dec, I49-INT(I49), IF(dec&lt;0.1, INT(I49), IF(dec&lt;=0.7, INT(I49)+0.5, INT(I49)+1)))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LET(dec, I50-INT(I50), IF(dec&lt;0.1, INT(I50), IF(dec&lt;=0.7, INT(I50)+0.5, INT(I50)+1)))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LET(dec, I51-INT(I51), IF(dec&lt;0.1, INT(I51), IF(dec&lt;=0.7, INT(I51)+0.5, INT(I51)+1)))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LET(dec, I52-INT(I52), IF(dec&lt;0.1, INT(I52), IF(dec&lt;=0.7, INT(I52)+0.5, INT(I52)+1)))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LET(dec, I53-INT(I53), IF(dec&lt;0.1, INT(I53), IF(dec&lt;=0.7, INT(I53)+0.5, INT(I53)+1)))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LET(dec, I54-INT(I54), IF(dec&lt;0.1, INT(I54), IF(dec&lt;=0.7, INT(I54)+0.5, INT(I54)+1)))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LET(dec, I55-INT(I55), IF(dec&lt;0.1, INT(I55), IF(dec&lt;=0.7, INT(I55)+0.5, INT(I55)+1)))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LET(dec, I56-INT(I56), IF(dec&lt;0.1, INT(I56), IF(dec&lt;=0.7, INT(I56)+0.5, INT(I56)+1)))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LET(dec, I60-INT(I60), IF(dec&lt;0.1, INT(I60), IF(dec&lt;=0.7, INT(I60)+0.5, INT(I60)+1)))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LET(dec, I61-INT(I61), IF(dec&lt;0.1, INT(I61), IF(dec&lt;=0.7, INT(I61)+0.5, INT(I61)+1)))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LET(dec, I62-INT(I62), IF(dec&lt;0.1, INT(I62), IF(dec&lt;=0.7, INT(I62)+0.5, INT(I62)+1)))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LET(dec, I63-INT(I63), IF(dec&lt;0.1, INT(I63), IF(dec&lt;=0.7, INT(I63)+0.5, INT(I63)+1)))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LET(dec, I64-INT(I64), IF(dec&lt;0.1, INT(I64), IF(dec&lt;=0.7, INT(I64)+0.5, INT(I64)+1)))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LET(dec, I65-INT(I65), IF(dec&lt;0.1, INT(I65), IF(dec&lt;=0.7, INT(I65)+0.5, INT(I65)+1)))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LET(dec, I66-INT(I66), IF(dec&lt;0.1, INT(I66), IF(dec&lt;=0.7, INT(I66)+0.5, INT(I66)+1)))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LET(dec, I67-INT(I67), IF(dec&lt;0.1, INT(I67), IF(dec&lt;=0.7, INT(I67)+0.5, INT(I67)+1)))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LET(dec, I68-INT(I68), IF(dec&lt;0.1, INT(I68), IF(dec&lt;=0.7, INT(I68)+0.5, INT(I68)+1)))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LET(dec, I69-INT(I69), IF(dec&lt;0.1, INT(I69), IF(dec&lt;=0.7, INT(I69)+0.5, INT(I69)+1)))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LET(dec, I70-INT(I70), IF(dec&lt;0.1, INT(I70), IF(dec&lt;=0.7, INT(I70)+0.5, INT(I70)+1)))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LET(dec, I71-INT(I71), IF(dec&lt;0.1, INT(I71), IF(dec&lt;=0.7, INT(I71)+0.5, INT(I71)+1)))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LET(dec, I72-INT(I72), IF(dec&lt;0.1, INT(I72), IF(dec&lt;=0.7, INT(I72)+0.5, INT(I72)+1)))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LET(dec, I73-INT(I73), IF(dec&lt;0.1, INT(I73), IF(dec&lt;=0.7, INT(I73)+0.5, INT(I73)+1)))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LET(dec, I74-INT(I74), IF(dec&lt;0.1, INT(I74), IF(dec&lt;=0.7, INT(I74)+0.5, INT(I74)+1)))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LET(dec, I60-INT(I60), IF(dec&lt;0.1, INT(I60), IF(dec&lt;=0.7, INT(I60)+0.5, INT(I60)+1)))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LET(dec, I61-INT(I61), IF(dec&lt;0.1, INT(I61), IF(dec&lt;=0.7, INT(I61)+0.5, INT(I61)+1)))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LET(dec, I62-INT(I62), IF(dec&lt;0.1, INT(I62), IF(dec&lt;=0.7, INT(I62)+0.5, INT(I62)+1)))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LET(dec, I63-INT(I63), IF(dec&lt;0.1, INT(I63), IF(dec&lt;=0.7, INT(I63)+0.5, INT(I63)+1)))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LET(dec, I64-INT(I64), IF(dec&lt;0.1, INT(I64), IF(dec&lt;=0.7, INT(I64)+0.5, INT(I64)+1)))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LET(dec, I65-INT(I65), IF(dec&lt;0.1, INT(I65), IF(dec&lt;=0.7, INT(I65)+0.5, INT(I65)+1)))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LET(dec, I66-INT(I66), IF(dec&lt;0.1, INT(I66), IF(dec&lt;=0.7, INT(I66)+0.5, INT(I66)+1)))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LET(dec, I67-INT(I67), IF(dec&lt;0.1, INT(I67), IF(dec&lt;=0.7, INT(I67)+0.5, INT(I67)+1)))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LET(dec, I68-INT(I68), IF(dec&lt;0.1, INT(I68), IF(dec&lt;=0.7, INT(I68)+0.5, INT(I68)+1)))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LET(dec, I69-INT(I69), IF(dec&lt;0.1, INT(I69), IF(dec&lt;=0.7, INT(I69)+0.5, INT(I69)+1)))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LET(dec, I70-INT(I70), IF(dec&lt;0.1, INT(I70), IF(dec&lt;=0.7, INT(I70)+0.5, INT(I70)+1)))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LET(dec, I71-INT(I71), IF(dec&lt;0.1, INT(I71), IF(dec&lt;=0.7, INT(I71)+0.5, INT(I71)+1)))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LET(dec, I72-INT(I72), IF(dec&lt;0.1, INT(I72), IF(dec&lt;=0.7, INT(I72)+0.5, INT(I72)+1)))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LET(dec, I73-INT(I73), IF(dec&lt;0.1, INT(I73), IF(dec&lt;=0.7, INT(I73)+0.5, INT(I73)+1)))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LET(dec, I2-INT(I2), IF(dec&lt;0.1, INT(I2), IF(dec&lt;=0.7, INT(I2)+0.5, INT(I2)+1)))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LET(dec, I3-INT(I3), IF(dec&lt;0.1, INT(I3), IF(dec&lt;=0.7, INT(I3)+0.5, INT(I3)+1)))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LET(dec, I4-INT(I4), IF(dec&lt;0.1, INT(I4), IF(dec&lt;=0.7, INT(I4)+0.5, INT(I4)+1)))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LET(dec, I5-INT(I5), IF(dec&lt;0.1, INT(I5), IF(dec&lt;=0.7, INT(I5)+0.5, INT(I5)+1)))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LET(dec, I6-INT(I6), IF(dec&lt;0.1, INT(I6), IF(dec&lt;=0.7, INT(I6)+0.5, INT(I6)+1)))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LET(dec, I7-INT(I7), IF(dec&lt;0.1, INT(I7), IF(dec&lt;=0.7, INT(I7)+0.5, INT(I7)+1)))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LET(dec, I8-INT(I8), IF(dec&lt;0.1, INT(I8), IF(dec&lt;=0.7, INT(I8)+0.5, INT(I8)+1)))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LET(dec, I9-INT(I9), IF(dec&lt;0.1, INT(I9), IF(dec&lt;=0.7, INT(I9)+0.5, INT(I9)+1)))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LET(dec, I10-INT(I10), IF(dec&lt;0.1, INT(I10), IF(dec&lt;=0.7, INT(I10)+0.5, INT(I10)+1)))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LET(dec, I11-INT(I11), IF(dec&lt;0.1, INT(I11), IF(dec&lt;=0.7, INT(I11)+0.5, INT(I11)+1)))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LET(dec, I12-INT(I12), IF(dec&lt;0.1, INT(I12), IF(dec&lt;=0.7, INT(I12)+0.5, INT(I12)+1)))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LET(dec, I13-INT(I13), IF(dec&lt;0.1, INT(I13), IF(dec&lt;=0.7, INT(I13)+0.5, INT(I13)+1)))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LET(dec, I14-INT(I14), IF(dec&lt;0.1, INT(I14), IF(dec&lt;=0.7, INT(I14)+0.5, INT(I14)+1)))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LET(dec, I15-INT(I15), IF(dec&lt;0.1, INT(I15), IF(dec&lt;=0.7, INT(I15)+0.5, INT(I15)+1)))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LET(dec, I16-INT(I16), IF(dec&lt;0.1, INT(I16), IF(dec&lt;=0.7, INT(I16)+0.5, INT(I16)+1)))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LET(dec, I17-INT(I17), IF(dec&lt;0.1, INT(I17), IF(dec&lt;=0.7, INT(I17)+0.5, INT(I17)+1)))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LET(dec, I18-INT(I18), IF(dec&lt;0.1, INT(I18), IF(dec&lt;=0.7, INT(I18)+0.5, INT(I18)+1)))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LET(dec, I19-INT(I19), IF(dec&lt;0.1, INT(I19), IF(dec&lt;=0.7, INT(I19)+0.5, INT(I19)+1)))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LET(dec, I20-INT(I20), IF(dec&lt;0.1, INT(I20), IF(dec&lt;=0.7, INT(I20)+0.5, INT(I20)+1)))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LET(dec, I21-INT(I21), IF(dec&lt;0.1, INT(I21), IF(dec&lt;=0.7, INT(I21)+0.5, INT(I21)+1)))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LET(dec, I22-INT(I22), IF(dec&lt;0.1, INT(I22), IF(dec&lt;=0.7, INT(I22)+0.5, INT(I22)+1)))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LET(dec, I23-INT(I23), IF(dec&lt;0.1, INT(I23), IF(dec&lt;=0.7, INT(I23)+0.5, INT(I23)+1)))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LET(dec, I26-INT(I26), IF(dec&lt;0.1, INT(I26), IF(dec&lt;=0.7, INT(I26)+0.5, INT(I26)+1)))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LET(dec, I27-INT(I27), IF(dec&lt;0.1, INT(I27), IF(dec&lt;=0.7, INT(I27)+0.5, INT(I27)+1)))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LET(dec, I28-INT(I28), IF(dec&lt;0.1, INT(I28), IF(dec&lt;=0.7, INT(I28)+0.5, INT(I28)+1)))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LET(dec, I29-INT(I29), IF(dec&lt;0.1, INT(I29), IF(dec&lt;=0.7, INT(I29)+0.5, INT(I29)+1)))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LET(dec, I30-INT(I30), IF(dec&lt;0.1, INT(I30), IF(dec&lt;=0.7, INT(I30)+0.5, INT(I30)+1)))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LET(dec, I31-INT(I31), IF(dec&lt;0.1, INT(I31), IF(dec&lt;=0.7, INT(I31)+0.5, INT(I31)+1)))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LET(dec, I32-INT(I32), IF(dec&lt;0.1, INT(I32), IF(dec&lt;=0.7, INT(I32)+0.5, INT(I32)+1)))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LET(dec, I33-INT(I33), IF(dec&lt;0.1, INT(I33), IF(dec&lt;=0.7, INT(I33)+0.5, INT(I33)+1)))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LET(dec, I34-INT(I34), IF(dec&lt;0.1, INT(I34), IF(dec&lt;=0.7, INT(I34)+0.5, INT(I34)+1)))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LET(dec, I35-INT(I35), IF(dec&lt;0.1, INT(I35), IF(dec&lt;=0.7, INT(I35)+0.5, INT(I35)+1)))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LET(dec, I36-INT(I36), IF(dec&lt;0.1, INT(I36), IF(dec&lt;=0.7, INT(I36)+0.5, INT(I36)+1)))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LET(dec, I37-INT(I37), IF(dec&lt;0.1, INT(I37), IF(dec&lt;=0.7, INT(I37)+0.5, INT(I37)+1)))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LET(dec, I38-INT(I38), IF(dec&lt;0.1, INT(I38), IF(dec&lt;=0.7, INT(I38)+0.5, INT(I38)+1)))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LET(dec, I39-INT(I39), IF(dec&lt;0.1, INT(I39), IF(dec&lt;=0.7, INT(I39)+0.5, INT(I39)+1)))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LET(dec, I40-INT(I40), IF(dec&lt;0.1, INT(I40), IF(dec&lt;=0.7, INT(I40)+0.5, INT(I40)+1)))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LET(dec, I41-INT(I41), IF(dec&lt;0.1, INT(I41), IF(dec&lt;=0.7, INT(I41)+0.5, INT(I41)+1)))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LET(dec, I42-INT(I42), IF(dec&lt;0.1, INT(I42), IF(dec&lt;=0.7, INT(I42)+0.5, INT(I42)+1)))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LET(dec, I43-INT(I43), IF(dec&lt;0.1, INT(I43), IF(dec&lt;=0.7, INT(I43)+0.5, INT(I43)+1)))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LET(dec, I44-INT(I44), IF(dec&lt;0.1, INT(I44), IF(dec&lt;=0.7, INT(I44)+0.5, INT(I44)+1)))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LET(dec, I45-INT(I45), IF(dec&lt;0.1, INT(I45), IF(dec&lt;=0.7, INT(I45)+0.5, INT(I45)+1)))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LET(dec, I46-INT(I46), IF(dec&lt;0.1, INT(I46), IF(dec&lt;=0.7, INT(I46)+0.5, INT(I46)+1)))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LET(dec, I47-INT(I47), IF(dec&lt;0.1, INT(I47), IF(dec&lt;=0.7, INT(I47)+0.5, INT(I47)+1)))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LET(dec, I48-INT(I48), IF(dec&lt;0.1, INT(I48), IF(dec&lt;=0.7, INT(I48)+0.5, INT(I48)+1)))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LET(dec, I49-INT(I49), IF(dec&lt;0.1, INT(I49), IF(dec&lt;=0.7, INT(I49)+0.5, INT(I49)+1)))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LET(dec, I50-INT(I50), IF(dec&lt;0.1, INT(I50), IF(dec&lt;=0.7, INT(I50)+0.5, INT(I50)+1)))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LET(dec, I51-INT(I51), IF(dec&lt;0.1, INT(I51), IF(dec&lt;=0.7, INT(I51)+0.5, INT(I51)+1)))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LET(dec, I52-INT(I52), IF(dec&lt;0.1, INT(I52), IF(dec&lt;=0.7, INT(I52)+0.5, INT(I52)+1)))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LET(dec, I56-INT(I56), IF(dec&lt;0.1, INT(I56), IF(dec&lt;=0.7, INT(I56)+0.5, INT(I56)+1)))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LET(dec, I57-INT(I57), IF(dec&lt;0.1, INT(I57), IF(dec&lt;=0.7, INT(I57)+0.5, INT(I57)+1)))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LET(dec, I58-INT(I58), IF(dec&lt;0.1, INT(I58), IF(dec&lt;=0.7, INT(I58)+0.5, INT(I58)+1)))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LET(dec, I59-INT(I59), IF(dec&lt;0.1, INT(I59), IF(dec&lt;=0.7, INT(I59)+0.5, INT(I59)+1)))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LET(dec, I60-INT(I60), IF(dec&lt;0.1, INT(I60), IF(dec&lt;=0.7, INT(I60)+0.5, INT(I60)+1)))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LET(dec, I61-INT(I61), IF(dec&lt;0.1, INT(I61), IF(dec&lt;=0.7, INT(I61)+0.5, INT(I61)+1)))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LET(dec, I62-INT(I62), IF(dec&lt;0.1, INT(I62), IF(dec&lt;=0.7, INT(I62)+0.5, INT(I62)+1)))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LET(dec, I63-INT(I63), IF(dec&lt;0.1, INT(I63), IF(dec&lt;=0.7, INT(I63)+0.5, INT(I63)+1)))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LET(dec, I64-INT(I64), IF(dec&lt;0.1, INT(I64), IF(dec&lt;=0.7, INT(I64)+0.5, INT(I64)+1)))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LET(dec, I65-INT(I65), IF(dec&lt;0.1, INT(I65), IF(dec&lt;=0.7, INT(I65)+0.5, INT(I65)+1)))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LET(dec, I66-INT(I66), IF(dec&lt;0.1, INT(I66), IF(dec&lt;=0.7, INT(I66)+0.5, INT(I66)+1)))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LET(dec, I67-INT(I67), IF(dec&lt;0.1, INT(I67), IF(dec&lt;=0.7, INT(I67)+0.5, INT(I67)+1)))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LET(dec, I68-INT(I68), IF(dec&lt;0.1, INT(I68), IF(dec&lt;=0.7, INT(I68)+0.5, INT(I68)+1)))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LET(dec, I69-INT(I69), IF(dec&lt;0.1, INT(I69), IF(dec&lt;=0.7, INT(I69)+0.5, INT(I69)+1)))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LET(dec, I70-INT(I70), IF(dec&lt;0.1, INT(I70), IF(dec&lt;=0.7, INT(I70)+0.5, INT(I70)+1)))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LET(dec, I71-INT(I71), IF(dec&lt;0.1, INT(I71), IF(dec&lt;=0.7, INT(I71)+0.5, INT(I71)+1)))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LET(dec, I72-INT(I72), IF(dec&lt;0.1, INT(I72), IF(dec&lt;=0.7, INT(I72)+0.5, INT(I72)+1)))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LET(dec, I73-INT(I73), IF(dec&lt;0.1, INT(I73), IF(dec&lt;=0.7, INT(I73)+0.5, INT(I73)+1)))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LET(dec, I74-INT(I74), IF(dec&lt;0.1, INT(I74), IF(dec&lt;=0.7, INT(I74)+0.5, INT(I74)+1)))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LET(dec, I75-INT(I75), IF(dec&lt;0.1, INT(I75), IF(dec&lt;=0.7, INT(I75)+0.5, INT(I75)+1)))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LET(dec, I76-INT(I76), IF(dec&lt;0.1, INT(I76), IF(dec&lt;=0.7, INT(I76)+0.5, INT(I76)+1)))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LET(dec, I80-INT(I80), IF(dec&lt;0.1, INT(I80), IF(dec&lt;=0.7, INT(I80)+0.5, INT(I80)+1)))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LET(dec, I81-INT(I81), IF(dec&lt;0.1, INT(I81), IF(dec&lt;=0.7, INT(I81)+0.5, INT(I81)+1)))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LET(dec, I82-INT(I82), IF(dec&lt;0.1, INT(I82), IF(dec&lt;=0.7, INT(I82)+0.5, INT(I82)+1)))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LET(dec, I83-INT(I83), IF(dec&lt;0.1, INT(I83), IF(dec&lt;=0.7, INT(I83)+0.5, INT(I83)+1)))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LET(dec, I84-INT(I84), IF(dec&lt;0.1, INT(I84), IF(dec&lt;=0.7, INT(I84)+0.5, INT(I84)+1)))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LET(dec, I85-INT(I85), IF(dec&lt;0.1, INT(I85), IF(dec&lt;=0.7, INT(I85)+0.5, INT(I85)+1)))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LET(dec, I86-INT(I86), IF(dec&lt;0.1, INT(I86), IF(dec&lt;=0.7, INT(I86)+0.5, INT(I86)+1)))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LET(dec, I87-INT(I87), IF(dec&lt;0.1, INT(I87), IF(dec&lt;=0.7, INT(I87)+0.5, INT(I87)+1)))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LET(dec, I88-INT(I88), IF(dec&lt;0.1, INT(I88), IF(dec&lt;=0.7, INT(I88)+0.5, INT(I88)+1)))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LET(dec, I89-INT(I89), IF(dec&lt;0.1, INT(I89), IF(dec&lt;=0.7, INT(I89)+0.5, INT(I89)+1)))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LET(dec, I90-INT(I90), IF(dec&lt;0.1, INT(I90), IF(dec&lt;=0.7, INT(I90)+0.5, INT(I90)+1)))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LET(dec, I91-INT(I91), IF(dec&lt;0.1, INT(I91), IF(dec&lt;=0.7, INT(I91)+0.5, INT(I91)+1)))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LET(dec, I92-INT(I92), IF(dec&lt;0.1, INT(I92), IF(dec&lt;=0.7, INT(I92)+0.5, INT(I92)+1)))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LET(dec, I93-INT(I93), IF(dec&lt;0.1, INT(I93), IF(dec&lt;=0.7, INT(I93)+0.5, INT(I93)+1)))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LET(dec, I94-INT(I94), IF(dec&lt;0.1, INT(I94), IF(dec&lt;=0.7, INT(I94)+0.5, INT(I94)+1)))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LET(dec, I95-INT(I95), IF(dec&lt;0.1, INT(I95), IF(dec&lt;=0.7, INT(I95)+0.5, INT(I95)+1)))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LET(dec, I96-INT(I96), IF(dec&lt;0.1, INT(I96), IF(dec&lt;=0.7, INT(I96)+0.5, INT(I96)+1)))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LET(dec, I97-INT(I97), IF(dec&lt;0.1, INT(I97), IF(dec&lt;=0.7, INT(I97)+0.5, INT(I97)+1)))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LET(dec, I98-INT(I98), IF(dec&lt;0.1, INT(I98), IF(dec&lt;=0.7, INT(I98)+0.5, INT(I98)+1)))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LET(dec, I99-INT(I99), IF(dec&lt;0.1, INT(I99), IF(dec&lt;=0.7, INT(I99)+0.5, INT(I99)+1)))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LET(dec, I100-INT(I100), IF(dec&lt;0.1, INT(I100), IF(dec&lt;=0.7, INT(I100)+0.5, INT(I100)+1)))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LET(dec, I101-INT(I101), IF(dec&lt;0.1, INT(I101), IF(dec&lt;=0.7, INT(I101)+0.5, INT(I101)+1)))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LET(dec, I102-INT(I102), IF(dec&lt;0.1, INT(I102), IF(dec&lt;=0.7, INT(I102)+0.5, INT(I102)+1)))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LET(dec, I106-INT(I106), IF(dec&lt;0.1, INT(I106), IF(dec&lt;=0.7, INT(I106)+0.5, INT(I106)+1)))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LET(dec, I107-INT(I107), IF(dec&lt;0.1, INT(I107), IF(dec&lt;=0.7, INT(I107)+0.5, INT(I107)+1)))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LET(dec, I108-INT(I108), IF(dec&lt;0.1, INT(I108), IF(dec&lt;=0.7, INT(I108)+0.5, INT(I108)+1)))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LET(dec, I109-INT(I109), IF(dec&lt;0.1, INT(I109), IF(dec&lt;=0.7, INT(I109)+0.5, INT(I109)+1)))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LET(dec, I110-INT(I110), IF(dec&lt;0.1, INT(I110), IF(dec&lt;=0.7, INT(I110)+0.5, INT(I110)+1)))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LET(dec, I111-INT(I111), IF(dec&lt;0.1, INT(I111), IF(dec&lt;=0.7, INT(I111)+0.5, INT(I111)+1)))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LET(dec, I112-INT(I112), IF(dec&lt;0.1, INT(I112), IF(dec&lt;=0.7, INT(I112)+0.5, INT(I112)+1)))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LET(dec, I113-INT(I113), IF(dec&lt;0.1, INT(I113), IF(dec&lt;=0.7, INT(I113)+0.5, INT(I113)+1)))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LET(dec, I114-INT(I114), IF(dec&lt;0.1, INT(I114), IF(dec&lt;=0.7, INT(I114)+0.5, INT(I114)+1)))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LET(dec, I115-INT(I115), IF(dec&lt;0.1, INT(I115), IF(dec&lt;=0.7, INT(I115)+0.5, INT(I115)+1)))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LET(dec, I116-INT(I116), IF(dec&lt;0.1, INT(I116), IF(dec&lt;=0.7, INT(I116)+0.5, INT(I116)+1)))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LET(dec, I117-INT(I117), IF(dec&lt;0.1, INT(I117), IF(dec&lt;=0.7, INT(I117)+0.5, INT(I117)+1)))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LET(dec, I118-INT(I118), IF(dec&lt;0.1, INT(I118), IF(dec&lt;=0.7, INT(I118)+0.5, INT(I118)+1)))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LET(dec, I119-INT(I119), IF(dec&lt;0.1, INT(I119), IF(dec&lt;=0.7, INT(I119)+0.5, INT(I119)+1)))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LET(dec, I120-INT(I120), IF(dec&lt;0.1, INT(I120), IF(dec&lt;=0.7, INT(I120)+0.5, INT(I120)+1)))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LET(dec, I121-INT(I121), IF(dec&lt;0.1, INT(I121), IF(dec&lt;=0.7, INT(I121)+0.5, INT(I121)+1)))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LET(dec, I122-INT(I122), IF(dec&lt;0.1, INT(I122), IF(dec&lt;=0.7, INT(I122)+0.5, INT(I122)+1)))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LET(dec, I123-INT(I123), IF(dec&lt;0.1, INT(I123), IF(dec&lt;=0.7, INT(I123)+0.5, INT(I123)+1)))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LET(dec, I124-INT(I124), IF(dec&lt;0.1, INT(I124), IF(dec&lt;=0.7, INT(I124)+0.5, INT(I124)+1)))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84" t="inlineStr">
        <is>
          <t>MX</t>
        </is>
      </c>
      <c r="D127" s="81" t="n">
        <v>12108.35</v>
      </c>
      <c r="E127" s="82" t="n">
        <v>10438.23</v>
      </c>
      <c r="F127" s="81" t="n">
        <v>2421.67</v>
      </c>
      <c r="G127" s="82" t="n">
        <v>2087.65</v>
      </c>
      <c r="H127" s="84" t="n"/>
      <c r="I127" s="84" t="n">
        <v>5.01</v>
      </c>
      <c r="J127" s="84" t="n">
        <v>5</v>
      </c>
      <c r="K127" s="133" t="n">
        <v>46294</v>
      </c>
      <c r="L127" s="110" t="inlineStr">
        <is>
          <t>Ari</t>
        </is>
      </c>
      <c r="M127" s="87" t="n"/>
      <c r="N127" s="91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84" t="inlineStr">
        <is>
          <t>MX</t>
        </is>
      </c>
      <c r="D128" s="81" t="n">
        <v>44916.03</v>
      </c>
      <c r="E128" s="82" t="n">
        <v>38720.72</v>
      </c>
      <c r="F128" s="81" t="n">
        <v>5614.5</v>
      </c>
      <c r="G128" s="82" t="n">
        <v>4840.09</v>
      </c>
      <c r="H128" s="84" t="n"/>
      <c r="I128" s="84" t="n">
        <v>8</v>
      </c>
      <c r="J128" s="84" t="n">
        <v>8</v>
      </c>
      <c r="K128" s="133" t="n">
        <v>46295</v>
      </c>
      <c r="L128" s="110" t="inlineStr">
        <is>
          <t>Ari</t>
        </is>
      </c>
      <c r="M128" s="87" t="n"/>
      <c r="N128" s="91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84" t="inlineStr">
        <is>
          <t>MX</t>
        </is>
      </c>
      <c r="D129" s="81" t="n">
        <v>8831.65</v>
      </c>
      <c r="E129" s="82" t="n">
        <v>7613.49</v>
      </c>
      <c r="F129" s="81" t="n">
        <v>1766.33</v>
      </c>
      <c r="G129" s="82" t="n">
        <v>1522.7</v>
      </c>
      <c r="H129" s="84" t="n"/>
      <c r="I129" s="84" t="n">
        <v>5</v>
      </c>
      <c r="J129" s="84" t="n">
        <v>5</v>
      </c>
      <c r="K129" s="133" t="n">
        <v>46296</v>
      </c>
      <c r="L129" s="110" t="inlineStr">
        <is>
          <t>Ari</t>
        </is>
      </c>
      <c r="M129" s="87" t="n"/>
      <c r="N129" s="91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84" t="inlineStr">
        <is>
          <t>MX</t>
        </is>
      </c>
      <c r="D130" s="81" t="n">
        <v>33602.49</v>
      </c>
      <c r="E130" s="82" t="n">
        <v>28967.66</v>
      </c>
      <c r="F130" s="81" t="n">
        <v>4200.31</v>
      </c>
      <c r="G130" s="82" t="n">
        <v>3620.96</v>
      </c>
      <c r="H130" s="84" t="n"/>
      <c r="I130" s="84" t="n">
        <v>8.1</v>
      </c>
      <c r="J130" s="84" t="n">
        <v>8</v>
      </c>
      <c r="K130" s="133" t="n">
        <v>46299</v>
      </c>
      <c r="L130" s="110" t="inlineStr">
        <is>
          <t>Ari</t>
        </is>
      </c>
      <c r="M130" s="87" t="n"/>
      <c r="N130" s="91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84" t="inlineStr">
        <is>
          <t>MX</t>
        </is>
      </c>
      <c r="D131" s="81" t="n">
        <v>4944.5</v>
      </c>
      <c r="E131" s="82" t="n">
        <v>4262.5</v>
      </c>
      <c r="F131" s="81" t="n">
        <v>988.9</v>
      </c>
      <c r="G131" s="82" t="n">
        <v>852.5</v>
      </c>
      <c r="H131" s="84" t="n"/>
      <c r="I131" s="84" t="n">
        <v>5.04</v>
      </c>
      <c r="J131" s="84" t="n">
        <v>5</v>
      </c>
      <c r="K131" s="133" t="n">
        <v>46301</v>
      </c>
      <c r="L131" s="110" t="inlineStr">
        <is>
          <t>Ari</t>
        </is>
      </c>
      <c r="M131" s="87" t="n"/>
      <c r="N131" s="91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84" t="inlineStr">
        <is>
          <t>MX</t>
        </is>
      </c>
      <c r="D132" s="81" t="n">
        <v>4058.58</v>
      </c>
      <c r="E132" s="82" t="n">
        <v>3498.78</v>
      </c>
      <c r="F132" s="81" t="n">
        <v>1014.65</v>
      </c>
      <c r="G132" s="82" t="n">
        <v>874.6900000000001</v>
      </c>
      <c r="H132" s="84" t="n"/>
      <c r="I132" s="84" t="n">
        <v>4.01</v>
      </c>
      <c r="J132" s="84" t="n">
        <v>4</v>
      </c>
      <c r="K132" s="133" t="n">
        <v>46302</v>
      </c>
      <c r="L132" s="110" t="inlineStr">
        <is>
          <t>Ari</t>
        </is>
      </c>
      <c r="M132" s="87" t="n"/>
      <c r="N132" s="91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84" t="inlineStr">
        <is>
          <t>MX</t>
        </is>
      </c>
      <c r="D133" s="81" t="n">
        <v>8804.040000000001</v>
      </c>
      <c r="E133" s="82" t="n">
        <v>7589.69</v>
      </c>
      <c r="F133" s="81" t="n">
        <v>1760.81</v>
      </c>
      <c r="G133" s="82" t="n">
        <v>1517.94</v>
      </c>
      <c r="H133" s="84" t="n"/>
      <c r="I133" s="84" t="n">
        <v>5.07</v>
      </c>
      <c r="J133" s="84" t="n">
        <v>5</v>
      </c>
      <c r="K133" s="133" t="n">
        <v>46303</v>
      </c>
      <c r="L133" s="110" t="inlineStr">
        <is>
          <t>Ari</t>
        </is>
      </c>
      <c r="M133" s="87" t="n"/>
      <c r="N133" s="91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84" t="inlineStr">
        <is>
          <t>MX</t>
        </is>
      </c>
      <c r="D134" s="81" t="n">
        <v>7608.94</v>
      </c>
      <c r="E134" s="82" t="n">
        <v>6559.43</v>
      </c>
      <c r="F134" s="81" t="n">
        <v>1383.44</v>
      </c>
      <c r="G134" s="82" t="n">
        <v>1192.62</v>
      </c>
      <c r="H134" s="84" t="n"/>
      <c r="I134" s="84" t="n">
        <v>5.18</v>
      </c>
      <c r="J134" s="84" t="n">
        <v>5.5</v>
      </c>
      <c r="K134" s="133" t="n">
        <v>46304</v>
      </c>
      <c r="L134" s="110" t="inlineStr">
        <is>
          <t>Ari</t>
        </is>
      </c>
      <c r="M134" s="87" t="n"/>
      <c r="N134" s="91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84" t="inlineStr">
        <is>
          <t>MX</t>
        </is>
      </c>
      <c r="D135" s="81" t="n">
        <v>8772.5</v>
      </c>
      <c r="E135" s="82" t="n">
        <v>7562.5</v>
      </c>
      <c r="F135" s="81" t="n">
        <v>1754.5</v>
      </c>
      <c r="G135" s="82" t="n">
        <v>1512.5</v>
      </c>
      <c r="H135" s="84" t="n"/>
      <c r="I135" s="84" t="n">
        <v>5.01</v>
      </c>
      <c r="J135" s="84" t="n">
        <v>5</v>
      </c>
      <c r="K135" s="133" t="n">
        <v>46308</v>
      </c>
      <c r="L135" s="110" t="inlineStr">
        <is>
          <t>Ari</t>
        </is>
      </c>
      <c r="M135" s="87" t="n"/>
      <c r="N135" s="91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84" t="inlineStr">
        <is>
          <t>MX</t>
        </is>
      </c>
      <c r="D136" s="81" t="n">
        <v>9791.190000000001</v>
      </c>
      <c r="E136" s="82" t="n">
        <v>8440.68</v>
      </c>
      <c r="F136" s="81" t="n">
        <v>2447.8</v>
      </c>
      <c r="G136" s="82" t="n">
        <v>2110.17</v>
      </c>
      <c r="H136" s="84" t="n"/>
      <c r="I136" s="84" t="n">
        <v>4.01</v>
      </c>
      <c r="J136" s="84" t="n">
        <v>4</v>
      </c>
      <c r="K136" s="133" t="n">
        <v>46309</v>
      </c>
      <c r="L136" s="110" t="inlineStr">
        <is>
          <t>Ari</t>
        </is>
      </c>
      <c r="M136" s="87" t="n"/>
      <c r="N136" s="91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84" t="inlineStr">
        <is>
          <t>MX</t>
        </is>
      </c>
      <c r="D137" s="81" t="n">
        <v>12110.05</v>
      </c>
      <c r="E137" s="82" t="n">
        <v>10439.7</v>
      </c>
      <c r="F137" s="81" t="n">
        <v>1863.08</v>
      </c>
      <c r="G137" s="82" t="n">
        <v>1606.11</v>
      </c>
      <c r="H137" s="84" t="n"/>
      <c r="I137" s="84" t="n">
        <v>6.23</v>
      </c>
      <c r="J137" s="84" t="n">
        <v>6.5</v>
      </c>
      <c r="K137" s="133" t="n">
        <v>46310</v>
      </c>
      <c r="L137" s="110" t="inlineStr">
        <is>
          <t>Ari</t>
        </is>
      </c>
      <c r="M137" s="87" t="n"/>
      <c r="N137" s="91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84" t="inlineStr">
        <is>
          <t>MX</t>
        </is>
      </c>
      <c r="D138" s="81" t="n">
        <v>6280.57</v>
      </c>
      <c r="E138" s="82" t="n">
        <v>5414.28</v>
      </c>
      <c r="F138" s="81" t="n">
        <v>1256.11</v>
      </c>
      <c r="G138" s="82" t="n">
        <v>1082.86</v>
      </c>
      <c r="H138" s="84" t="n"/>
      <c r="I138" s="84" t="n">
        <v>4.82</v>
      </c>
      <c r="J138" s="84" t="n">
        <v>5</v>
      </c>
      <c r="K138" s="133" t="n">
        <v>46311</v>
      </c>
      <c r="L138" s="110" t="inlineStr">
        <is>
          <t>Ari</t>
        </is>
      </c>
      <c r="M138" s="87" t="n"/>
      <c r="N138" s="91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84" t="inlineStr">
        <is>
          <t>MX</t>
        </is>
      </c>
      <c r="D139" s="81" t="n">
        <v>8635.51</v>
      </c>
      <c r="E139" s="82" t="n">
        <v>7444.41</v>
      </c>
      <c r="F139" s="81" t="n">
        <v>1233.64</v>
      </c>
      <c r="G139" s="82" t="n">
        <v>1063.49</v>
      </c>
      <c r="H139" s="84" t="n"/>
      <c r="I139" s="84" t="n">
        <v>7.04</v>
      </c>
      <c r="J139" s="84" t="n">
        <v>7</v>
      </c>
      <c r="K139" s="133" t="n">
        <v>46312</v>
      </c>
      <c r="L139" s="110" t="inlineStr">
        <is>
          <t>Ari</t>
        </is>
      </c>
      <c r="M139" s="87" t="n"/>
      <c r="N139" s="91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84" t="inlineStr">
        <is>
          <t>MX</t>
        </is>
      </c>
      <c r="D140" s="81" t="n">
        <v>13296.24</v>
      </c>
      <c r="E140" s="82" t="n">
        <v>11462.28</v>
      </c>
      <c r="F140" s="81" t="n">
        <v>1772.83</v>
      </c>
      <c r="G140" s="82" t="n">
        <v>1528.3</v>
      </c>
      <c r="H140" s="84" t="n"/>
      <c r="I140" s="84" t="n">
        <v>7.48</v>
      </c>
      <c r="J140" s="84" t="n">
        <v>7.5</v>
      </c>
      <c r="K140" s="133" t="n">
        <v>46314</v>
      </c>
      <c r="L140" s="110" t="inlineStr">
        <is>
          <t>Ari</t>
        </is>
      </c>
      <c r="M140" s="87" t="n"/>
      <c r="N140" s="91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84" t="inlineStr">
        <is>
          <t>MX</t>
        </is>
      </c>
      <c r="D141" s="81" t="n">
        <v>6535.75</v>
      </c>
      <c r="E141" s="82" t="n">
        <v>5634.27</v>
      </c>
      <c r="F141" s="81" t="n">
        <v>1452.39</v>
      </c>
      <c r="G141" s="82" t="n">
        <v>1252.06</v>
      </c>
      <c r="H141" s="84" t="n"/>
      <c r="I141" s="84" t="n">
        <v>4.11</v>
      </c>
      <c r="J141" s="84" t="n">
        <v>4.5</v>
      </c>
      <c r="K141" s="133" t="n">
        <v>46315</v>
      </c>
      <c r="L141" s="110" t="inlineStr">
        <is>
          <t>Ari</t>
        </is>
      </c>
      <c r="M141" s="87" t="n"/>
      <c r="N141" s="91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84" t="inlineStr">
        <is>
          <t>MX</t>
        </is>
      </c>
      <c r="D142" s="81" t="n">
        <v>5093.8</v>
      </c>
      <c r="E142" s="82" t="n">
        <v>4391.21</v>
      </c>
      <c r="F142" s="81" t="n">
        <v>1273.45</v>
      </c>
      <c r="G142" s="82" t="n">
        <v>1097.8</v>
      </c>
      <c r="H142" s="84" t="n"/>
      <c r="I142" s="84" t="n">
        <v>4.03</v>
      </c>
      <c r="J142" s="84" t="n">
        <v>4</v>
      </c>
      <c r="K142" s="133" t="n">
        <v>46316</v>
      </c>
      <c r="L142" s="110" t="inlineStr">
        <is>
          <t>Ari</t>
        </is>
      </c>
      <c r="M142" s="87" t="n"/>
      <c r="N142" s="91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84" t="inlineStr">
        <is>
          <t>MX</t>
        </is>
      </c>
      <c r="D143" s="81" t="n">
        <v>3913.93</v>
      </c>
      <c r="E143" s="82" t="n">
        <v>3374.08</v>
      </c>
      <c r="F143" s="81" t="n">
        <v>782.79</v>
      </c>
      <c r="G143" s="82" t="n">
        <v>674.8200000000001</v>
      </c>
      <c r="H143" s="84" t="n"/>
      <c r="I143" s="84" t="n">
        <v>5</v>
      </c>
      <c r="J143" s="84" t="n">
        <v>5</v>
      </c>
      <c r="K143" s="133" t="n">
        <v>46317</v>
      </c>
      <c r="L143" s="110" t="inlineStr">
        <is>
          <t>Ari</t>
        </is>
      </c>
      <c r="M143" s="87" t="n"/>
      <c r="N143" s="91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84" t="inlineStr">
        <is>
          <t>MX</t>
        </is>
      </c>
      <c r="D144" s="81" t="n">
        <v>7577.33</v>
      </c>
      <c r="E144" s="82" t="n">
        <v>6532.18</v>
      </c>
      <c r="F144" s="81" t="n">
        <v>1515.47</v>
      </c>
      <c r="G144" s="82" t="n">
        <v>1306.44</v>
      </c>
      <c r="H144" s="84" t="n"/>
      <c r="I144" s="84" t="n">
        <v>5.01</v>
      </c>
      <c r="J144" s="84" t="n">
        <v>5</v>
      </c>
      <c r="K144" s="133" t="n">
        <v>46318</v>
      </c>
      <c r="L144" s="110" t="inlineStr">
        <is>
          <t>Ari</t>
        </is>
      </c>
      <c r="M144" s="87" t="n"/>
      <c r="N144" s="91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LET(dec, I2-INT(I2), IF(dec&lt;0.1, INT(I2), IF(dec&lt;=0.7, INT(I2)+0.5, INT(I2)+1)))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LET(dec, I3-INT(I3), IF(dec&lt;0.1, INT(I3), IF(dec&lt;=0.7, INT(I3)+0.5, INT(I3)+1)))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LET(dec, I4-INT(I4), IF(dec&lt;0.1, INT(I4), IF(dec&lt;=0.7, INT(I4)+0.5, INT(I4)+1)))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LET(dec, I5-INT(I5), IF(dec&lt;0.1, INT(I5), IF(dec&lt;=0.7, INT(I5)+0.5, INT(I5)+1)))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LET(dec, I6-INT(I6), IF(dec&lt;0.1, INT(I6), IF(dec&lt;=0.7, INT(I6)+0.5, INT(I6)+1)))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LET(dec, I7-INT(I7), IF(dec&lt;0.1, INT(I7), IF(dec&lt;=0.7, INT(I7)+0.5, INT(I7)+1)))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LET(dec, I8-INT(I8), IF(dec&lt;0.1, INT(I8), IF(dec&lt;=0.7, INT(I8)+0.5, INT(I8)+1)))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LET(dec, I9-INT(I9), IF(dec&lt;0.1, INT(I9), IF(dec&lt;=0.7, INT(I9)+0.5, INT(I9)+1)))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LET(dec, I10-INT(I10), IF(dec&lt;0.1, INT(I10), IF(dec&lt;=0.7, INT(I10)+0.5, INT(I10)+1)))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LET(dec, I11-INT(I11), IF(dec&lt;0.1, INT(I11), IF(dec&lt;=0.7, INT(I11)+0.5, INT(I11)+1)))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LET(dec, I12-INT(I12), IF(dec&lt;0.1, INT(I12), IF(dec&lt;=0.7, INT(I12)+0.5, INT(I12)+1)))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LET(dec, I13-INT(I13), IF(dec&lt;0.1, INT(I13), IF(dec&lt;=0.7, INT(I13)+0.5, INT(I13)+1)))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0.01</v>
      </c>
      <c r="J14" s="114">
        <f>LET(dec, I14-INT(I14), IF(dec&lt;0.1, INT(I14), IF(dec&lt;=0.7, INT(I14)+0.5, INT(I14)+1)))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LET(dec, I15-INT(I15), IF(dec&lt;0.1, INT(I15), IF(dec&lt;=0.7, INT(I15)+0.5, INT(I15)+1)))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LET(dec, I16-INT(I16), IF(dec&lt;0.1, INT(I16), IF(dec&lt;=0.7, INT(I16)+0.5, INT(I16)+1)))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LET(dec, I17-INT(I17), IF(dec&lt;0.1, INT(I17), IF(dec&lt;=0.7, INT(I17)+0.5, INT(I17)+1)))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LET(dec, I18-INT(I18), IF(dec&lt;0.1, INT(I18), IF(dec&lt;=0.7, INT(I18)+0.5, INT(I18)+1)))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LET(dec, I19-INT(I19), IF(dec&lt;0.1, INT(I19), IF(dec&lt;=0.7, INT(I19)+0.5, INT(I19)+1)))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LET(dec, I20-INT(I20), IF(dec&lt;0.1, INT(I20), IF(dec&lt;=0.7, INT(I20)+0.5, INT(I20)+1)))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LET(dec, I23-INT(I23), IF(dec&lt;0.1, INT(I23), IF(dec&lt;=0.7, INT(I23)+0.5, INT(I23)+1)))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LET(dec, I24-INT(I24), IF(dec&lt;0.1, INT(I24), IF(dec&lt;=0.7, INT(I24)+0.5, INT(I24)+1)))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LET(dec, I25-INT(I25), IF(dec&lt;0.1, INT(I25), IF(dec&lt;=0.7, INT(I25)+0.5, INT(I25)+1)))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LET(dec, I26-INT(I26), IF(dec&lt;0.1, INT(I26), IF(dec&lt;=0.7, INT(I26)+0.5, INT(I26)+1)))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LET(dec, I27-INT(I27), IF(dec&lt;0.1, INT(I27), IF(dec&lt;=0.7, INT(I27)+0.5, INT(I27)+1)))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LET(dec, I28-INT(I28), IF(dec&lt;0.1, INT(I28), IF(dec&lt;=0.7, INT(I28)+0.5, INT(I28)+1)))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LET(dec, I29-INT(I29), IF(dec&lt;0.1, INT(I29), IF(dec&lt;=0.7, INT(I29)+0.5, INT(I29)+1)))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LET(dec, I30-INT(I30), IF(dec&lt;0.1, INT(I30), IF(dec&lt;=0.7, INT(I30)+0.5, INT(I30)+1)))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LET(dec, I31-INT(I31), IF(dec&lt;0.1, INT(I31), IF(dec&lt;=0.7, INT(I31)+0.5, INT(I31)+1)))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LET(dec, I32-INT(I32), IF(dec&lt;0.1, INT(I32), IF(dec&lt;=0.7, INT(I32)+0.5, INT(I32)+1)))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LET(dec, I33-INT(I33), IF(dec&lt;0.1, INT(I33), IF(dec&lt;=0.7, INT(I33)+0.5, INT(I33)+1)))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LET(dec, I34-INT(I34), IF(dec&lt;0.1, INT(I34), IF(dec&lt;=0.7, INT(I34)+0.5, INT(I34)+1)))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LET(dec, I35-INT(I35), IF(dec&lt;0.1, INT(I35), IF(dec&lt;=0.7, INT(I35)+0.5, INT(I35)+1)))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LET(dec, I36-INT(I36), IF(dec&lt;0.1, INT(I36), IF(dec&lt;=0.7, INT(I36)+0.5, INT(I36)+1)))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LET(dec, I37-INT(I37), IF(dec&lt;0.1, INT(I37), IF(dec&lt;=0.7, INT(I37)+0.5, INT(I37)+1)))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LET(dec, I38-INT(I38), IF(dec&lt;0.1, INT(I38), IF(dec&lt;=0.7, INT(I38)+0.5, INT(I38)+1)))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LET(dec, I39-INT(I39), IF(dec&lt;0.1, INT(I39), IF(dec&lt;=0.7, INT(I39)+0.5, INT(I39)+1)))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LET(dec, I40-INT(I40), IF(dec&lt;0.1, INT(I40), IF(dec&lt;=0.7, INT(I40)+0.5, INT(I40)+1)))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LET(dec, I41-INT(I41), IF(dec&lt;0.1, INT(I41), IF(dec&lt;=0.7, INT(I41)+0.5, INT(I41)+1)))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LET(dec, I42-INT(I42), IF(dec&lt;0.1, INT(I42), IF(dec&lt;=0.7, INT(I42)+0.5, INT(I42)+1)))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LET(dec, I43-INT(I43), IF(dec&lt;0.1, INT(I43), IF(dec&lt;=0.7, INT(I43)+0.5, INT(I43)+1)))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LET(dec, I46-INT(I46), IF(dec&lt;0.1, INT(I46), IF(dec&lt;=0.7, INT(I46)+0.5, INT(I46)+1)))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LET(dec, I47-INT(I47), IF(dec&lt;0.1, INT(I47), IF(dec&lt;=0.7, INT(I47)+0.5, INT(I47)+1)))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LET(dec, I48-INT(I48), IF(dec&lt;0.1, INT(I48), IF(dec&lt;=0.7, INT(I48)+0.5, INT(I48)+1)))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LET(dec, I49-INT(I49), IF(dec&lt;0.1, INT(I49), IF(dec&lt;=0.7, INT(I49)+0.5, INT(I49)+1)))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LET(dec, I50-INT(I50), IF(dec&lt;0.1, INT(I50), IF(dec&lt;=0.7, INT(I50)+0.5, INT(I50)+1)))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LET(dec, I51-INT(I51), IF(dec&lt;0.1, INT(I51), IF(dec&lt;=0.7, INT(I51)+0.5, INT(I51)+1)))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LET(dec, I52-INT(I52), IF(dec&lt;0.1, INT(I52), IF(dec&lt;=0.7, INT(I52)+0.5, INT(I52)+1)))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LET(dec, I53-INT(I53), IF(dec&lt;0.1, INT(I53), IF(dec&lt;=0.7, INT(I53)+0.5, INT(I53)+1)))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LET(dec, I54-INT(I54), IF(dec&lt;0.1, INT(I54), IF(dec&lt;=0.7, INT(I54)+0.5, INT(I54)+1)))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LET(dec, I55-INT(I55), IF(dec&lt;0.1, INT(I55), IF(dec&lt;=0.7, INT(I55)+0.5, INT(I55)+1)))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LET(dec, I56-INT(I56), IF(dec&lt;0.1, INT(I56), IF(dec&lt;=0.7, INT(I56)+0.5, INT(I56)+1)))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LET(dec, I57-INT(I57), IF(dec&lt;0.1, INT(I57), IF(dec&lt;=0.7, INT(I57)+0.5, INT(I57)+1)))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LET(dec, I58-INT(I58), IF(dec&lt;0.1, INT(I58), IF(dec&lt;=0.7, INT(I58)+0.5, INT(I58)+1)))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LET(dec, I59-INT(I59), IF(dec&lt;0.1, INT(I59), IF(dec&lt;=0.7, INT(I59)+0.5, INT(I59)+1)))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LET(dec, I60-INT(I60), IF(dec&lt;0.1, INT(I60), IF(dec&lt;=0.7, INT(I60)+0.5, INT(I60)+1)))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LET(dec, I61-INT(I61), IF(dec&lt;0.1, INT(I61), IF(dec&lt;=0.7, INT(I61)+0.5, INT(I61)+1)))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LET(dec, I62-INT(I62), IF(dec&lt;0.1, INT(I62), IF(dec&lt;=0.7, INT(I62)+0.5, INT(I62)+1)))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LET(dec, I63-INT(I63), IF(dec&lt;0.1, INT(I63), IF(dec&lt;=0.7, INT(I63)+0.5, INT(I63)+1)))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LET(dec, I64-INT(I64), IF(dec&lt;0.1, INT(I64), IF(dec&lt;=0.7, INT(I64)+0.5, INT(I64)+1)))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LET(dec, I65-INT(I65), IF(dec&lt;0.1, INT(I65), IF(dec&lt;=0.7, INT(I65)+0.5, INT(I65)+1)))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LET(dec, I66-INT(I66), IF(dec&lt;0.1, INT(I66), IF(dec&lt;=0.7, INT(I66)+0.5, INT(I66)+1)))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84" t="inlineStr">
        <is>
          <t>MX</t>
        </is>
      </c>
      <c r="D69" s="81" t="n">
        <v>45578.08</v>
      </c>
      <c r="E69" s="82" t="n">
        <v>39291.45</v>
      </c>
      <c r="F69" s="81" t="n">
        <v>4557.81</v>
      </c>
      <c r="G69" s="82" t="n">
        <v>3929.14</v>
      </c>
      <c r="H69" s="84" t="n"/>
      <c r="I69" s="84" t="n">
        <v>10</v>
      </c>
      <c r="J69" s="84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84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84" t="inlineStr">
        <is>
          <t>MX</t>
        </is>
      </c>
      <c r="D70" s="81" t="n">
        <v>42756.43</v>
      </c>
      <c r="E70" s="82" t="n">
        <v>36858.99</v>
      </c>
      <c r="F70" s="81" t="n">
        <v>4275.64</v>
      </c>
      <c r="G70" s="82" t="n">
        <v>3685.9</v>
      </c>
      <c r="H70" s="84" t="n"/>
      <c r="I70" s="84" t="n">
        <v>10.01</v>
      </c>
      <c r="J70" s="84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84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84" t="inlineStr">
        <is>
          <t>MX</t>
        </is>
      </c>
      <c r="D71" s="81" t="n">
        <v>11097.73</v>
      </c>
      <c r="E71" s="82" t="n">
        <v>9567.01</v>
      </c>
      <c r="F71" s="81" t="n">
        <v>3170.78</v>
      </c>
      <c r="G71" s="82" t="n">
        <v>2733.43</v>
      </c>
      <c r="H71" s="84" t="n"/>
      <c r="I71" s="84" t="n">
        <v>3.34</v>
      </c>
      <c r="J71" s="84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84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84" t="inlineStr">
        <is>
          <t>MX</t>
        </is>
      </c>
      <c r="D72" s="81" t="n">
        <v>79027.27</v>
      </c>
      <c r="E72" s="82" t="n">
        <v>68126.96000000001</v>
      </c>
      <c r="F72" s="81" t="n">
        <v>7902.73</v>
      </c>
      <c r="G72" s="82" t="n">
        <v>6812.7</v>
      </c>
      <c r="H72" s="84" t="n"/>
      <c r="I72" s="84" t="n">
        <v>10.01</v>
      </c>
      <c r="J72" s="84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84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84" t="inlineStr">
        <is>
          <t>MX</t>
        </is>
      </c>
      <c r="D73" s="81" t="n">
        <v>36969.64</v>
      </c>
      <c r="E73" s="82" t="n">
        <v>31870.38</v>
      </c>
      <c r="F73" s="81" t="n">
        <v>3696.96</v>
      </c>
      <c r="G73" s="82" t="n">
        <v>3187.04</v>
      </c>
      <c r="H73" s="84" t="n"/>
      <c r="I73" s="84" t="n">
        <v>10.02</v>
      </c>
      <c r="J73" s="84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84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84" t="inlineStr">
        <is>
          <t>MX</t>
        </is>
      </c>
      <c r="D74" s="81" t="n">
        <v>53873.39</v>
      </c>
      <c r="E74" s="82" t="n">
        <v>46442.58</v>
      </c>
      <c r="F74" s="81" t="n">
        <v>5387.34</v>
      </c>
      <c r="G74" s="82" t="n">
        <v>4644.26</v>
      </c>
      <c r="H74" s="84" t="n"/>
      <c r="I74" s="84" t="n">
        <v>9.970000000000001</v>
      </c>
      <c r="J74" s="84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84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84" t="inlineStr">
        <is>
          <t>MX</t>
        </is>
      </c>
      <c r="D75" s="81" t="n">
        <v>3748.16</v>
      </c>
      <c r="E75" s="82" t="n">
        <v>3231.17</v>
      </c>
      <c r="F75" s="81" t="n">
        <v>749.63</v>
      </c>
      <c r="G75" s="82" t="n">
        <v>646.23</v>
      </c>
      <c r="H75" s="84" t="n"/>
      <c r="I75" s="84" t="n">
        <v>5</v>
      </c>
      <c r="J75" s="84" t="n">
        <v>5</v>
      </c>
      <c r="K75" s="130" t="n">
        <v>46301</v>
      </c>
      <c r="L75" s="95" t="inlineStr">
        <is>
          <t>AISHA</t>
        </is>
      </c>
      <c r="M75" s="170" t="n"/>
      <c r="N75" s="84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84" t="inlineStr">
        <is>
          <t>MX</t>
        </is>
      </c>
      <c r="D76" s="81" t="n">
        <v>126087</v>
      </c>
      <c r="E76" s="82" t="n">
        <v>108695.69</v>
      </c>
      <c r="F76" s="81" t="n">
        <v>25217.4</v>
      </c>
      <c r="G76" s="82" t="n">
        <v>21739.14</v>
      </c>
      <c r="H76" s="84" t="n"/>
      <c r="I76" s="84" t="n">
        <v>5.03</v>
      </c>
      <c r="J76" s="84" t="n">
        <v>5</v>
      </c>
      <c r="K76" s="130" t="n">
        <v>46302</v>
      </c>
      <c r="L76" s="70" t="inlineStr">
        <is>
          <t>DANIEL NAHMAD</t>
        </is>
      </c>
      <c r="M76" s="170" t="n"/>
      <c r="N76" s="84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84" t="inlineStr">
        <is>
          <t>MX</t>
        </is>
      </c>
      <c r="D77" s="81" t="n">
        <v>110043.16</v>
      </c>
      <c r="E77" s="82" t="n">
        <v>94864.78999999999</v>
      </c>
      <c r="F77" s="81" t="n">
        <v>22008.63</v>
      </c>
      <c r="G77" s="82" t="n">
        <v>18972.96</v>
      </c>
      <c r="H77" s="84" t="n"/>
      <c r="I77" s="84" t="n">
        <v>5.01</v>
      </c>
      <c r="J77" s="84" t="n">
        <v>5</v>
      </c>
      <c r="K77" s="130" t="n">
        <v>46303</v>
      </c>
      <c r="L77" s="70" t="inlineStr">
        <is>
          <t>DANIEL NAHMAD</t>
        </is>
      </c>
      <c r="M77" s="170" t="n"/>
      <c r="N77" s="84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84" t="inlineStr">
        <is>
          <t>MX</t>
        </is>
      </c>
      <c r="D78" s="81" t="n">
        <v>95790.56</v>
      </c>
      <c r="E78" s="82" t="n">
        <v>82578.07000000001</v>
      </c>
      <c r="F78" s="81" t="n">
        <v>15965.09</v>
      </c>
      <c r="G78" s="82" t="n">
        <v>13763.01</v>
      </c>
      <c r="H78" s="84" t="n"/>
      <c r="I78" s="84" t="n">
        <v>6.01</v>
      </c>
      <c r="J78" s="84" t="n">
        <v>6</v>
      </c>
      <c r="K78" s="130" t="n">
        <v>46304</v>
      </c>
      <c r="L78" s="70" t="inlineStr">
        <is>
          <t>DANIEL NAHMAD</t>
        </is>
      </c>
      <c r="M78" s="170" t="n"/>
      <c r="N78" s="84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84" t="inlineStr">
        <is>
          <t>MX</t>
        </is>
      </c>
      <c r="D79" s="81" t="n">
        <v>31634.27</v>
      </c>
      <c r="E79" s="82" t="n">
        <v>27270.92</v>
      </c>
      <c r="F79" s="81" t="n">
        <v>6326.85</v>
      </c>
      <c r="G79" s="82" t="n">
        <v>5454.18</v>
      </c>
      <c r="H79" s="84" t="n"/>
      <c r="I79" s="84" t="n">
        <v>5.01</v>
      </c>
      <c r="J79" s="84" t="n">
        <v>5</v>
      </c>
      <c r="K79" s="130" t="n">
        <v>46307</v>
      </c>
      <c r="L79" s="70" t="inlineStr">
        <is>
          <t>DANIEL NAHMAD</t>
        </is>
      </c>
      <c r="M79" s="170" t="n"/>
      <c r="N79" s="84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84" t="inlineStr">
        <is>
          <t>MX</t>
        </is>
      </c>
      <c r="D80" s="81" t="n">
        <v>26274.03</v>
      </c>
      <c r="E80" s="82" t="n">
        <v>22650.03</v>
      </c>
      <c r="F80" s="81" t="n">
        <v>5254.81</v>
      </c>
      <c r="G80" s="82" t="n">
        <v>4530.01</v>
      </c>
      <c r="H80" s="84" t="n"/>
      <c r="I80" s="84" t="n">
        <v>5.02</v>
      </c>
      <c r="J80" s="84" t="n">
        <v>5</v>
      </c>
      <c r="K80" s="130" t="n">
        <v>46308</v>
      </c>
      <c r="L80" s="70" t="inlineStr">
        <is>
          <t>DANIEL NAHMAD</t>
        </is>
      </c>
      <c r="M80" s="170" t="n"/>
      <c r="N80" s="84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84" t="inlineStr">
        <is>
          <t>MX</t>
        </is>
      </c>
      <c r="D81" s="81" t="n">
        <v>179766.12</v>
      </c>
      <c r="E81" s="82" t="n">
        <v>154970.79</v>
      </c>
      <c r="F81" s="81" t="n">
        <v>17976.61</v>
      </c>
      <c r="G81" s="82" t="n">
        <v>15497.08</v>
      </c>
      <c r="H81" s="84" t="n"/>
      <c r="I81" s="84" t="n">
        <v>10.02</v>
      </c>
      <c r="J81" s="84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84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84" t="inlineStr">
        <is>
          <t>MX</t>
        </is>
      </c>
      <c r="D82" s="81" t="n">
        <v>28671.58</v>
      </c>
      <c r="E82" s="82" t="n">
        <v>24716.88</v>
      </c>
      <c r="F82" s="81" t="n">
        <v>5734.32</v>
      </c>
      <c r="G82" s="82" t="n">
        <v>4943.38</v>
      </c>
      <c r="H82" s="84" t="n"/>
      <c r="I82" s="84" t="n">
        <v>5.01</v>
      </c>
      <c r="J82" s="84" t="n">
        <v>5</v>
      </c>
      <c r="K82" s="130" t="n">
        <v>46310</v>
      </c>
      <c r="L82" s="70" t="inlineStr">
        <is>
          <t>DANIEL NAHMAD</t>
        </is>
      </c>
      <c r="M82" s="170" t="n"/>
      <c r="N82" s="84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84" t="inlineStr">
        <is>
          <t>MX</t>
        </is>
      </c>
      <c r="D83" s="81" t="n">
        <v>25779.11</v>
      </c>
      <c r="E83" s="82" t="n">
        <v>22223.37</v>
      </c>
      <c r="F83" s="81" t="n">
        <v>5155.82</v>
      </c>
      <c r="G83" s="82" t="n">
        <v>4444.67</v>
      </c>
      <c r="H83" s="84" t="n"/>
      <c r="I83" s="84" t="n">
        <v>5.01</v>
      </c>
      <c r="J83" s="84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84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84" t="inlineStr">
        <is>
          <t>MX</t>
        </is>
      </c>
      <c r="D84" s="81" t="n">
        <v>142437.92</v>
      </c>
      <c r="E84" s="82" t="n">
        <v>122791.31</v>
      </c>
      <c r="F84" s="81" t="n">
        <v>23739.65</v>
      </c>
      <c r="G84" s="82" t="n">
        <v>20465.22</v>
      </c>
      <c r="H84" s="84" t="n"/>
      <c r="I84" s="84" t="n">
        <v>6.1</v>
      </c>
      <c r="J84" s="84" t="n">
        <v>6</v>
      </c>
      <c r="K84" s="130" t="n">
        <v>46311</v>
      </c>
      <c r="L84" s="70" t="inlineStr">
        <is>
          <t>DANIEL NAHMAD</t>
        </is>
      </c>
      <c r="M84" s="170" t="n"/>
      <c r="N84" s="84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84" t="inlineStr">
        <is>
          <t>MX</t>
        </is>
      </c>
      <c r="D85" s="81" t="n">
        <v>141872.39</v>
      </c>
      <c r="E85" s="82" t="n">
        <v>122303.78</v>
      </c>
      <c r="F85" s="81" t="n">
        <v>14187.24</v>
      </c>
      <c r="G85" s="82" t="n">
        <v>12230.38</v>
      </c>
      <c r="H85" s="84" t="n"/>
      <c r="I85" s="84" t="n">
        <v>10.03</v>
      </c>
      <c r="J85" s="84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84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84" t="inlineStr">
        <is>
          <t>MX</t>
        </is>
      </c>
      <c r="D86" s="81" t="n">
        <v>28888.88</v>
      </c>
      <c r="E86" s="82" t="n">
        <v>24904.21</v>
      </c>
      <c r="F86" s="81" t="n">
        <v>5777.78</v>
      </c>
      <c r="G86" s="82" t="n">
        <v>4980.84</v>
      </c>
      <c r="H86" s="84" t="n"/>
      <c r="I86" s="84" t="n">
        <v>5.03</v>
      </c>
      <c r="J86" s="84" t="n">
        <v>5</v>
      </c>
      <c r="K86" s="130" t="n">
        <v>46315</v>
      </c>
      <c r="L86" s="70" t="inlineStr">
        <is>
          <t>DANIEL NAHMAD</t>
        </is>
      </c>
      <c r="M86" s="170" t="n"/>
      <c r="N86" s="84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84" t="inlineStr">
        <is>
          <t>MX</t>
        </is>
      </c>
      <c r="D87" s="81" t="n">
        <v>31246.48</v>
      </c>
      <c r="E87" s="82" t="n">
        <v>26936.62</v>
      </c>
      <c r="F87" s="81" t="n">
        <v>5681.18</v>
      </c>
      <c r="G87" s="82" t="n">
        <v>4897.57</v>
      </c>
      <c r="H87" s="84" t="n"/>
      <c r="I87" s="84" t="n">
        <v>5.5</v>
      </c>
      <c r="J87" s="84" t="n">
        <v>5.5</v>
      </c>
      <c r="K87" s="130" t="n">
        <v>46316</v>
      </c>
      <c r="L87" s="70" t="inlineStr">
        <is>
          <t>DANIEL NAHMAD</t>
        </is>
      </c>
      <c r="M87" s="170" t="n"/>
      <c r="N87" s="84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84" t="inlineStr">
        <is>
          <t>MX</t>
        </is>
      </c>
      <c r="D88" s="81" t="n">
        <v>13784.16</v>
      </c>
      <c r="E88" s="82" t="n">
        <v>11882.9</v>
      </c>
      <c r="F88" s="81" t="n">
        <v>3938.33</v>
      </c>
      <c r="G88" s="82" t="n">
        <v>3395.11</v>
      </c>
      <c r="H88" s="84" t="n"/>
      <c r="I88" s="84" t="n">
        <v>3.4</v>
      </c>
      <c r="J88" s="84" t="n">
        <v>3.5</v>
      </c>
      <c r="K88" s="130" t="n">
        <v>46317</v>
      </c>
      <c r="L88" s="70" t="inlineStr">
        <is>
          <t>DANIEL NAHMAD</t>
        </is>
      </c>
      <c r="M88" s="170" t="n"/>
      <c r="N88" s="84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84" t="inlineStr">
        <is>
          <t>MX</t>
        </is>
      </c>
      <c r="D89" s="81" t="n">
        <v>9289.959999999999</v>
      </c>
      <c r="E89" s="82" t="n">
        <v>8008.59</v>
      </c>
      <c r="F89" s="81" t="n">
        <v>6193.31</v>
      </c>
      <c r="G89" s="82" t="n">
        <v>5339.06</v>
      </c>
      <c r="H89" s="84" t="n"/>
      <c r="I89" s="84" t="n">
        <v>1.62</v>
      </c>
      <c r="J89" s="84" t="n">
        <v>1.5</v>
      </c>
      <c r="K89" s="130" t="n">
        <v>46317</v>
      </c>
      <c r="L89" s="70" t="inlineStr">
        <is>
          <t>DANIEL NAHMAD</t>
        </is>
      </c>
      <c r="M89" s="170" t="n"/>
      <c r="N89" s="84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84" t="inlineStr">
        <is>
          <t>MX</t>
        </is>
      </c>
      <c r="D90" s="81" t="n">
        <v>44287.38</v>
      </c>
      <c r="E90" s="82" t="n">
        <v>38178.78</v>
      </c>
      <c r="F90" s="81" t="n">
        <v>8052.25</v>
      </c>
      <c r="G90" s="82" t="n">
        <v>6941.6</v>
      </c>
      <c r="H90" s="84" t="n"/>
      <c r="I90" s="84" t="n">
        <v>5.52</v>
      </c>
      <c r="J90" s="84" t="n">
        <v>5.5</v>
      </c>
      <c r="K90" s="130" t="n">
        <v>46318</v>
      </c>
      <c r="L90" s="70" t="inlineStr">
        <is>
          <t>DANIEL NAHMAD</t>
        </is>
      </c>
      <c r="M90" s="170" t="n"/>
      <c r="N90" s="84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84" t="inlineStr">
        <is>
          <t>MX</t>
        </is>
      </c>
      <c r="D91" s="81" t="n">
        <v>36341.42</v>
      </c>
      <c r="E91" s="82" t="n">
        <v>31328.81</v>
      </c>
      <c r="F91" s="81" t="n">
        <v>6607.53</v>
      </c>
      <c r="G91" s="82" t="n">
        <v>5696.15</v>
      </c>
      <c r="H91" s="84" t="n"/>
      <c r="I91" s="84" t="n">
        <v>5.37</v>
      </c>
      <c r="J91" s="84" t="n">
        <v>5.5</v>
      </c>
      <c r="K91" s="130" t="n">
        <v>46321</v>
      </c>
      <c r="L91" s="70" t="inlineStr">
        <is>
          <t>DANIEL NAHMAD</t>
        </is>
      </c>
      <c r="M91" s="170" t="n"/>
      <c r="N91" s="84" t="inlineStr">
        <is>
          <t>DIEGO</t>
        </is>
      </c>
    </row>
  </sheetData>
  <dataValidations count="2">
    <dataValidation sqref="L2:L20 L23:L43 L46:L66 L69:L71 L74 L76:L91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LET(dec, I2-INT(I2), IF(dec&lt;0.1, INT(I2), IF(dec&lt;=0.7, INT(I2)+0.5, INT(I2)+1)))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LET(dec, I3-INT(I3), IF(dec&lt;0.1, INT(I3), IF(dec&lt;=0.7, INT(I3)+0.5, INT(I3)+1)))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LET(dec, I4-INT(I4), IF(dec&lt;0.1, INT(I4), IF(dec&lt;=0.7, INT(I4)+0.5, INT(I4)+1)))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LET(dec, I5-INT(I5), IF(dec&lt;0.1, INT(I5), IF(dec&lt;=0.7, INT(I5)+0.5, INT(I5)+1)))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LET(dec, I6-INT(I6), IF(dec&lt;0.1, INT(I6), IF(dec&lt;=0.7, INT(I6)+0.5, INT(I6)+1)))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LET(dec, I7-INT(I7), IF(dec&lt;0.1, INT(I7), IF(dec&lt;=0.7, INT(I7)+0.5, INT(I7)+1)))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LET(dec, I8-INT(I8), IF(dec&lt;0.1, INT(I8), IF(dec&lt;=0.7, INT(I8)+0.5, INT(I8)+1)))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LET(dec, I9-INT(I9), IF(dec&lt;0.1, INT(I9), IF(dec&lt;=0.7, INT(I9)+0.5, INT(I9)+1)))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LET(dec, I10-INT(I10), IF(dec&lt;0.1, INT(I10), IF(dec&lt;=0.7, INT(I10)+0.5, INT(I10)+1)))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LET(dec, I11-INT(I11), IF(dec&lt;0.1, INT(I11), IF(dec&lt;=0.7, INT(I11)+0.5, INT(I11)+1)))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LET(dec, I12-INT(I12), IF(dec&lt;0.1, INT(I12), IF(dec&lt;=0.7, INT(I12)+0.5, INT(I12)+1)))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LET(dec, I16-INT(I16), IF(dec&lt;0.1, INT(I16), IF(dec&lt;=0.7, INT(I16)+0.5, INT(I16)+1)))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LET(dec, I17-INT(I17), IF(dec&lt;0.1, INT(I17), IF(dec&lt;=0.7, INT(I17)+0.5, INT(I17)+1)))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LET(dec, I18-INT(I18), IF(dec&lt;0.1, INT(I18), IF(dec&lt;=0.7, INT(I18)+0.5, INT(I18)+1)))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LET(dec, I19-INT(I19), IF(dec&lt;0.1, INT(I19), IF(dec&lt;=0.7, INT(I19)+0.5, INT(I19)+1)))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LET(dec, I20-INT(I20), IF(dec&lt;0.1, INT(I20), IF(dec&lt;=0.7, INT(I20)+0.5, INT(I20)+1)))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LET(dec, I21-INT(I21), IF(dec&lt;0.1, INT(I21), IF(dec&lt;=0.7, INT(I21)+0.5, INT(I21)+1)))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LET(dec, I22-INT(I22), IF(dec&lt;0.1, INT(I22), IF(dec&lt;=0.7, INT(I22)+0.5, INT(I22)+1)))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LET(dec, I23-INT(I23), IF(dec&lt;0.1, INT(I23), IF(dec&lt;=0.7, INT(I23)+0.5, INT(I23)+1)))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LET(dec, I24-INT(I24), IF(dec&lt;0.1, INT(I24), IF(dec&lt;=0.7, INT(I24)+0.5, INT(I24)+1)))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LET(dec, I25-INT(I25), IF(dec&lt;0.1, INT(I25), IF(dec&lt;=0.7, INT(I25)+0.5, INT(I25)+1)))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LET(dec, I26-INT(I26), IF(dec&lt;0.1, INT(I26), IF(dec&lt;=0.7, INT(I26)+0.5, INT(I26)+1)))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LET(dec, I27-INT(I27), IF(dec&lt;0.1, INT(I27), IF(dec&lt;=0.7, INT(I27)+0.5, INT(I27)+1)))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LET(dec, I28-INT(I28), IF(dec&lt;0.1, INT(I28), IF(dec&lt;=0.7, INT(I28)+0.5, INT(I28)+1)))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LET(dec, I29-INT(I29), IF(dec&lt;0.1, INT(I29), IF(dec&lt;=0.7, INT(I29)+0.5, INT(I29)+1)))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LET(dec, I30-INT(I30), IF(dec&lt;0.1, INT(I30), IF(dec&lt;=0.7, INT(I30)+0.5, INT(I30)+1)))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LET(dec, I31-INT(I31), IF(dec&lt;0.1, INT(I31), IF(dec&lt;=0.7, INT(I31)+0.5, INT(I31)+1)))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LET(dec, I32-INT(I32), IF(dec&lt;0.1, INT(I32), IF(dec&lt;=0.7, INT(I32)+0.5, INT(I32)+1)))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LET(dec, I33-INT(I33), IF(dec&lt;0.1, INT(I33), IF(dec&lt;=0.7, INT(I33)+0.5, INT(I33)+1)))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LET(dec, I34-INT(I34), IF(dec&lt;0.1, INT(I34), IF(dec&lt;=0.7, INT(I34)+0.5, INT(I34)+1)))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LET(dec, I35-INT(I35), IF(dec&lt;0.1, INT(I35), IF(dec&lt;=0.7, INT(I35)+0.5, INT(I35)+1)))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LET(dec, I36-INT(I36), IF(dec&lt;0.1, INT(I36), IF(dec&lt;=0.7, INT(I36)+0.5, INT(I36)+1)))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LET(dec, I37-INT(I37), IF(dec&lt;0.1, INT(I37), IF(dec&lt;=0.7, INT(I37)+0.5, INT(I37)+1)))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LET(dec, I38-INT(I38), IF(dec&lt;0.1, INT(I38), IF(dec&lt;=0.7, INT(I38)+0.5, INT(I38)+1)))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LET(dec, I39-INT(I39), IF(dec&lt;0.1, INT(I39), IF(dec&lt;=0.7, INT(I39)+0.5, INT(I39)+1)))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LET(dec, I40-INT(I40), IF(dec&lt;0.1, INT(I40), IF(dec&lt;=0.7, INT(I40)+0.5, INT(I40)+1)))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LET(dec, I41-INT(I41), IF(dec&lt;0.1, INT(I41), IF(dec&lt;=0.7, INT(I41)+0.5, INT(I41)+1)))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LET(dec, I42-INT(I42), IF(dec&lt;0.1, INT(I42), IF(dec&lt;=0.7, INT(I42)+0.5, INT(I42)+1)))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LET(dec, I43-INT(I43), IF(dec&lt;0.1, INT(I43), IF(dec&lt;=0.7, INT(I43)+0.5, INT(I43)+1)))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LET(dec, I44-INT(I44), IF(dec&lt;0.1, INT(I44), IF(dec&lt;=0.7, INT(I44)+0.5, INT(I44)+1)))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LET(dec, I45-INT(I45), IF(dec&lt;0.1, INT(I45), IF(dec&lt;=0.7, INT(I45)+0.5, INT(I45)+1)))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LET(dec, I46-INT(I46), IF(dec&lt;0.1, INT(I46), IF(dec&lt;=0.7, INT(I46)+0.5, INT(I46)+1)))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LET(dec, I47-INT(I47), IF(dec&lt;0.1, INT(I47), IF(dec&lt;=0.7, INT(I47)+0.5, INT(I47)+1)))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LET(dec, I48-INT(I48), IF(dec&lt;0.1, INT(I48), IF(dec&lt;=0.7, INT(I48)+0.5, INT(I48)+1)))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LET(dec, I49-INT(I49), IF(dec&lt;0.1, INT(I49), IF(dec&lt;=0.7, INT(I49)+0.5, INT(I49)+1)))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LET(dec, I50-INT(I50), IF(dec&lt;0.1, INT(I50), IF(dec&lt;=0.7, INT(I50)+0.5, INT(I50)+1)))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LET(dec, I54-INT(I54), IF(dec&lt;0.1, INT(I54), IF(dec&lt;=0.7, INT(I54)+0.5, INT(I54)+1)))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LET(dec, I55-INT(I55), IF(dec&lt;0.1, INT(I55), IF(dec&lt;=0.7, INT(I55)+0.5, INT(I55)+1)))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LET(dec, I56-INT(I56), IF(dec&lt;0.1, INT(I56), IF(dec&lt;=0.7, INT(I56)+0.5, INT(I56)+1)))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LET(dec, I57-INT(I57), IF(dec&lt;0.1, INT(I57), IF(dec&lt;=0.7, INT(I57)+0.5, INT(I57)+1)))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LET(dec, I58-INT(I58), IF(dec&lt;0.1, INT(I58), IF(dec&lt;=0.7, INT(I58)+0.5, INT(I58)+1)))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LET(dec, I59-INT(I59), IF(dec&lt;0.1, INT(I59), IF(dec&lt;=0.7, INT(I59)+0.5, INT(I59)+1)))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LET(dec, I60-INT(I60), IF(dec&lt;0.1, INT(I60), IF(dec&lt;=0.7, INT(I60)+0.5, INT(I60)+1)))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LET(dec, I61-INT(I61), IF(dec&lt;0.1, INT(I61), IF(dec&lt;=0.7, INT(I61)+0.5, INT(I61)+1)))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LET(dec, I62-INT(I62), IF(dec&lt;0.1, INT(I62), IF(dec&lt;=0.7, INT(I62)+0.5, INT(I62)+1)))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LET(dec, I63-INT(I63), IF(dec&lt;0.1, INT(I63), IF(dec&lt;=0.7, INT(I63)+0.5, INT(I63)+1)))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LET(dec, I64-INT(I64), IF(dec&lt;0.1, INT(I64), IF(dec&lt;=0.7, INT(I64)+0.5, INT(I64)+1)))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LET(dec, I65-INT(I65), IF(dec&lt;0.1, INT(I65), IF(dec&lt;=0.7, INT(I65)+0.5, INT(I65)+1)))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LET(dec, I66-INT(I66), IF(dec&lt;0.1, INT(I66), IF(dec&lt;=0.7, INT(I66)+0.5, INT(I66)+1)))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LET(dec, I67-INT(I67), IF(dec&lt;0.1, INT(I67), IF(dec&lt;=0.7, INT(I67)+0.5, INT(I67)+1)))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LET(dec, I68-INT(I68), IF(dec&lt;0.1, INT(I68), IF(dec&lt;=0.7, INT(I68)+0.5, INT(I68)+1)))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LET(dec, I69-INT(I69), IF(dec&lt;0.1, INT(I69), IF(dec&lt;=0.7, INT(I69)+0.5, INT(I69)+1)))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LET(dec, I70-INT(I70), IF(dec&lt;0.1, INT(I70), IF(dec&lt;=0.7, INT(I70)+0.5, INT(I70)+1)))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LET(dec, I71-INT(I71), IF(dec&lt;0.1, INT(I71), IF(dec&lt;=0.7, INT(I71)+0.5, INT(I71)+1)))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LET(dec, I72-INT(I72), IF(dec&lt;0.1, INT(I72), IF(dec&lt;=0.7, INT(I72)+0.5, INT(I72)+1)))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LET(dec, I73-INT(I73), IF(dec&lt;0.1, INT(I73), IF(dec&lt;=0.7, INT(I73)+0.5, INT(I73)+1)))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LET(dec, I74-INT(I74), IF(dec&lt;0.1, INT(I74), IF(dec&lt;=0.7, INT(I74)+0.5, INT(I74)+1)))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LET(dec, I75-INT(I75), IF(dec&lt;0.1, INT(I75), IF(dec&lt;=0.7, INT(I75)+0.5, INT(I75)+1)))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LET(dec, I76-INT(I76), IF(dec&lt;0.1, INT(I76), IF(dec&lt;=0.7, INT(I76)+0.5, INT(I76)+1)))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LET(dec, I77-INT(I77), IF(dec&lt;0.1, INT(I77), IF(dec&lt;=0.7, INT(I77)+0.5, INT(I77)+1)))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LET(dec, I78-INT(I78), IF(dec&lt;0.1, INT(I78), IF(dec&lt;=0.7, INT(I78)+0.5, INT(I78)+1)))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1" t="inlineStr">
        <is>
          <t>fashion_only</t>
        </is>
      </c>
      <c r="C81" s="91" t="inlineStr">
        <is>
          <t>MX</t>
        </is>
      </c>
      <c r="D81" s="132" t="n">
        <v>4114.28</v>
      </c>
      <c r="E81" s="82" t="n">
        <v>3546.79</v>
      </c>
      <c r="F81" s="82" t="n">
        <v>822.86</v>
      </c>
      <c r="G81" s="82" t="n">
        <v>709.36</v>
      </c>
      <c r="H81" s="84" t="n"/>
      <c r="I81" s="84" t="n">
        <v>4.92</v>
      </c>
      <c r="J81" s="84" t="n">
        <v>5</v>
      </c>
      <c r="K81" s="130" t="n">
        <v>46293</v>
      </c>
      <c r="L81" s="41" t="inlineStr">
        <is>
          <t>MAYTE</t>
        </is>
      </c>
      <c r="M81" s="84" t="n"/>
      <c r="N81" s="84" t="n"/>
      <c r="O81" s="84" t="inlineStr">
        <is>
          <t>Rodrigo Toledo</t>
        </is>
      </c>
    </row>
    <row r="82">
      <c r="A82" s="87" t="inlineStr">
        <is>
          <t>7690977334760868614</t>
        </is>
      </c>
      <c r="B82" s="91" t="inlineStr">
        <is>
          <t>fashion_only</t>
        </is>
      </c>
      <c r="C82" s="91" t="inlineStr">
        <is>
          <t>MX</t>
        </is>
      </c>
      <c r="D82" s="132" t="n">
        <v>2370.28</v>
      </c>
      <c r="E82" s="82" t="n">
        <v>2043.34</v>
      </c>
      <c r="F82" s="82" t="n">
        <v>474.06</v>
      </c>
      <c r="G82" s="82" t="n">
        <v>408.67</v>
      </c>
      <c r="H82" s="84" t="n"/>
      <c r="I82" s="84" t="n">
        <v>5.04</v>
      </c>
      <c r="J82" s="84" t="n">
        <v>5</v>
      </c>
      <c r="K82" s="130" t="n">
        <v>46294</v>
      </c>
      <c r="L82" s="41" t="inlineStr">
        <is>
          <t>MAYTE</t>
        </is>
      </c>
      <c r="M82" s="84" t="n"/>
      <c r="N82" s="84" t="n"/>
      <c r="O82" s="84" t="inlineStr">
        <is>
          <t>Rodrigo Toledo</t>
        </is>
      </c>
    </row>
    <row r="83">
      <c r="A83" s="87" t="inlineStr">
        <is>
          <t>7691344891706493716</t>
        </is>
      </c>
      <c r="B83" s="91" t="inlineStr">
        <is>
          <t>fashion_only</t>
        </is>
      </c>
      <c r="C83" s="91" t="inlineStr">
        <is>
          <t>MX</t>
        </is>
      </c>
      <c r="D83" s="132" t="n">
        <v>1573.9</v>
      </c>
      <c r="E83" s="82" t="n">
        <v>1356.81</v>
      </c>
      <c r="F83" s="82" t="n">
        <v>314.78</v>
      </c>
      <c r="G83" s="82" t="n">
        <v>271.36</v>
      </c>
      <c r="H83" s="84" t="n"/>
      <c r="I83" s="84" t="n">
        <v>4.89</v>
      </c>
      <c r="J83" s="84" t="n">
        <v>5</v>
      </c>
      <c r="K83" s="130" t="n">
        <v>46295</v>
      </c>
      <c r="L83" s="41" t="inlineStr">
        <is>
          <t>MAYTE</t>
        </is>
      </c>
      <c r="M83" s="84" t="n"/>
      <c r="N83" s="84" t="n"/>
      <c r="O83" s="84" t="inlineStr">
        <is>
          <t>Rodrigo Toledo</t>
        </is>
      </c>
    </row>
    <row r="84">
      <c r="A84" s="87" t="inlineStr">
        <is>
          <t>7691760959787813652</t>
        </is>
      </c>
      <c r="B84" s="91" t="inlineStr">
        <is>
          <t>fashion_only</t>
        </is>
      </c>
      <c r="C84" s="91" t="inlineStr">
        <is>
          <t>MX</t>
        </is>
      </c>
      <c r="D84" s="132" t="n">
        <v>1679.84</v>
      </c>
      <c r="E84" s="82" t="n">
        <v>1448.14</v>
      </c>
      <c r="F84" s="82" t="n">
        <v>419.96</v>
      </c>
      <c r="G84" s="82" t="n">
        <v>362.03</v>
      </c>
      <c r="H84" s="84" t="n"/>
      <c r="I84" s="84" t="n">
        <v>3.98</v>
      </c>
      <c r="J84" s="84" t="n">
        <v>4</v>
      </c>
      <c r="K84" s="130" t="n">
        <v>46296</v>
      </c>
      <c r="L84" s="41" t="inlineStr">
        <is>
          <t>MAYTE</t>
        </is>
      </c>
      <c r="M84" s="84" t="n"/>
      <c r="N84" s="84" t="n"/>
      <c r="O84" s="84" t="inlineStr">
        <is>
          <t>Rodrigo Toledo</t>
        </is>
      </c>
    </row>
    <row r="85">
      <c r="A85" s="87" t="inlineStr">
        <is>
          <t>7693199684388227860</t>
        </is>
      </c>
      <c r="B85" s="91" t="inlineStr">
        <is>
          <t>fashion_only</t>
        </is>
      </c>
      <c r="C85" s="91" t="inlineStr">
        <is>
          <t>MX</t>
        </is>
      </c>
      <c r="D85" s="132" t="n">
        <v>625.89</v>
      </c>
      <c r="E85" s="82" t="n">
        <v>539.5599999999999</v>
      </c>
      <c r="F85" s="82" t="n">
        <v>125.18</v>
      </c>
      <c r="G85" s="82" t="n">
        <v>107.91</v>
      </c>
      <c r="H85" s="84" t="n"/>
      <c r="I85" s="84" t="n">
        <v>4.95</v>
      </c>
      <c r="J85" s="84" t="n">
        <v>5</v>
      </c>
      <c r="K85" s="130" t="n">
        <v>46300</v>
      </c>
      <c r="L85" s="41" t="inlineStr">
        <is>
          <t>MAYTE</t>
        </is>
      </c>
      <c r="M85" s="84" t="n"/>
      <c r="N85" s="84" t="n"/>
      <c r="O85" s="84" t="inlineStr">
        <is>
          <t>Rodrigo Toledo</t>
        </is>
      </c>
    </row>
    <row r="86">
      <c r="A86" s="87" t="inlineStr">
        <is>
          <t>7693562346077326100</t>
        </is>
      </c>
      <c r="B86" s="91" t="inlineStr">
        <is>
          <t>fashion_only</t>
        </is>
      </c>
      <c r="C86" s="91" t="inlineStr">
        <is>
          <t>MX</t>
        </is>
      </c>
      <c r="D86" s="132" t="n">
        <v>1240.78</v>
      </c>
      <c r="E86" s="82" t="n">
        <v>1069.64</v>
      </c>
      <c r="F86" s="82" t="n">
        <v>275.73</v>
      </c>
      <c r="G86" s="82" t="n">
        <v>237.7</v>
      </c>
      <c r="H86" s="84" t="n"/>
      <c r="I86" s="84" t="n">
        <v>4.54</v>
      </c>
      <c r="J86" s="84" t="n">
        <v>4.5</v>
      </c>
      <c r="K86" s="130" t="n">
        <v>46301</v>
      </c>
      <c r="L86" s="41" t="inlineStr">
        <is>
          <t>MAYTE</t>
        </is>
      </c>
      <c r="M86" s="84" t="n"/>
      <c r="N86" s="84" t="n"/>
      <c r="O86" s="84" t="inlineStr">
        <is>
          <t>Rodrigo Toledo</t>
        </is>
      </c>
    </row>
    <row r="87">
      <c r="A87" s="87" t="inlineStr">
        <is>
          <t>7693944065031195412</t>
        </is>
      </c>
      <c r="B87" s="91" t="inlineStr">
        <is>
          <t>fashion_only</t>
        </is>
      </c>
      <c r="C87" s="91" t="inlineStr">
        <is>
          <t>MX</t>
        </is>
      </c>
      <c r="D87" s="132" t="n">
        <v>1188.19</v>
      </c>
      <c r="E87" s="82" t="n">
        <v>1024.3</v>
      </c>
      <c r="F87" s="82" t="n">
        <v>396.06</v>
      </c>
      <c r="G87" s="82" t="n">
        <v>341.43</v>
      </c>
      <c r="H87" s="84" t="n"/>
      <c r="I87" s="84" t="n">
        <v>2.82</v>
      </c>
      <c r="J87" s="84" t="n">
        <v>3</v>
      </c>
      <c r="K87" s="130" t="n">
        <v>46302</v>
      </c>
      <c r="L87" s="41" t="inlineStr">
        <is>
          <t>MAYTE</t>
        </is>
      </c>
      <c r="M87" s="84" t="n"/>
      <c r="N87" s="84" t="n"/>
      <c r="O87" s="84" t="inlineStr">
        <is>
          <t>Rodrigo Toledo</t>
        </is>
      </c>
    </row>
    <row r="88">
      <c r="A88" s="87" t="inlineStr">
        <is>
          <t>7694318760287259412</t>
        </is>
      </c>
      <c r="B88" s="91" t="inlineStr">
        <is>
          <t>fashion_only</t>
        </is>
      </c>
      <c r="C88" s="91" t="inlineStr">
        <is>
          <t>MX</t>
        </is>
      </c>
      <c r="D88" s="132" t="n">
        <v>1148.34</v>
      </c>
      <c r="E88" s="82" t="n">
        <v>989.95</v>
      </c>
      <c r="F88" s="82" t="n">
        <v>208.79</v>
      </c>
      <c r="G88" s="82" t="n">
        <v>179.99</v>
      </c>
      <c r="H88" s="84" t="n"/>
      <c r="I88" s="84" t="n">
        <v>5.56</v>
      </c>
      <c r="J88" s="84" t="n">
        <v>5.5</v>
      </c>
      <c r="K88" s="130" t="n">
        <v>46303</v>
      </c>
      <c r="L88" s="41" t="inlineStr">
        <is>
          <t>MAYTE</t>
        </is>
      </c>
      <c r="M88" s="84" t="n"/>
      <c r="N88" s="84" t="n"/>
      <c r="O88" s="84" t="inlineStr">
        <is>
          <t>Rodrigo Toledo</t>
        </is>
      </c>
    </row>
    <row r="89">
      <c r="A89" s="87" t="inlineStr">
        <is>
          <t>7694684728481352469</t>
        </is>
      </c>
      <c r="B89" s="91" t="inlineStr">
        <is>
          <t>fashion_only</t>
        </is>
      </c>
      <c r="C89" s="91" t="inlineStr">
        <is>
          <t>MX</t>
        </is>
      </c>
      <c r="D89" s="132" t="n">
        <v>16198.4</v>
      </c>
      <c r="E89" s="82" t="n">
        <v>13964.14</v>
      </c>
      <c r="F89" s="82" t="n">
        <v>2699.73</v>
      </c>
      <c r="G89" s="82" t="n">
        <v>2327.36</v>
      </c>
      <c r="H89" s="84" t="n"/>
      <c r="I89" s="84" t="n">
        <v>5.96</v>
      </c>
      <c r="J89" s="84" t="n">
        <v>6</v>
      </c>
      <c r="K89" s="130" t="n">
        <v>46304</v>
      </c>
      <c r="L89" s="41" t="inlineStr">
        <is>
          <t>MAYTE</t>
        </is>
      </c>
      <c r="M89" s="84" t="n"/>
      <c r="N89" s="84" t="n"/>
      <c r="O89" s="84" t="inlineStr">
        <is>
          <t>Rodrigo Toledo</t>
        </is>
      </c>
    </row>
    <row r="90">
      <c r="A90" s="87" t="inlineStr">
        <is>
          <t>7695798318911998741</t>
        </is>
      </c>
      <c r="B90" s="91" t="inlineStr">
        <is>
          <t>fashion_only</t>
        </is>
      </c>
      <c r="C90" s="91" t="inlineStr">
        <is>
          <t>MX</t>
        </is>
      </c>
      <c r="D90" s="132" t="n">
        <v>15737.54</v>
      </c>
      <c r="E90" s="82" t="n">
        <v>13566.84</v>
      </c>
      <c r="F90" s="82" t="n">
        <v>2622.92</v>
      </c>
      <c r="G90" s="82" t="n">
        <v>2261.14</v>
      </c>
      <c r="H90" s="84" t="n"/>
      <c r="I90" s="84" t="n">
        <v>5.96</v>
      </c>
      <c r="J90" s="84" t="n">
        <v>6</v>
      </c>
      <c r="K90" s="130" t="n">
        <v>46307</v>
      </c>
      <c r="L90" s="41" t="inlineStr">
        <is>
          <t>MAYTE</t>
        </is>
      </c>
      <c r="M90" s="84" t="n"/>
      <c r="N90" s="84" t="n"/>
      <c r="O90" s="84" t="inlineStr">
        <is>
          <t>Rodrigo Toledo</t>
        </is>
      </c>
    </row>
    <row r="91">
      <c r="A91" s="87" t="inlineStr">
        <is>
          <t>7696170554078546708</t>
        </is>
      </c>
      <c r="B91" s="91" t="inlineStr">
        <is>
          <t>fashion_only</t>
        </is>
      </c>
      <c r="C91" s="91" t="inlineStr">
        <is>
          <t>MX</t>
        </is>
      </c>
      <c r="D91" s="132" t="n">
        <v>9278.49</v>
      </c>
      <c r="E91" s="82" t="n">
        <v>7998.7</v>
      </c>
      <c r="F91" s="82" t="n">
        <v>1855.7</v>
      </c>
      <c r="G91" s="82" t="n">
        <v>1599.74</v>
      </c>
      <c r="H91" s="84" t="n"/>
      <c r="I91" s="84" t="n">
        <v>5.01</v>
      </c>
      <c r="J91" s="84" t="n">
        <v>5</v>
      </c>
      <c r="K91" s="130" t="n">
        <v>46308</v>
      </c>
      <c r="L91" s="41" t="inlineStr">
        <is>
          <t>MAYTE</t>
        </is>
      </c>
      <c r="M91" s="84" t="n"/>
      <c r="N91" s="84" t="n"/>
      <c r="O91" s="84" t="inlineStr">
        <is>
          <t>Rodrigo Toledo</t>
        </is>
      </c>
    </row>
    <row r="92">
      <c r="A92" s="87" t="inlineStr">
        <is>
          <t>7696910300964047636</t>
        </is>
      </c>
      <c r="B92" s="91" t="inlineStr">
        <is>
          <t>fashion_only</t>
        </is>
      </c>
      <c r="C92" s="91" t="inlineStr">
        <is>
          <t>MX</t>
        </is>
      </c>
      <c r="D92" s="132" t="n">
        <v>20332.39</v>
      </c>
      <c r="E92" s="82" t="n">
        <v>17527.92</v>
      </c>
      <c r="F92" s="82" t="n">
        <v>1848.4</v>
      </c>
      <c r="G92" s="82" t="n">
        <v>1593.45</v>
      </c>
      <c r="H92" s="84" t="n"/>
      <c r="I92" s="84" t="n">
        <v>10.95</v>
      </c>
      <c r="J92" s="84" t="n">
        <v>11</v>
      </c>
      <c r="K92" s="130" t="n">
        <v>46310</v>
      </c>
      <c r="L92" s="41" t="inlineStr">
        <is>
          <t>MAYTE</t>
        </is>
      </c>
      <c r="M92" s="84" t="inlineStr">
        <is>
          <t>KARIM</t>
        </is>
      </c>
      <c r="N92" s="84" t="inlineStr">
        <is>
          <t>MILI CONCHA</t>
        </is>
      </c>
      <c r="O92" s="84" t="inlineStr">
        <is>
          <t>Rodrigo Toledo</t>
        </is>
      </c>
    </row>
    <row r="93">
      <c r="A93" s="87" t="inlineStr">
        <is>
          <t>7697328218342591253</t>
        </is>
      </c>
      <c r="B93" s="91" t="inlineStr">
        <is>
          <t>fashion_only</t>
        </is>
      </c>
      <c r="C93" s="91" t="inlineStr">
        <is>
          <t>MX</t>
        </is>
      </c>
      <c r="D93" s="132" t="n">
        <v>9298.139999999999</v>
      </c>
      <c r="E93" s="82" t="n">
        <v>8015.64</v>
      </c>
      <c r="F93" s="82" t="n">
        <v>2324.54</v>
      </c>
      <c r="G93" s="82" t="n">
        <v>2003.91</v>
      </c>
      <c r="H93" s="84" t="n"/>
      <c r="I93" s="84" t="n">
        <v>3.94</v>
      </c>
      <c r="J93" s="84" t="n">
        <v>4</v>
      </c>
      <c r="K93" s="130" t="n">
        <v>46311</v>
      </c>
      <c r="L93" s="41" t="inlineStr">
        <is>
          <t>MAYTE</t>
        </is>
      </c>
      <c r="M93" s="84" t="n"/>
      <c r="N93" s="84" t="n"/>
      <c r="O93" s="84" t="inlineStr">
        <is>
          <t>Rodrigo Toledo</t>
        </is>
      </c>
    </row>
    <row r="94">
      <c r="A94" s="87" t="inlineStr">
        <is>
          <t>7697654815102421780</t>
        </is>
      </c>
      <c r="B94" s="91" t="inlineStr">
        <is>
          <t>fashion_only</t>
        </is>
      </c>
      <c r="C94" s="91" t="inlineStr">
        <is>
          <t>MX</t>
        </is>
      </c>
      <c r="D94" s="132" t="n">
        <v>19028.73</v>
      </c>
      <c r="E94" s="82" t="n">
        <v>16404.08</v>
      </c>
      <c r="F94" s="82" t="n">
        <v>1812.26</v>
      </c>
      <c r="G94" s="82" t="n">
        <v>1562.29</v>
      </c>
      <c r="H94" s="84" t="n"/>
      <c r="I94" s="84" t="n">
        <v>10.22</v>
      </c>
      <c r="J94" s="84" t="n">
        <v>10.5</v>
      </c>
      <c r="K94" s="130" t="n">
        <v>46312</v>
      </c>
      <c r="L94" s="41" t="inlineStr">
        <is>
          <t>MAYTE</t>
        </is>
      </c>
      <c r="M94" s="84" t="inlineStr">
        <is>
          <t>MILI CONCHA</t>
        </is>
      </c>
      <c r="N94" s="84" t="n"/>
      <c r="O94" s="84" t="inlineStr">
        <is>
          <t>Rodrigo Toledo</t>
        </is>
      </c>
    </row>
    <row r="95">
      <c r="A95" s="87" t="inlineStr">
        <is>
          <t>7698395402177530645</t>
        </is>
      </c>
      <c r="B95" s="91" t="inlineStr">
        <is>
          <t>fashion_only</t>
        </is>
      </c>
      <c r="C95" s="91" t="inlineStr">
        <is>
          <t>MX</t>
        </is>
      </c>
      <c r="D95" s="132" t="n">
        <v>33490.16</v>
      </c>
      <c r="E95" s="82" t="n">
        <v>28870.83</v>
      </c>
      <c r="F95" s="82" t="n">
        <v>3189.54</v>
      </c>
      <c r="G95" s="82" t="n">
        <v>2749.6</v>
      </c>
      <c r="H95" s="84" t="n"/>
      <c r="I95" s="84" t="n">
        <v>10.21</v>
      </c>
      <c r="J95" s="84" t="n">
        <v>10.5</v>
      </c>
      <c r="K95" s="130" t="n">
        <v>46314</v>
      </c>
      <c r="L95" s="41" t="inlineStr">
        <is>
          <t>MAYTE</t>
        </is>
      </c>
      <c r="M95" s="84" t="inlineStr">
        <is>
          <t>AKEY</t>
        </is>
      </c>
      <c r="N95" s="84" t="n"/>
      <c r="O95" s="84" t="inlineStr">
        <is>
          <t>Rodrigo Toledo</t>
        </is>
      </c>
    </row>
    <row r="96">
      <c r="A96" s="87" t="inlineStr">
        <is>
          <t>7698768912553822997</t>
        </is>
      </c>
      <c r="B96" s="91" t="inlineStr">
        <is>
          <t>fashion_only</t>
        </is>
      </c>
      <c r="C96" s="91" t="inlineStr">
        <is>
          <t>MX</t>
        </is>
      </c>
      <c r="D96" s="132" t="n">
        <v>12519.71</v>
      </c>
      <c r="E96" s="82" t="n">
        <v>10792.85</v>
      </c>
      <c r="F96" s="82" t="n">
        <v>2503.94</v>
      </c>
      <c r="G96" s="82" t="n">
        <v>2158.57</v>
      </c>
      <c r="H96" s="84" t="n"/>
      <c r="I96" s="84" t="n">
        <v>5.03</v>
      </c>
      <c r="J96" s="84" t="n">
        <v>5</v>
      </c>
      <c r="K96" s="130" t="n">
        <v>46315</v>
      </c>
      <c r="L96" s="41" t="inlineStr">
        <is>
          <t>MAYTE</t>
        </is>
      </c>
      <c r="M96" s="84" t="n"/>
      <c r="N96" s="84" t="n"/>
      <c r="O96" s="84" t="inlineStr">
        <is>
          <t>Rodrigo Toledo</t>
        </is>
      </c>
    </row>
    <row r="97">
      <c r="A97" s="87" t="inlineStr">
        <is>
          <t>7699139158187264774</t>
        </is>
      </c>
      <c r="B97" s="91" t="inlineStr">
        <is>
          <t>fashion_only</t>
        </is>
      </c>
      <c r="C97" s="91" t="inlineStr">
        <is>
          <t>MX</t>
        </is>
      </c>
      <c r="D97" s="132" t="n">
        <v>5278.83</v>
      </c>
      <c r="E97" s="82" t="n">
        <v>4550.72</v>
      </c>
      <c r="F97" s="82" t="n">
        <v>1759.61</v>
      </c>
      <c r="G97" s="82" t="n">
        <v>1516.91</v>
      </c>
      <c r="H97" s="84" t="n"/>
      <c r="I97" s="84" t="n">
        <v>2.89</v>
      </c>
      <c r="J97" s="84" t="n">
        <v>3</v>
      </c>
      <c r="K97" s="130" t="n">
        <v>46316</v>
      </c>
      <c r="L97" s="41" t="inlineStr">
        <is>
          <t>MAYTE</t>
        </is>
      </c>
      <c r="M97" s="84" t="n"/>
      <c r="N97" s="84" t="n"/>
      <c r="O97" s="84" t="inlineStr">
        <is>
          <t>Rodrigo Toledo</t>
        </is>
      </c>
    </row>
    <row r="98">
      <c r="A98" s="87" t="inlineStr">
        <is>
          <t>7699512113198353172</t>
        </is>
      </c>
      <c r="B98" s="91" t="inlineStr">
        <is>
          <t>fashion_only</t>
        </is>
      </c>
      <c r="C98" s="91" t="inlineStr">
        <is>
          <t>MX</t>
        </is>
      </c>
      <c r="D98" s="132" t="n">
        <v>19420.75</v>
      </c>
      <c r="E98" s="82" t="n">
        <v>16742.03</v>
      </c>
      <c r="F98" s="82" t="n">
        <v>3531.05</v>
      </c>
      <c r="G98" s="82" t="n">
        <v>3044</v>
      </c>
      <c r="H98" s="84" t="n"/>
      <c r="I98" s="84" t="n">
        <v>5.14</v>
      </c>
      <c r="J98" s="84" t="n">
        <v>5.5</v>
      </c>
      <c r="K98" s="130" t="n">
        <v>46317</v>
      </c>
      <c r="L98" s="41" t="inlineStr">
        <is>
          <t>MAYTE</t>
        </is>
      </c>
      <c r="M98" s="84" t="n"/>
      <c r="N98" s="84" t="n"/>
      <c r="O98" s="84" t="inlineStr">
        <is>
          <t>Rodrigo Toledo</t>
        </is>
      </c>
    </row>
    <row r="99">
      <c r="A99" s="87" t="inlineStr">
        <is>
          <t>7699866970103089940</t>
        </is>
      </c>
      <c r="B99" s="91" t="inlineStr">
        <is>
          <t>fashion_only</t>
        </is>
      </c>
      <c r="C99" s="91" t="inlineStr">
        <is>
          <t>MX</t>
        </is>
      </c>
      <c r="D99" s="132" t="n">
        <v>17380.49</v>
      </c>
      <c r="E99" s="82" t="n">
        <v>14983.18</v>
      </c>
      <c r="F99" s="82" t="n">
        <v>4345.12</v>
      </c>
      <c r="G99" s="82" t="n">
        <v>3745.8</v>
      </c>
      <c r="H99" s="84" t="n"/>
      <c r="I99" s="84" t="n">
        <v>4.02</v>
      </c>
      <c r="J99" s="84" t="n">
        <v>4</v>
      </c>
      <c r="K99" s="130" t="n">
        <v>46318</v>
      </c>
      <c r="L99" s="41" t="inlineStr">
        <is>
          <t>MAYTE</t>
        </is>
      </c>
      <c r="M99" s="84" t="n"/>
      <c r="N99" s="84" t="n"/>
      <c r="O99" s="84" t="inlineStr">
        <is>
          <t>Rodrigo Toledo</t>
        </is>
      </c>
    </row>
    <row r="100">
      <c r="A100" s="87" t="inlineStr">
        <is>
          <t>7700997506711980820</t>
        </is>
      </c>
      <c r="B100" s="91" t="inlineStr">
        <is>
          <t>fashion_only</t>
        </is>
      </c>
      <c r="C100" s="91" t="inlineStr">
        <is>
          <t>MX</t>
        </is>
      </c>
      <c r="D100" s="132" t="n">
        <v>750.33</v>
      </c>
      <c r="E100" s="82" t="n">
        <v>646.84</v>
      </c>
      <c r="F100" s="82" t="n">
        <v>750.33</v>
      </c>
      <c r="G100" s="82" t="n">
        <v>646.84</v>
      </c>
      <c r="H100" s="84" t="n"/>
      <c r="I100" s="84" t="n">
        <v>0.82</v>
      </c>
      <c r="J100" s="84" t="n">
        <v>1</v>
      </c>
      <c r="K100" s="130" t="n">
        <v>46321</v>
      </c>
      <c r="L100" s="41" t="inlineStr">
        <is>
          <t>MAYTE</t>
        </is>
      </c>
      <c r="M100" s="84" t="n"/>
      <c r="N100" s="84" t="n"/>
      <c r="O100" s="84" t="inlineStr">
        <is>
          <t>Rodrigo Toledo</t>
        </is>
      </c>
    </row>
    <row r="101">
      <c r="A101" s="87" t="inlineStr">
        <is>
          <t>7701018700842142485</t>
        </is>
      </c>
      <c r="B101" s="91" t="inlineStr">
        <is>
          <t>fashion_only</t>
        </is>
      </c>
      <c r="C101" s="91" t="inlineStr">
        <is>
          <t>MX</t>
        </is>
      </c>
      <c r="D101" s="132" t="n">
        <v>10233.46</v>
      </c>
      <c r="E101" s="82" t="n">
        <v>8821.950000000001</v>
      </c>
      <c r="F101" s="82" t="n">
        <v>2558.37</v>
      </c>
      <c r="G101" s="82" t="n">
        <v>2205.49</v>
      </c>
      <c r="H101" s="84" t="n"/>
      <c r="I101" s="84" t="n">
        <v>3.75</v>
      </c>
      <c r="J101" s="84" t="n">
        <v>4</v>
      </c>
      <c r="K101" s="130" t="n">
        <v>46321</v>
      </c>
      <c r="L101" s="41" t="inlineStr">
        <is>
          <t>MAYTE</t>
        </is>
      </c>
      <c r="M101" s="84" t="n"/>
      <c r="N101" s="84" t="n"/>
      <c r="O101" s="84" t="inlineStr">
        <is>
          <t>Rodrigo Toledo</t>
        </is>
      </c>
    </row>
  </sheetData>
  <dataValidations count="2">
    <dataValidation sqref="L2:L5 L7:L9 L11:L12 L16:L50 L54:L78 L81:L101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6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LET(dec, I2-INT(I2), IF(dec&lt;0.1, INT(I2), IF(dec&lt;=0.7, INT(I2)+0.5, INT(I2)+1)))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LET(dec, I3-INT(I3), IF(dec&lt;0.1, INT(I3), IF(dec&lt;=0.7, INT(I3)+0.5, INT(I3)+1)))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LET(dec, I4-INT(I4), IF(dec&lt;0.1, INT(I4), IF(dec&lt;=0.7, INT(I4)+0.5, INT(I4)+1)))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LET(dec, I5-INT(I5), IF(dec&lt;0.1, INT(I5), IF(dec&lt;=0.7, INT(I5)+0.5, INT(I5)+1)))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LET(dec, I6-INT(I6), IF(dec&lt;0.1, INT(I6), IF(dec&lt;=0.7, INT(I6)+0.5, INT(I6)+1)))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LET(dec, I7-INT(I7), IF(dec&lt;0.1, INT(I7), IF(dec&lt;=0.7, INT(I7)+0.5, INT(I7)+1)))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LET(dec, I8-INT(I8), IF(dec&lt;0.1, INT(I8), IF(dec&lt;=0.7, INT(I8)+0.5, INT(I8)+1)))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LET(dec, I9-INT(I9), IF(dec&lt;0.1, INT(I9), IF(dec&lt;=0.7, INT(I9)+0.5, INT(I9)+1)))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LET(dec, I10-INT(I10), IF(dec&lt;0.1, INT(I10), IF(dec&lt;=0.7, INT(I10)+0.5, INT(I10)+1)))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LET(dec, I11-INT(I11), IF(dec&lt;0.1, INT(I11), IF(dec&lt;=0.7, INT(I11)+0.5, INT(I11)+1)))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LET(dec, I12-INT(I12), IF(dec&lt;0.1, INT(I12), IF(dec&lt;=0.7, INT(I12)+0.5, INT(I12)+1)))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LET(dec, I13-INT(I13), IF(dec&lt;0.1, INT(I13), IF(dec&lt;=0.7, INT(I13)+0.5, INT(I13)+1)))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LET(dec, I14-INT(I14), IF(dec&lt;0.1, INT(I14), IF(dec&lt;=0.7, INT(I14)+0.5, INT(I14)+1)))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1" t="inlineStr">
        <is>
          <t>reino_de_aromas</t>
        </is>
      </c>
      <c r="C17" s="91" t="inlineStr">
        <is>
          <t>MX</t>
        </is>
      </c>
      <c r="D17" s="132" t="n">
        <v>10423.74</v>
      </c>
      <c r="E17" s="82" t="n">
        <v>8985.98</v>
      </c>
      <c r="F17" s="82" t="n">
        <v>2084.75</v>
      </c>
      <c r="G17" s="82" t="n">
        <v>1797.2</v>
      </c>
      <c r="H17" s="84" t="n"/>
      <c r="I17" s="84" t="n">
        <v>5</v>
      </c>
      <c r="J17" s="84" t="n">
        <v>5</v>
      </c>
      <c r="K17" s="130" t="n">
        <v>46293</v>
      </c>
      <c r="L17" s="114" t="inlineStr">
        <is>
          <t>AISHA</t>
        </is>
      </c>
      <c r="M17" s="84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1" t="inlineStr">
        <is>
          <t>reino_de_aromas</t>
        </is>
      </c>
      <c r="C18" s="91" t="inlineStr">
        <is>
          <t>MX</t>
        </is>
      </c>
      <c r="D18" s="132" t="n">
        <v>9314.74</v>
      </c>
      <c r="E18" s="82" t="n">
        <v>8029.95</v>
      </c>
      <c r="F18" s="82" t="n">
        <v>1862.95</v>
      </c>
      <c r="G18" s="82" t="n">
        <v>1605.99</v>
      </c>
      <c r="H18" s="84" t="n"/>
      <c r="I18" s="84" t="n">
        <v>5</v>
      </c>
      <c r="J18" s="84" t="n">
        <v>5</v>
      </c>
      <c r="K18" s="130" t="n">
        <v>46294</v>
      </c>
      <c r="L18" s="114" t="inlineStr">
        <is>
          <t>AISHA</t>
        </is>
      </c>
      <c r="M18" s="84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1" t="inlineStr">
        <is>
          <t>reino_de_aromas</t>
        </is>
      </c>
      <c r="C19" s="91" t="inlineStr">
        <is>
          <t>MX</t>
        </is>
      </c>
      <c r="D19" s="132" t="n">
        <v>26596.03</v>
      </c>
      <c r="E19" s="82" t="n">
        <v>22927.61</v>
      </c>
      <c r="F19" s="82" t="n">
        <v>3324.5</v>
      </c>
      <c r="G19" s="82" t="n">
        <v>2865.95</v>
      </c>
      <c r="H19" s="84" t="n"/>
      <c r="I19" s="84" t="n">
        <v>8</v>
      </c>
      <c r="J19" s="84" t="n">
        <v>8</v>
      </c>
      <c r="K19" s="130" t="n">
        <v>46295</v>
      </c>
      <c r="L19" s="114" t="inlineStr">
        <is>
          <t>AISHA</t>
        </is>
      </c>
      <c r="M19" s="84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1" t="inlineStr">
        <is>
          <t>reino_de_aromas</t>
        </is>
      </c>
      <c r="C20" s="91" t="inlineStr">
        <is>
          <t>MX</t>
        </is>
      </c>
      <c r="D20" s="132" t="n">
        <v>27112.9</v>
      </c>
      <c r="E20" s="82" t="n">
        <v>23373.19</v>
      </c>
      <c r="F20" s="82" t="n">
        <v>5422.58</v>
      </c>
      <c r="G20" s="82" t="n">
        <v>4674.64</v>
      </c>
      <c r="H20" s="84" t="n"/>
      <c r="I20" s="84" t="n">
        <v>5.06</v>
      </c>
      <c r="J20" s="84" t="n">
        <v>5</v>
      </c>
      <c r="K20" s="130" t="n">
        <v>46296</v>
      </c>
      <c r="L20" s="114" t="inlineStr">
        <is>
          <t>AISHA</t>
        </is>
      </c>
      <c r="M20" s="84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1" t="inlineStr">
        <is>
          <t>reino_de_aromas</t>
        </is>
      </c>
      <c r="C21" s="91" t="inlineStr">
        <is>
          <t>MX</t>
        </is>
      </c>
      <c r="D21" s="132" t="n">
        <v>40887.27</v>
      </c>
      <c r="E21" s="82" t="n">
        <v>35247.65</v>
      </c>
      <c r="F21" s="82" t="n">
        <v>3894.03</v>
      </c>
      <c r="G21" s="82" t="n">
        <v>3356.92</v>
      </c>
      <c r="H21" s="84" t="n"/>
      <c r="I21" s="84" t="n">
        <v>10.62</v>
      </c>
      <c r="J21" s="84" t="n">
        <v>10.5</v>
      </c>
      <c r="K21" s="130" t="n">
        <v>46297</v>
      </c>
      <c r="L21" s="114" t="inlineStr">
        <is>
          <t>AISHA</t>
        </is>
      </c>
      <c r="M21" s="84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1" t="inlineStr">
        <is>
          <t>reino_de_aromas</t>
        </is>
      </c>
      <c r="C22" s="91" t="inlineStr">
        <is>
          <t>MX</t>
        </is>
      </c>
      <c r="D22" s="132" t="n">
        <v>3528.1</v>
      </c>
      <c r="E22" s="82" t="n">
        <v>3041.47</v>
      </c>
      <c r="F22" s="82" t="n">
        <v>705.62</v>
      </c>
      <c r="G22" s="82" t="n">
        <v>608.29</v>
      </c>
      <c r="H22" s="84" t="n"/>
      <c r="I22" s="84" t="n">
        <v>5.02</v>
      </c>
      <c r="J22" s="84" t="n">
        <v>5</v>
      </c>
      <c r="K22" s="130" t="n">
        <v>46300</v>
      </c>
      <c r="L22" s="114" t="inlineStr">
        <is>
          <t>AISHA</t>
        </is>
      </c>
      <c r="M22" s="84" t="n"/>
      <c r="N22" s="95" t="inlineStr">
        <is>
          <t>MOISES</t>
        </is>
      </c>
    </row>
    <row r="23">
      <c r="A23" s="87" t="inlineStr">
        <is>
          <t>7693987041692601106</t>
        </is>
      </c>
      <c r="B23" s="91" t="inlineStr">
        <is>
          <t>reino_de_aromas</t>
        </is>
      </c>
      <c r="C23" s="91" t="inlineStr">
        <is>
          <t>MX</t>
        </is>
      </c>
      <c r="D23" s="132" t="n">
        <v>26509.98</v>
      </c>
      <c r="E23" s="82" t="n">
        <v>22853.43</v>
      </c>
      <c r="F23" s="82" t="n">
        <v>5302</v>
      </c>
      <c r="G23" s="82" t="n">
        <v>4570.69</v>
      </c>
      <c r="H23" s="84" t="n"/>
      <c r="I23" s="84" t="n">
        <v>5</v>
      </c>
      <c r="J23" s="84" t="n">
        <v>5</v>
      </c>
      <c r="K23" s="130" t="n">
        <v>46302</v>
      </c>
      <c r="L23" s="114" t="inlineStr">
        <is>
          <t>AISHA</t>
        </is>
      </c>
      <c r="M23" s="84" t="n"/>
      <c r="N23" s="95" t="inlineStr">
        <is>
          <t>MOISES</t>
        </is>
      </c>
    </row>
    <row r="24">
      <c r="A24" s="87" t="inlineStr">
        <is>
          <t>7694327463417072392</t>
        </is>
      </c>
      <c r="B24" s="91" t="inlineStr">
        <is>
          <t>reino_de_aromas</t>
        </is>
      </c>
      <c r="C24" s="91" t="inlineStr">
        <is>
          <t>MX</t>
        </is>
      </c>
      <c r="D24" s="132" t="n">
        <v>16054.77</v>
      </c>
      <c r="E24" s="82" t="n">
        <v>13840.32</v>
      </c>
      <c r="F24" s="82" t="n">
        <v>3210.95</v>
      </c>
      <c r="G24" s="82" t="n">
        <v>2768.06</v>
      </c>
      <c r="H24" s="84" t="n"/>
      <c r="I24" s="84" t="n">
        <v>5</v>
      </c>
      <c r="J24" s="84" t="n">
        <v>5</v>
      </c>
      <c r="K24" s="130" t="n">
        <v>46303</v>
      </c>
      <c r="L24" s="114" t="inlineStr">
        <is>
          <t>AISHA</t>
        </is>
      </c>
      <c r="M24" s="84" t="n"/>
      <c r="N24" s="95" t="inlineStr">
        <is>
          <t>MOISES</t>
        </is>
      </c>
    </row>
    <row r="25">
      <c r="A25" s="87" t="inlineStr">
        <is>
          <t>7694426173024996103</t>
        </is>
      </c>
      <c r="B25" s="91" t="inlineStr">
        <is>
          <t>reino_de_aromas</t>
        </is>
      </c>
      <c r="C25" s="91" t="inlineStr">
        <is>
          <t>MX</t>
        </is>
      </c>
      <c r="D25" s="132" t="n">
        <v>4268.95</v>
      </c>
      <c r="E25" s="82" t="n">
        <v>3680.13</v>
      </c>
      <c r="F25" s="82" t="n">
        <v>1219.7</v>
      </c>
      <c r="G25" s="82" t="n">
        <v>1051.47</v>
      </c>
      <c r="H25" s="84" t="n"/>
      <c r="I25" s="84" t="n">
        <v>3.16</v>
      </c>
      <c r="J25" s="84" t="n">
        <v>3.5</v>
      </c>
      <c r="K25" s="130" t="n">
        <v>46303</v>
      </c>
      <c r="L25" s="114" t="inlineStr">
        <is>
          <t>ALEJANDRA PIER</t>
        </is>
      </c>
      <c r="M25" s="84" t="n"/>
      <c r="N25" s="95" t="inlineStr">
        <is>
          <t>MOISES</t>
        </is>
      </c>
    </row>
    <row r="26">
      <c r="A26" s="87" t="inlineStr">
        <is>
          <t>7694744645730421522</t>
        </is>
      </c>
      <c r="B26" s="91" t="inlineStr">
        <is>
          <t>reino_de_aromas</t>
        </is>
      </c>
      <c r="C26" s="91" t="inlineStr">
        <is>
          <t>MX</t>
        </is>
      </c>
      <c r="D26" s="132" t="n">
        <v>8559.860000000001</v>
      </c>
      <c r="E26" s="82" t="n">
        <v>7379.19</v>
      </c>
      <c r="F26" s="82" t="n">
        <v>1711.97</v>
      </c>
      <c r="G26" s="82" t="n">
        <v>1475.84</v>
      </c>
      <c r="H26" s="84" t="n"/>
      <c r="I26" s="84" t="n">
        <v>5.02</v>
      </c>
      <c r="J26" s="84" t="n">
        <v>5</v>
      </c>
      <c r="K26" s="130" t="n">
        <v>46304</v>
      </c>
      <c r="L26" s="114" t="inlineStr">
        <is>
          <t>ALEJANDRA PIER</t>
        </is>
      </c>
      <c r="M26" s="84" t="n"/>
      <c r="N26" s="95" t="inlineStr">
        <is>
          <t>MOISES</t>
        </is>
      </c>
    </row>
    <row r="27">
      <c r="A27" s="87" t="inlineStr">
        <is>
          <t>7696212952086203154</t>
        </is>
      </c>
      <c r="B27" s="91" t="inlineStr">
        <is>
          <t>reino_de_aromas</t>
        </is>
      </c>
      <c r="C27" s="91" t="inlineStr">
        <is>
          <t>MX</t>
        </is>
      </c>
      <c r="D27" s="132" t="n">
        <v>7552.78</v>
      </c>
      <c r="E27" s="82" t="n">
        <v>6511.02</v>
      </c>
      <c r="F27" s="82" t="n">
        <v>1510.56</v>
      </c>
      <c r="G27" s="82" t="n">
        <v>1302.2</v>
      </c>
      <c r="H27" s="84" t="n"/>
      <c r="I27" s="84" t="n">
        <v>5.04</v>
      </c>
      <c r="J27" s="84" t="n">
        <v>5</v>
      </c>
      <c r="K27" s="130" t="n">
        <v>46308</v>
      </c>
      <c r="L27" s="114" t="inlineStr">
        <is>
          <t>AISHA</t>
        </is>
      </c>
      <c r="M27" s="84" t="n"/>
      <c r="N27" s="95" t="inlineStr">
        <is>
          <t>MOISES</t>
        </is>
      </c>
    </row>
    <row r="28">
      <c r="A28" s="87" t="inlineStr">
        <is>
          <t>7696582367687445300</t>
        </is>
      </c>
      <c r="B28" s="91" t="inlineStr">
        <is>
          <t>reino_de_aromas</t>
        </is>
      </c>
      <c r="C28" s="91" t="inlineStr">
        <is>
          <t>MX</t>
        </is>
      </c>
      <c r="D28" s="132" t="n">
        <v>4742.76</v>
      </c>
      <c r="E28" s="82" t="n">
        <v>4088.59</v>
      </c>
      <c r="F28" s="82" t="n">
        <v>862.3200000000001</v>
      </c>
      <c r="G28" s="82" t="n">
        <v>743.38</v>
      </c>
      <c r="H28" s="84" t="n"/>
      <c r="I28" s="84" t="n">
        <v>5.14</v>
      </c>
      <c r="J28" s="84" t="n">
        <v>5.5</v>
      </c>
      <c r="K28" s="130" t="n">
        <v>46309</v>
      </c>
      <c r="L28" s="114" t="inlineStr">
        <is>
          <t>AISHA</t>
        </is>
      </c>
      <c r="M28" s="84" t="n"/>
      <c r="N28" s="95" t="inlineStr">
        <is>
          <t>MOISES</t>
        </is>
      </c>
    </row>
    <row r="29">
      <c r="A29" s="87" t="inlineStr">
        <is>
          <t>7696954549497826066</t>
        </is>
      </c>
      <c r="B29" s="91" t="inlineStr">
        <is>
          <t>reino_de_aromas</t>
        </is>
      </c>
      <c r="C29" s="91" t="inlineStr">
        <is>
          <t>MX</t>
        </is>
      </c>
      <c r="D29" s="132" t="n">
        <v>7671.49</v>
      </c>
      <c r="E29" s="82" t="n">
        <v>6613.35</v>
      </c>
      <c r="F29" s="82" t="n">
        <v>1534.3</v>
      </c>
      <c r="G29" s="82" t="n">
        <v>1322.67</v>
      </c>
      <c r="H29" s="84" t="n"/>
      <c r="I29" s="84" t="n">
        <v>5.08</v>
      </c>
      <c r="J29" s="84" t="n">
        <v>5</v>
      </c>
      <c r="K29" s="130" t="n">
        <v>46310</v>
      </c>
      <c r="L29" s="114" t="inlineStr">
        <is>
          <t>AISHA</t>
        </is>
      </c>
      <c r="M29" s="84" t="n"/>
      <c r="N29" s="95" t="inlineStr">
        <is>
          <t>MOISES</t>
        </is>
      </c>
    </row>
    <row r="30">
      <c r="A30" s="87" t="inlineStr">
        <is>
          <t>7697282145024002832</t>
        </is>
      </c>
      <c r="B30" s="91" t="inlineStr">
        <is>
          <t>reino_de_aromas</t>
        </is>
      </c>
      <c r="C30" s="91" t="inlineStr">
        <is>
          <t>MX</t>
        </is>
      </c>
      <c r="D30" s="132" t="n">
        <v>49380.39</v>
      </c>
      <c r="E30" s="82" t="n">
        <v>42569.3</v>
      </c>
      <c r="F30" s="82" t="n">
        <v>4489.13</v>
      </c>
      <c r="G30" s="82" t="n">
        <v>3869.94</v>
      </c>
      <c r="H30" s="84" t="n"/>
      <c r="I30" s="84" t="n">
        <v>10.95</v>
      </c>
      <c r="J30" s="84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1" t="inlineStr">
        <is>
          <t>reino_de_aromas</t>
        </is>
      </c>
      <c r="C31" s="91" t="inlineStr">
        <is>
          <t>MX</t>
        </is>
      </c>
      <c r="D31" s="132" t="n">
        <v>10585.51</v>
      </c>
      <c r="E31" s="82" t="n">
        <v>9125.440000000001</v>
      </c>
      <c r="F31" s="82" t="n">
        <v>2117.1</v>
      </c>
      <c r="G31" s="82" t="n">
        <v>1825.09</v>
      </c>
      <c r="H31" s="84" t="n"/>
      <c r="I31" s="84" t="n">
        <v>5.1</v>
      </c>
      <c r="J31" s="84" t="n">
        <v>5</v>
      </c>
      <c r="K31" s="130" t="n">
        <v>46314</v>
      </c>
      <c r="L31" s="114" t="inlineStr">
        <is>
          <t>ALEJANDRA PIER</t>
        </is>
      </c>
      <c r="M31" s="84" t="n"/>
      <c r="N31" s="95" t="inlineStr">
        <is>
          <t>MOISES</t>
        </is>
      </c>
    </row>
    <row r="32">
      <c r="A32" s="87" t="inlineStr">
        <is>
          <t>7698811385798462216</t>
        </is>
      </c>
      <c r="B32" s="91" t="inlineStr">
        <is>
          <t>reino_de_aromas</t>
        </is>
      </c>
      <c r="C32" s="91" t="inlineStr">
        <is>
          <t>MX</t>
        </is>
      </c>
      <c r="D32" s="132" t="n">
        <v>9029.610000000001</v>
      </c>
      <c r="E32" s="82" t="n">
        <v>7784.15</v>
      </c>
      <c r="F32" s="82" t="n">
        <v>1805.92</v>
      </c>
      <c r="G32" s="82" t="n">
        <v>1556.83</v>
      </c>
      <c r="H32" s="84" t="n"/>
      <c r="I32" s="84" t="n">
        <v>5.02</v>
      </c>
      <c r="J32" s="84" t="n">
        <v>5</v>
      </c>
      <c r="K32" s="130" t="n">
        <v>46315</v>
      </c>
      <c r="L32" s="114" t="inlineStr">
        <is>
          <t>AISHA</t>
        </is>
      </c>
      <c r="M32" s="84" t="n"/>
      <c r="N32" s="95" t="inlineStr">
        <is>
          <t>MOISES</t>
        </is>
      </c>
    </row>
    <row r="33">
      <c r="A33" s="87" t="inlineStr">
        <is>
          <t>7699181615837334293</t>
        </is>
      </c>
      <c r="B33" s="91" t="inlineStr">
        <is>
          <t>reino_de_aromas</t>
        </is>
      </c>
      <c r="C33" s="91" t="inlineStr">
        <is>
          <t>MX</t>
        </is>
      </c>
      <c r="D33" s="132" t="n">
        <v>18959.67</v>
      </c>
      <c r="E33" s="82" t="n">
        <v>16344.54</v>
      </c>
      <c r="F33" s="82" t="n">
        <v>3791.93</v>
      </c>
      <c r="G33" s="82" t="n">
        <v>3268.91</v>
      </c>
      <c r="H33" s="84" t="n"/>
      <c r="I33" s="84" t="n">
        <v>5.08</v>
      </c>
      <c r="J33" s="84" t="n">
        <v>5</v>
      </c>
      <c r="K33" s="130" t="n">
        <v>46316</v>
      </c>
      <c r="L33" s="114" t="inlineStr">
        <is>
          <t>AISHA</t>
        </is>
      </c>
      <c r="M33" s="84" t="n"/>
      <c r="N33" s="95" t="inlineStr">
        <is>
          <t>MOISES</t>
        </is>
      </c>
    </row>
    <row r="34">
      <c r="A34" s="87" t="inlineStr">
        <is>
          <t>7699553376560368405</t>
        </is>
      </c>
      <c r="B34" s="91" t="inlineStr">
        <is>
          <t>reino_de_aromas</t>
        </is>
      </c>
      <c r="C34" s="91" t="inlineStr">
        <is>
          <t>MX</t>
        </is>
      </c>
      <c r="D34" s="132" t="n">
        <v>16030.11</v>
      </c>
      <c r="E34" s="82" t="n">
        <v>13819.06</v>
      </c>
      <c r="F34" s="82" t="n">
        <v>1603.01</v>
      </c>
      <c r="G34" s="82" t="n">
        <v>1381.91</v>
      </c>
      <c r="H34" s="84" t="n"/>
      <c r="I34" s="84" t="n">
        <v>10</v>
      </c>
      <c r="J34" s="84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1" t="inlineStr">
        <is>
          <t>reino_de_aromas</t>
        </is>
      </c>
      <c r="C35" s="91" t="inlineStr">
        <is>
          <t>MX</t>
        </is>
      </c>
      <c r="D35" s="132" t="n">
        <v>10860.14</v>
      </c>
      <c r="E35" s="82" t="n">
        <v>9362.190000000001</v>
      </c>
      <c r="F35" s="82" t="n">
        <v>1974.57</v>
      </c>
      <c r="G35" s="82" t="n">
        <v>1702.22</v>
      </c>
      <c r="H35" s="84" t="n"/>
      <c r="I35" s="84" t="n">
        <v>5.17</v>
      </c>
      <c r="J35" s="84" t="n">
        <v>5.5</v>
      </c>
      <c r="K35" s="130" t="n">
        <v>46318</v>
      </c>
      <c r="L35" s="114" t="inlineStr">
        <is>
          <t>AISHA</t>
        </is>
      </c>
      <c r="M35" s="84" t="n"/>
      <c r="N35" s="95" t="inlineStr">
        <is>
          <t>MOISES</t>
        </is>
      </c>
    </row>
    <row r="36">
      <c r="A36" s="87" t="inlineStr">
        <is>
          <t>7701115281246702354</t>
        </is>
      </c>
      <c r="B36" s="91" t="inlineStr">
        <is>
          <t>reino_de_aromas</t>
        </is>
      </c>
      <c r="C36" s="91" t="inlineStr">
        <is>
          <t>MX</t>
        </is>
      </c>
      <c r="D36" s="132" t="n">
        <v>18027.9</v>
      </c>
      <c r="E36" s="82" t="n">
        <v>15541.29</v>
      </c>
      <c r="F36" s="82" t="n">
        <v>3605.58</v>
      </c>
      <c r="G36" s="82" t="n">
        <v>3108.26</v>
      </c>
      <c r="H36" s="84" t="n"/>
      <c r="I36" s="84" t="n">
        <v>5.01</v>
      </c>
      <c r="J36" s="84" t="n">
        <v>5</v>
      </c>
      <c r="K36" s="130" t="n">
        <v>46321</v>
      </c>
      <c r="L36" s="114" t="inlineStr">
        <is>
          <t>ALEJANDRA PIER</t>
        </is>
      </c>
      <c r="M36" s="84" t="n"/>
      <c r="N36" s="95" t="inlineStr">
        <is>
          <t>MOISES</t>
        </is>
      </c>
    </row>
  </sheetData>
  <dataValidations count="1">
    <dataValidation sqref="L2:L14 L17:L29 L30:M30 L31:L33 L34:M34 L35:L36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2026-10-29T18:19:54Z</dcterms:modified>
</cp:coreProperties>
</file>