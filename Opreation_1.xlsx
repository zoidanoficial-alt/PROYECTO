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>
        <v>0</v>
      </c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>
        <v>4110</v>
      </c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>
        <v>4090</v>
      </c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>
        <v>4090</v>
      </c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>
        <v>6160</v>
      </c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>
        <v>6190</v>
      </c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>
        <v>6170</v>
      </c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>
        <v>3320</v>
      </c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>
        <v>4050</v>
      </c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>
        <v>2030</v>
      </c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>
        <v>6050</v>
      </c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>
        <v>4040</v>
      </c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>
        <v>4020</v>
      </c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>
        <v>4030</v>
      </c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>
        <v>4030</v>
      </c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>
        <v>1990</v>
      </c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>
        <v>2000</v>
      </c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>
        <v>0</v>
      </c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>
        <v>0</v>
      </c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>
        <v>1030</v>
      </c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>
        <v>1020</v>
      </c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>
        <v>1020</v>
      </c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>
        <v>1030</v>
      </c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>
        <v>1030</v>
      </c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>
        <v>1030</v>
      </c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>
        <v>1010</v>
      </c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>
        <v>1010</v>
      </c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>
        <v>1100</v>
      </c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>
        <v>1520</v>
      </c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>
        <v>1090</v>
      </c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>
        <v>1510</v>
      </c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>
        <v>320</v>
      </c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>
        <v>1480</v>
      </c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>
        <v>1250</v>
      </c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>
        <v>1490</v>
      </c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>
        <v>1490</v>
      </c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>
        <v>0</v>
      </c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>
        <v>1660</v>
      </c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>
        <v>1910</v>
      </c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>
        <v>2780</v>
      </c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>
        <v>2630</v>
      </c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>
        <v>1430</v>
      </c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>
        <v>4240</v>
      </c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>
        <v>3710</v>
      </c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>
        <v>3710</v>
      </c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>
        <v>2020</v>
      </c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>
        <v>1910</v>
      </c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>
        <v>1480</v>
      </c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/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/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/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/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/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/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n"/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n"/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n"/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3.95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n"/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/>
      <c r="I80" s="123" t="n">
        <v>4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n"/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/>
      <c r="I81" s="123" t="n">
        <v>4.37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n"/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/>
      <c r="I82" s="123" t="n">
        <v>3.78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n"/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/>
      <c r="I87" s="123" t="n">
        <v>3.98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n"/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/>
      <c r="I88" s="123" t="n">
        <v>4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n"/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/>
      <c r="I89" s="123" t="n">
        <v>4.47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/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7"/>
    <row r="8"/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7"/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0"/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4"/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>
        <f>D46/1.16</f>
        <v/>
      </c>
      <c r="F46" s="93">
        <f>IFERROR(D46/J46,0)</f>
        <v/>
      </c>
      <c r="G46" s="124">
        <f>F46/1.16</f>
        <v/>
      </c>
      <c r="H46" s="123" t="n"/>
      <c r="I46" s="123" t="n">
        <v>3.04</v>
      </c>
      <c r="J46" s="123">
        <f>IF(I46-INT(I46)&lt;0.1,INT(I46),IF(I46-INT(I46)&lt;=0.7,INT(I46)+0.5,INT(I46)+1))</f>
        <v/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n"/>
      <c r="B47" s="95" t="inlineStr">
        <is>
          <t>revlonmexico</t>
        </is>
      </c>
      <c r="C47" s="95" t="inlineStr">
        <is>
          <t>MX</t>
        </is>
      </c>
      <c r="D47" s="129" t="n">
        <v>1070</v>
      </c>
      <c r="E47" s="93">
        <f>D47/1.16</f>
        <v/>
      </c>
      <c r="F47" s="93">
        <f>IFERROR(D47/J47,0)</f>
        <v/>
      </c>
      <c r="G47" s="124">
        <f>F47/1.16</f>
        <v/>
      </c>
      <c r="H47" s="123" t="n">
        <v>0</v>
      </c>
      <c r="I47" s="123" t="n">
        <v>3</v>
      </c>
      <c r="J47" s="123">
        <f>IF(I47-INT(I47)&lt;0.1,INT(I47),IF(I47-INT(I47)&lt;=0.7,INT(I47)+0.5,INT(I47)+1))</f>
        <v/>
      </c>
      <c r="K47" s="130" t="n">
        <v>46296</v>
      </c>
      <c r="L47" s="95" t="inlineStr">
        <is>
          <t>Emily Bustamante</t>
        </is>
      </c>
      <c r="M47" s="123" t="n"/>
      <c r="N47" s="123" t="inlineStr">
        <is>
          <t>MOISES</t>
        </is>
      </c>
    </row>
    <row r="48">
      <c r="A48" s="87" t="n"/>
      <c r="B48" s="95" t="inlineStr">
        <is>
          <t>revlonmexico</t>
        </is>
      </c>
      <c r="C48" s="95" t="inlineStr">
        <is>
          <t>MX</t>
        </is>
      </c>
      <c r="D48" s="129" t="n">
        <v>3669</v>
      </c>
      <c r="E48" s="93">
        <f>D48/1.16</f>
        <v/>
      </c>
      <c r="F48" s="93">
        <f>IFERROR(D48/J48,0)</f>
        <v/>
      </c>
      <c r="G48" s="124">
        <f>F48/1.16</f>
        <v/>
      </c>
      <c r="H48" s="123" t="n">
        <v>0</v>
      </c>
      <c r="I48" s="123" t="n">
        <v>3</v>
      </c>
      <c r="J48" s="123">
        <f>IF(I48-INT(I48)&lt;0.1,INT(I48),IF(I48-INT(I48)&lt;=0.7,INT(I48)+0.5,INT(I48)+1))</f>
        <v/>
      </c>
      <c r="K48" s="130" t="n">
        <v>46298</v>
      </c>
      <c r="L48" s="110" t="inlineStr">
        <is>
          <t>KARIM</t>
        </is>
      </c>
      <c r="M48" s="123" t="n"/>
      <c r="N48" s="123" t="inlineStr">
        <is>
          <t>MOISES</t>
        </is>
      </c>
    </row>
    <row r="49">
      <c r="A49" s="87" t="inlineStr">
        <is>
          <t>7693708803850242836</t>
        </is>
      </c>
      <c r="B49" s="95" t="inlineStr">
        <is>
          <t>revlonmexico</t>
        </is>
      </c>
      <c r="C49" s="95" t="inlineStr">
        <is>
          <t>MX</t>
        </is>
      </c>
      <c r="D49" s="129" t="n">
        <v>4226</v>
      </c>
      <c r="E49" s="93">
        <f>D49/1.16</f>
        <v/>
      </c>
      <c r="F49" s="93">
        <f>IFERROR(D49/J49,0)</f>
        <v/>
      </c>
      <c r="G49" s="124">
        <f>F49/1.16</f>
        <v/>
      </c>
      <c r="H49" s="123" t="n">
        <v>0</v>
      </c>
      <c r="I49" s="123" t="n">
        <v>3.01</v>
      </c>
      <c r="J49" s="123">
        <f>IF(I49-INT(I49)&lt;0.1,INT(I49),IF(I49-INT(I49)&lt;=0.7,INT(I49)+0.5,INT(I49)+1))</f>
        <v/>
      </c>
      <c r="K49" s="130" t="n">
        <v>46301</v>
      </c>
      <c r="L49" s="95" t="inlineStr">
        <is>
          <t>BRENDA LOPEZ</t>
        </is>
      </c>
      <c r="M49" s="123" t="n"/>
      <c r="N49" s="123" t="inlineStr">
        <is>
          <t>MOISES</t>
        </is>
      </c>
    </row>
    <row r="50">
      <c r="A50" s="87" t="inlineStr">
        <is>
          <t>7694452498953816839</t>
        </is>
      </c>
      <c r="B50" s="95" t="inlineStr">
        <is>
          <t>revlonmexico</t>
        </is>
      </c>
      <c r="C50" s="95" t="inlineStr">
        <is>
          <t>MX</t>
        </is>
      </c>
      <c r="D50" s="129" t="n">
        <v>3272</v>
      </c>
      <c r="E50" s="93">
        <f>D50/1.16</f>
        <v/>
      </c>
      <c r="F50" s="93">
        <f>IFERROR(D50/J50,0)</f>
        <v/>
      </c>
      <c r="G50" s="124">
        <f>F50/1.16</f>
        <v/>
      </c>
      <c r="H50" s="123" t="n">
        <v>0</v>
      </c>
      <c r="I50" s="123" t="n">
        <v>3.02</v>
      </c>
      <c r="J50" s="123">
        <f>IF(I50-INT(I50)&lt;0.1,INT(I50),IF(I50-INT(I50)&lt;=0.7,INT(I50)+0.5,INT(I50)+1))</f>
        <v/>
      </c>
      <c r="K50" s="130" t="n">
        <v>46303</v>
      </c>
      <c r="L50" s="95" t="inlineStr">
        <is>
          <t>Emily Bustamante</t>
        </is>
      </c>
      <c r="M50" s="123" t="n"/>
      <c r="N50" s="123" t="inlineStr">
        <is>
          <t>MOISES</t>
        </is>
      </c>
    </row>
    <row r="51">
      <c r="A51" s="87" t="inlineStr">
        <is>
          <t>7696306304524077831</t>
        </is>
      </c>
      <c r="B51" s="95" t="inlineStr">
        <is>
          <t>revlonmexico</t>
        </is>
      </c>
      <c r="C51" s="95" t="inlineStr">
        <is>
          <t>MX</t>
        </is>
      </c>
      <c r="D51" s="129" t="n">
        <v>1881</v>
      </c>
      <c r="E51" s="93">
        <f>D51/1.16</f>
        <v/>
      </c>
      <c r="F51" s="93">
        <f>IFERROR(D51/J51,0)</f>
        <v/>
      </c>
      <c r="G51" s="124">
        <f>F51/1.16</f>
        <v/>
      </c>
      <c r="H51" s="123" t="n">
        <v>0</v>
      </c>
      <c r="I51" s="123" t="n">
        <v>3.08</v>
      </c>
      <c r="J51" s="123">
        <f>IF(I51-INT(I51)&lt;0.1,INT(I51),IF(I51-INT(I51)&lt;=0.7,INT(I51)+0.5,INT(I51)+1))</f>
        <v/>
      </c>
      <c r="K51" s="130" t="n">
        <v>46308</v>
      </c>
      <c r="L51" s="110" t="inlineStr">
        <is>
          <t>KARIM</t>
        </is>
      </c>
      <c r="M51" s="123" t="n"/>
      <c r="N51" s="123" t="inlineStr">
        <is>
          <t>MOISES</t>
        </is>
      </c>
    </row>
    <row r="52">
      <c r="A52" s="87" t="inlineStr">
        <is>
          <t>7697048716272618241</t>
        </is>
      </c>
      <c r="B52" s="95" t="inlineStr">
        <is>
          <t>revlonmexico</t>
        </is>
      </c>
      <c r="C52" s="95" t="inlineStr">
        <is>
          <t>MX</t>
        </is>
      </c>
      <c r="D52" s="129" t="n">
        <v>2877</v>
      </c>
      <c r="E52" s="93">
        <f>D52/1.16</f>
        <v/>
      </c>
      <c r="F52" s="93">
        <f>IFERROR(D52/J52,0)</f>
        <v/>
      </c>
      <c r="G52" s="124">
        <f>F52/1.16</f>
        <v/>
      </c>
      <c r="H52" s="123" t="n">
        <v>0</v>
      </c>
      <c r="I52" s="123" t="n">
        <v>4</v>
      </c>
      <c r="J52" s="123">
        <f>IF(I52-INT(I52)&lt;0.1,INT(I52),IF(I52-INT(I52)&lt;=0.7,INT(I52)+0.5,INT(I52)+1))</f>
        <v/>
      </c>
      <c r="K52" s="130" t="n">
        <v>46310</v>
      </c>
      <c r="L52" s="95" t="inlineStr">
        <is>
          <t>BRENDA LOPEZ</t>
        </is>
      </c>
      <c r="M52" s="123" t="n"/>
      <c r="N52" s="123" t="inlineStr">
        <is>
          <t>MOISES</t>
        </is>
      </c>
    </row>
    <row r="53">
      <c r="A53" s="87" t="inlineStr">
        <is>
          <t>7697790926735166224</t>
        </is>
      </c>
      <c r="B53" s="95" t="inlineStr">
        <is>
          <t>revlonmexico</t>
        </is>
      </c>
      <c r="C53" s="95" t="inlineStr">
        <is>
          <t>MX</t>
        </is>
      </c>
      <c r="D53" s="129" t="n">
        <v>2571</v>
      </c>
      <c r="E53" s="93">
        <f>D53/1.16</f>
        <v/>
      </c>
      <c r="F53" s="93">
        <f>IFERROR(D53/J53,0)</f>
        <v/>
      </c>
      <c r="G53" s="124">
        <f>F53/1.16</f>
        <v/>
      </c>
      <c r="H53" s="123" t="n">
        <v>0</v>
      </c>
      <c r="I53" s="123" t="n">
        <v>3.12</v>
      </c>
      <c r="J53" s="123">
        <f>IF(I53-INT(I53)&lt;0.1,INT(I53),IF(I53-INT(I53)&lt;=0.7,INT(I53)+0.5,INT(I53)+1))</f>
        <v/>
      </c>
      <c r="K53" s="130" t="n">
        <v>46312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7698904628225772306</t>
        </is>
      </c>
      <c r="B54" s="95" t="inlineStr">
        <is>
          <t>revlonmexico</t>
        </is>
      </c>
      <c r="C54" s="95" t="inlineStr">
        <is>
          <t>MX</t>
        </is>
      </c>
      <c r="D54" s="129" t="n">
        <v>2400</v>
      </c>
      <c r="E54" s="93">
        <f>D54/1.16</f>
        <v/>
      </c>
      <c r="F54" s="93">
        <f>IFERROR(D54/J54,0)</f>
        <v/>
      </c>
      <c r="G54" s="124">
        <f>F54/1.16</f>
        <v/>
      </c>
      <c r="H54" s="123" t="n">
        <v>0</v>
      </c>
      <c r="I54" s="123" t="n">
        <v>3.04</v>
      </c>
      <c r="J54" s="123">
        <f>IF(I54-INT(I54)&lt;0.1,INT(I54),IF(I54-INT(I54)&lt;=0.7,INT(I54)+0.5,INT(I54)+1))</f>
        <v/>
      </c>
      <c r="K54" s="130" t="n">
        <v>46315</v>
      </c>
      <c r="L54" s="95" t="inlineStr">
        <is>
          <t>KARIM</t>
        </is>
      </c>
      <c r="M54" s="123" t="n"/>
      <c r="N54" s="123" t="inlineStr">
        <is>
          <t>MOISES</t>
        </is>
      </c>
    </row>
    <row r="55">
      <c r="A55" s="87" t="inlineStr">
        <is>
          <t>7699645187568847636</t>
        </is>
      </c>
      <c r="B55" s="95" t="inlineStr">
        <is>
          <t>revlonmexico</t>
        </is>
      </c>
      <c r="C55" s="95" t="inlineStr">
        <is>
          <t>MX</t>
        </is>
      </c>
      <c r="D55" s="129" t="n">
        <v>3466</v>
      </c>
      <c r="E55" s="93">
        <f>D55/1.16</f>
        <v/>
      </c>
      <c r="F55" s="93">
        <f>IFERROR(D55/J55,0)</f>
        <v/>
      </c>
      <c r="G55" s="124">
        <f>F55/1.16</f>
        <v/>
      </c>
      <c r="H55" s="123" t="n">
        <v>0</v>
      </c>
      <c r="I55" s="123" t="n">
        <v>3.1</v>
      </c>
      <c r="J55" s="123">
        <f>IF(I55-INT(I55)&lt;0.1,INT(I55),IF(I55-INT(I55)&lt;=0.7,INT(I55)+0.5,INT(I55)+1))</f>
        <v/>
      </c>
      <c r="K55" s="130" t="n">
        <v>46317</v>
      </c>
      <c r="L55" s="95" t="inlineStr">
        <is>
          <t>Emily Bustamante</t>
        </is>
      </c>
      <c r="M55" s="123" t="n"/>
      <c r="N55" s="123" t="inlineStr">
        <is>
          <t>MOISES</t>
        </is>
      </c>
    </row>
    <row r="56">
      <c r="A56" s="87" t="inlineStr">
        <is>
          <t>7700016107565959943</t>
        </is>
      </c>
      <c r="B56" s="95" t="inlineStr">
        <is>
          <t>revlonmexico</t>
        </is>
      </c>
      <c r="C56" s="95" t="inlineStr">
        <is>
          <t>MX</t>
        </is>
      </c>
      <c r="D56" s="129" t="n">
        <v>1577</v>
      </c>
      <c r="E56" s="93">
        <f>D56/1.16</f>
        <v/>
      </c>
      <c r="F56" s="93">
        <f>IFERROR(D56/J56,0)</f>
        <v/>
      </c>
      <c r="G56" s="124">
        <f>F56/1.16</f>
        <v/>
      </c>
      <c r="H56" s="123" t="n">
        <v>0</v>
      </c>
      <c r="I56" s="123" t="n">
        <v>3.1</v>
      </c>
      <c r="J56" s="123">
        <f>IF(I56-INT(I56)&lt;0.1,INT(I56),IF(I56-INT(I56)&lt;=0.7,INT(I56)+0.5,INT(I56)+1))</f>
        <v/>
      </c>
      <c r="K56" s="130" t="n">
        <v>46318</v>
      </c>
      <c r="L56" s="95" t="inlineStr">
        <is>
          <t>BRENDA LOPEZ</t>
        </is>
      </c>
      <c r="M56" s="123" t="n"/>
      <c r="N56" s="123" t="inlineStr">
        <is>
          <t>MOISES</t>
        </is>
      </c>
    </row>
    <row r="57">
      <c r="A57" s="87" t="inlineStr">
        <is>
          <t>7701132019296242440</t>
        </is>
      </c>
      <c r="B57" s="95" t="inlineStr">
        <is>
          <t>revlonmexico</t>
        </is>
      </c>
      <c r="C57" s="95" t="inlineStr">
        <is>
          <t>MX</t>
        </is>
      </c>
      <c r="D57" s="129" t="n">
        <v>2833</v>
      </c>
      <c r="E57" s="93">
        <f>D57/1.16</f>
        <v/>
      </c>
      <c r="F57" s="93">
        <f>IFERROR(D57/J57,0)</f>
        <v/>
      </c>
      <c r="G57" s="124">
        <f>F57/1.16</f>
        <v/>
      </c>
      <c r="H57" s="123" t="n">
        <v>0</v>
      </c>
      <c r="I57" s="123" t="n">
        <v>3.01</v>
      </c>
      <c r="J57" s="123">
        <f>IF(I57-INT(I57)&lt;0.1,INT(I57),IF(I57-INT(I57)&lt;=0.7,INT(I57)+0.5,INT(I57)+1))</f>
        <v/>
      </c>
      <c r="K57" s="130" t="n">
        <v>46321</v>
      </c>
      <c r="L57" s="95" t="inlineStr">
        <is>
          <t>BRENDA LOPEZ</t>
        </is>
      </c>
      <c r="M57" s="123" t="n"/>
      <c r="N57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2026-10-29T18:32:37Z</dcterms:modified>
</cp:coreProperties>
</file>