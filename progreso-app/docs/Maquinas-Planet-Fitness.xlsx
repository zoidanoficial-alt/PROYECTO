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áquinas" sheetId="1" state="visible" r:id="rId3"/>
    <sheet name="Resumen" sheetId="2" state="visible" r:id="rId4"/>
    <sheet name="Sustitutos en PF" sheetId="3" state="visible" r:id="rId5"/>
    <sheet name="Fuentes" sheetId="4" state="visible" r:id="rId6"/>
  </sheets>
  <definedNames>
    <definedName function="false" hidden="true" localSheetId="0" name="_xlnm._FilterDatabase" vbProcedure="false">Máquinas!$A$4:$J$50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<sst xmlns="http://schemas.openxmlformats.org/spreadsheetml/2006/main" count="375" uniqueCount="183">
  <si>
    <t xml:space="preserve">Máquinas de Planet Fitness México · catálogo de Mi Progreso 23.0</t>
  </si>
  <si>
    <t xml:space="preserve">Llena la columna amarilla "¿Hay en mi club?" con Sí o No (ejemplo en la fila 5). El equipo cambia por sucursal; las cantidades no están confirmadas.</t>
  </si>
  <si>
    <t xml:space="preserve">#</t>
  </si>
  <si>
    <t xml:space="preserve">Sección</t>
  </si>
  <si>
    <t xml:space="preserve">Máquina / equipo</t>
  </si>
  <si>
    <t xml:space="preserve">Confianza</t>
  </si>
  <si>
    <t xml:space="preserve">Cómo la usa la app</t>
  </si>
  <si>
    <t xml:space="preserve">Detalle</t>
  </si>
  <si>
    <t xml:space="preserve">Ejercicios de la app que la usan</t>
  </si>
  <si>
    <t xml:space="preserve">Equipo que habilita</t>
  </si>
  <si>
    <t xml:space="preserve">¿Hay en mi club?</t>
  </si>
  <si>
    <t xml:space="preserve">Notas</t>
  </si>
  <si>
    <t xml:space="preserve">Máquinas de placas (selectorizadas)</t>
  </si>
  <si>
    <t xml:space="preserve">Chest press (press de pecho)</t>
  </si>
  <si>
    <t xml:space="preserve">Estándar de la cadena</t>
  </si>
  <si>
    <t xml:space="preserve">Se usa en tus rutinas salvo que marques No</t>
  </si>
  <si>
    <t xml:space="preserve">Chest press (máquina)</t>
  </si>
  <si>
    <t xml:space="preserve">Sí</t>
  </si>
  <si>
    <t xml:space="preserve">Fila de ejemplo: cámbiala por lo que veas en tu club</t>
  </si>
  <si>
    <t xml:space="preserve">Press inclinado (máquina)</t>
  </si>
  <si>
    <t xml:space="preserve">Varía por club</t>
  </si>
  <si>
    <t xml:space="preserve">Solo se usa si marcas Sí</t>
  </si>
  <si>
    <t xml:space="preserve">Pec deck / pectoral fly</t>
  </si>
  <si>
    <t xml:space="preserve">Confirmado en México</t>
  </si>
  <si>
    <t xml:space="preserve">2 en Plaza Satélite; también sirve para deltoide posterior</t>
  </si>
  <si>
    <t xml:space="preserve">Pec deck (aperturas en máquina), Aperturas en máquina / polea, Pájaro posterior (reverse pec deck)</t>
  </si>
  <si>
    <t xml:space="preserve">Press de hombro</t>
  </si>
  <si>
    <t xml:space="preserve">Shoulder press (máquina)</t>
  </si>
  <si>
    <t xml:space="preserve">Elevaciones laterales (máquina)</t>
  </si>
  <si>
    <t xml:space="preserve">Jalón al pecho</t>
  </si>
  <si>
    <t xml:space="preserve">Remo sentado</t>
  </si>
  <si>
    <t xml:space="preserve">Remo sentado (máquina)</t>
  </si>
  <si>
    <t xml:space="preserve">Dominadas y fondos asistidos</t>
  </si>
  <si>
    <t xml:space="preserve">Dominadas asistidas (máquina), Fondos asistidos (máquina)</t>
  </si>
  <si>
    <t xml:space="preserve">Curl de bíceps (máquina)</t>
  </si>
  <si>
    <t xml:space="preserve">Banco predicador</t>
  </si>
  <si>
    <t xml:space="preserve">Curl predicador</t>
  </si>
  <si>
    <t xml:space="preserve">Extensión de tríceps</t>
  </si>
  <si>
    <t xml:space="preserve">Extensión de tríceps (máquina)</t>
  </si>
  <si>
    <t xml:space="preserve">Prensa de pierna</t>
  </si>
  <si>
    <t xml:space="preserve">2 en Plaza Satélite; llegan más en 2026</t>
  </si>
  <si>
    <t xml:space="preserve">Prensa de piernas (máquina), Elevación de talones en prensa</t>
  </si>
  <si>
    <t xml:space="preserve">Extensión de pierna</t>
  </si>
  <si>
    <t xml:space="preserve">Extensión de cuádriceps</t>
  </si>
  <si>
    <t xml:space="preserve">Curl femoral sentado</t>
  </si>
  <si>
    <t xml:space="preserve">Curl femoral acostado</t>
  </si>
  <si>
    <t xml:space="preserve">Curl femoral tumbado</t>
  </si>
  <si>
    <t xml:space="preserve">Abductor y aductor</t>
  </si>
  <si>
    <t xml:space="preserve">Abductor (máquina), Aductor (máquina)</t>
  </si>
  <si>
    <t xml:space="preserve">Patada de glúteo (máquina)</t>
  </si>
  <si>
    <t xml:space="preserve">No verificado</t>
  </si>
  <si>
    <t xml:space="preserve">Extensión de espalda / hiperextensiones</t>
  </si>
  <si>
    <t xml:space="preserve">Extensión de espalda (máquina), Hiperextensiones</t>
  </si>
  <si>
    <t xml:space="preserve">Abdominal (crunch) y rotación</t>
  </si>
  <si>
    <t xml:space="preserve">Crunch abdominal (máquina), Torso rotation (máquina)</t>
  </si>
  <si>
    <t xml:space="preserve">Máquinas de discos (Matrix Magnum)</t>
  </si>
  <si>
    <t xml:space="preserve">Hack squat (Magnum)</t>
  </si>
  <si>
    <t xml:space="preserve">Llega en 2026 a 7 clubes de México; estándar en EE. UU.</t>
  </si>
  <si>
    <t xml:space="preserve">Hack squat</t>
  </si>
  <si>
    <t xml:space="preserve">Press de pecho supino (Magnum)</t>
  </si>
  <si>
    <t xml:space="preserve">En casi todos los clubes de EE. UU. desde 2025</t>
  </si>
  <si>
    <t xml:space="preserve">Press de pecho Magnum (discos)</t>
  </si>
  <si>
    <t xml:space="preserve">Pantorrilla sentado (Magnum)</t>
  </si>
  <si>
    <t xml:space="preserve">Elevación de talones sentado</t>
  </si>
  <si>
    <t xml:space="preserve">Magnum Glute Trainer (hip thrust)</t>
  </si>
  <si>
    <t xml:space="preserve">Llega en 2026 a 7 clubes de México</t>
  </si>
  <si>
    <t xml:space="preserve">Glute drive Magnum (discos)</t>
  </si>
  <si>
    <t xml:space="preserve">Prensa de discos 45°</t>
  </si>
  <si>
    <t xml:space="preserve">Prensa 45°</t>
  </si>
  <si>
    <t xml:space="preserve">Remo en T (Magnum)</t>
  </si>
  <si>
    <t xml:space="preserve">Matrix lo lanzó en 2025; no hay fuente de que PF lo tenga</t>
  </si>
  <si>
    <t xml:space="preserve">Peso libre, poleas y zona funcional</t>
  </si>
  <si>
    <t xml:space="preserve">Máquinas Smith</t>
  </si>
  <si>
    <t xml:space="preserve">6 en Plaza Satélite</t>
  </si>
  <si>
    <t xml:space="preserve">Smith</t>
  </si>
  <si>
    <t xml:space="preserve">Half rack con barra olímpica</t>
  </si>
  <si>
    <t xml:space="preserve">Anunciado en 2026 para Andamar, El Molino, Center Plazas, San Marcos, Villa Verde, Satélite, Lindavista. Márcalo solo si en tu club hay barra y discos: así la app te deja la sentadilla, el press y el peso muerto con barra.</t>
  </si>
  <si>
    <t xml:space="preserve">Barra olímpica</t>
  </si>
  <si>
    <t xml:space="preserve">Racks de mancuernas</t>
  </si>
  <si>
    <t xml:space="preserve">Normalmente de 5 a 75 lb (2 a 34 kg); algunos clubes llegan a 50–60 lb</t>
  </si>
  <si>
    <t xml:space="preserve">Mancuernas</t>
  </si>
  <si>
    <t xml:space="preserve">Bancos planos y ajustables</t>
  </si>
  <si>
    <t xml:space="preserve">Barras de peso fijo (rectas y EZ, ~20–60 lb)</t>
  </si>
  <si>
    <t xml:space="preserve">Barra de peso fijo</t>
  </si>
  <si>
    <t xml:space="preserve">Torres de cable / polea doble ajustable</t>
  </si>
  <si>
    <t xml:space="preserve">Polea</t>
  </si>
  <si>
    <t xml:space="preserve">Zona funcional PF 360 (barra para dominadas, TRX, kettlebells)</t>
  </si>
  <si>
    <t xml:space="preserve">Dominadas / chin-ups, Elevaciones de piernas colgado</t>
  </si>
  <si>
    <t xml:space="preserve">Paralelas para fondos</t>
  </si>
  <si>
    <t xml:space="preserve">Fondos en paralelas (con lastre)</t>
  </si>
  <si>
    <t xml:space="preserve">Circuito Express de 30 minutos</t>
  </si>
  <si>
    <t xml:space="preserve">10 máquinas y estaciones de step: 60 s de trabajo y 30 s de descanso</t>
  </si>
  <si>
    <t xml:space="preserve">Cardio</t>
  </si>
  <si>
    <t xml:space="preserve">Caminadora Matrix</t>
  </si>
  <si>
    <t xml:space="preserve">Referencia (cardio / spa)</t>
  </si>
  <si>
    <t xml:space="preserve">Marca confirmada; modelo probable Endurance: 0.8–20 km/h, 0–15 %, usuario hasta 182 kg</t>
  </si>
  <si>
    <t xml:space="preserve">Elíptica</t>
  </si>
  <si>
    <t xml:space="preserve">Bicicleta vertical</t>
  </si>
  <si>
    <t xml:space="preserve">Bicicleta recumbente</t>
  </si>
  <si>
    <t xml:space="preserve">Escalera infinita (StepMill) / escaladora</t>
  </si>
  <si>
    <t xml:space="preserve">Remo (ergómetro)</t>
  </si>
  <si>
    <t xml:space="preserve">Arc / Ascent Trainer</t>
  </si>
  <si>
    <t xml:space="preserve">Ergómetro de brazos</t>
  </si>
  <si>
    <t xml:space="preserve">Black Card (spa)</t>
  </si>
  <si>
    <t xml:space="preserve">Sillones de masaje</t>
  </si>
  <si>
    <t xml:space="preserve">Camas HydroMassage</t>
  </si>
  <si>
    <t xml:space="preserve">Total Body Enhancement (luz roja + vibración)</t>
  </si>
  <si>
    <t xml:space="preserve">Cabina de bienestar</t>
  </si>
  <si>
    <t xml:space="preserve">Confirmada en Plaza Satélite</t>
  </si>
  <si>
    <t xml:space="preserve">Resumen del catálogo</t>
  </si>
  <si>
    <t xml:space="preserve">Total</t>
  </si>
  <si>
    <t xml:space="preserve">Marcadas Sí en mi club</t>
  </si>
  <si>
    <t xml:space="preserve">Marcadas No</t>
  </si>
  <si>
    <t xml:space="preserve">Si tu club no tiene el equipo, la app usa el primer sustituto que sí tengas</t>
  </si>
  <si>
    <t xml:space="preserve">Ejercicio original</t>
  </si>
  <si>
    <t xml:space="preserve">Sustituto 1</t>
  </si>
  <si>
    <t xml:space="preserve">Sustituto 2</t>
  </si>
  <si>
    <t xml:space="preserve">Sustituto 3</t>
  </si>
  <si>
    <t xml:space="preserve">Sentadilla con barra</t>
  </si>
  <si>
    <t xml:space="preserve">Sentadilla en Smith</t>
  </si>
  <si>
    <t xml:space="preserve">Prensa de piernas (máquina)</t>
  </si>
  <si>
    <t xml:space="preserve">Peso muerto</t>
  </si>
  <si>
    <t xml:space="preserve">Peso muerto rumano en Smith</t>
  </si>
  <si>
    <t xml:space="preserve">Peso muerto rumano</t>
  </si>
  <si>
    <t xml:space="preserve">Peso muerto rumano con barra</t>
  </si>
  <si>
    <t xml:space="preserve">Press banca con barra</t>
  </si>
  <si>
    <t xml:space="preserve">Press banca en Smith</t>
  </si>
  <si>
    <t xml:space="preserve">Press banca con mancuernas</t>
  </si>
  <si>
    <t xml:space="preserve">Press inclinado con barra</t>
  </si>
  <si>
    <t xml:space="preserve">Press inclinado en Smith</t>
  </si>
  <si>
    <t xml:space="preserve">Press inclinado con mancuernas</t>
  </si>
  <si>
    <t xml:space="preserve">Hammer Strength press</t>
  </si>
  <si>
    <t xml:space="preserve">Remo con barra</t>
  </si>
  <si>
    <t xml:space="preserve">Remo en Smith</t>
  </si>
  <si>
    <t xml:space="preserve">Remo con mancuerna</t>
  </si>
  <si>
    <t xml:space="preserve">Remo con pecho apoyado (mancuernas)</t>
  </si>
  <si>
    <t xml:space="preserve">Press militar con barra</t>
  </si>
  <si>
    <t xml:space="preserve">Press militar en Smith</t>
  </si>
  <si>
    <t xml:space="preserve">Press militar con mancuernas</t>
  </si>
  <si>
    <t xml:space="preserve">Zancadas con barra</t>
  </si>
  <si>
    <t xml:space="preserve">Zancadas en Smith</t>
  </si>
  <si>
    <t xml:space="preserve">Zancadas / split squat búlgaro</t>
  </si>
  <si>
    <t xml:space="preserve">Curl con barra de pie</t>
  </si>
  <si>
    <t xml:space="preserve">Curl con barra EZ</t>
  </si>
  <si>
    <t xml:space="preserve">Curl en polea</t>
  </si>
  <si>
    <t xml:space="preserve">Press banca agarre cerrado</t>
  </si>
  <si>
    <t xml:space="preserve">Press francés con barra EZ</t>
  </si>
  <si>
    <t xml:space="preserve">Puente de glúteo con barra</t>
  </si>
  <si>
    <t xml:space="preserve">Hip thrust</t>
  </si>
  <si>
    <t xml:space="preserve">Dominadas / chin-ups</t>
  </si>
  <si>
    <t xml:space="preserve">Dominadas asistidas (máquina)</t>
  </si>
  <si>
    <t xml:space="preserve">Fondos asistidos (máquina)</t>
  </si>
  <si>
    <t xml:space="preserve">Donkey calf raise</t>
  </si>
  <si>
    <t xml:space="preserve">Elevación de talones en prensa</t>
  </si>
  <si>
    <t xml:space="preserve">Elevación de talones de pie</t>
  </si>
  <si>
    <t xml:space="preserve">Elevaciones laterales en polea</t>
  </si>
  <si>
    <t xml:space="preserve">Elevaciones laterales</t>
  </si>
  <si>
    <t xml:space="preserve">Hiperextensiones</t>
  </si>
  <si>
    <t xml:space="preserve">Pendulum squat</t>
  </si>
  <si>
    <t xml:space="preserve">Belt squat</t>
  </si>
  <si>
    <t xml:space="preserve">Curl femoral de pie</t>
  </si>
  <si>
    <t xml:space="preserve">Fondos en máquina (sentado)</t>
  </si>
  <si>
    <t xml:space="preserve">Press JM</t>
  </si>
  <si>
    <t xml:space="preserve">Remo alto en máquina</t>
  </si>
  <si>
    <t xml:space="preserve">Press declinado en máquina</t>
  </si>
  <si>
    <t xml:space="preserve">Pullover en máquina</t>
  </si>
  <si>
    <t xml:space="preserve">Pullover en polea (brazos rectos)</t>
  </si>
  <si>
    <t xml:space="preserve">Pullover con mancuerna (banco transversal)</t>
  </si>
  <si>
    <t xml:space="preserve">Fuentes y límites</t>
  </si>
  <si>
    <t xml:space="preserve">Comunicado PF México 2026</t>
  </si>
  <si>
    <t xml:space="preserve">Equipo nuevo en Andamar, El Molino, Center Plazas, San Marcos, Villa Verde, Satélite, Lindavista: half racks, Smith, prensa, extensión, pec fly, racks de mancuernas, bancos, hack squat, Magnum Glute Trainer (elboletinmexicano.com, gerenciaynegocios.com, almomento.mx)</t>
  </si>
  <si>
    <t xml:space="preserve">Comunicado PF enero 2025</t>
  </si>
  <si>
    <t xml:space="preserve">Matrix Magnum: press supino, hack squat y pantorrilla sentado en más de 1,700 clubes (prnewswire.com)</t>
  </si>
  <si>
    <t xml:space="preserve">planetfitness.com/our-clubs</t>
  </si>
  <si>
    <t xml:space="preserve">Lista general de equipo de los clubes</t>
  </si>
  <si>
    <t xml:space="preserve">Informe que compartió el usuario</t>
  </si>
  <si>
    <t xml:space="preserve">"Planet Fitness México: caminadoras y catálogo completo de máquinas"</t>
  </si>
  <si>
    <t xml:space="preserve">Mancuernas y barras fijas</t>
  </si>
  <si>
    <t xml:space="preserve">Rangos de blogs y respuestas de PF (confianza baja a media)</t>
  </si>
  <si>
    <t xml:space="preserve">Límite</t>
  </si>
  <si>
    <t xml:space="preserve">Las páginas no se pudieron abrir completas; los datos vienen de resúmenes de búsqueda. Confirma en tu sucursal.</t>
  </si>
  <si>
    <t xml:space="preserve">Niveles de confianza</t>
  </si>
  <si>
    <t xml:space="preserve">Confirmado en México / Estándar de la cadena: la app los usa salvo que marques No. Varía por club / No verificado: solo si marcas Sí.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</si>
</sst>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44"/>
        <bgColor rgb="FF003366"/>
      </patternFill>
    </fill>
    <fill>
      <patternFill patternType="solid">
        <fgColor rgb="FFDCEBFA"/>
        <bgColor rgb="FFD9F2E6"/>
      </patternFill>
    </fill>
    <fill>
      <patternFill patternType="solid">
        <fgColor rgb="FFFFFF00"/>
        <bgColor rgb="FFFFFF00"/>
      </patternFill>
    </fill>
    <fill>
      <patternFill patternType="solid">
        <fgColor rgb="FFFDEFD3"/>
        <bgColor rgb="FFECEFF1"/>
      </patternFill>
    </fill>
    <fill>
      <patternFill patternType="solid">
        <fgColor rgb="FFD9F2E6"/>
        <bgColor rgb="FFDCEBFA"/>
      </patternFill>
    </fill>
    <fill>
      <patternFill patternType="solid">
        <fgColor rgb="FFECEFF1"/>
        <bgColor rgb="FFDCEB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C"/>
      </left>
      <right style="thin">
        <color rgb="FFD0D7DC"/>
      </right>
      <top style="thin">
        <color rgb="FFD0D7DC"/>
      </top>
      <bottom style="thin">
        <color rgb="FFD0D7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A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2E6"/>
          <bgColor rgb="FF000000"/>
        </patternFill>
      </fill>
    </dxf>
    <dxf>
      <fill>
        <patternFill patternType="solid">
          <fgColor rgb="FFDCEBFA"/>
          <bgColor rgb="FF000000"/>
        </patternFill>
      </fill>
    </dxf>
    <dxf>
      <fill>
        <patternFill patternType="solid">
          <fgColor rgb="FFECEFF1"/>
          <bgColor rgb="FF000000"/>
        </patternFill>
      </fill>
    </dxf>
    <dxf>
      <fill>
        <patternFill patternType="solid">
          <fgColor rgb="FFFDEFD3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66666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FD3"/>
      <rgbColor rgb="FFD9F2E6"/>
      <rgbColor rgb="FF660066"/>
      <rgbColor rgb="FFFF8080"/>
      <rgbColor rgb="FF0066CC"/>
      <rgbColor rgb="FFD0D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BFA"/>
      <rgbColor rgb="FFECEFF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42"/>
    <col collapsed="false" customWidth="true" hidden="false" outlineLevel="0" max="4" min="4" style="0" width="20"/>
    <col collapsed="false" customWidth="true" hidden="false" outlineLevel="0" max="5" min="5" style="0" width="30"/>
    <col collapsed="false" customWidth="true" hidden="false" outlineLevel="0" max="6" min="6" style="0" width="50"/>
    <col collapsed="false" customWidth="true" hidden="false" outlineLevel="0" max="7" min="7" style="0" width="48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23.85" hidden="false" customHeight="false" outlineLevel="0" collapsed="false">
      <c r="A5" s="4" t="n">
        <v>1</v>
      </c>
      <c r="B5" s="4" t="s">
        <v>12</v>
      </c>
      <c r="C5" s="5" t="s">
        <v>13</v>
      </c>
      <c r="D5" s="6" t="s">
        <v>14</v>
      </c>
      <c r="E5" s="4" t="s">
        <v>15</v>
      </c>
      <c r="F5" s="4"/>
      <c r="G5" s="4" t="s">
        <v>16</v>
      </c>
      <c r="H5" s="4"/>
      <c r="I5" s="7" t="s">
        <v>17</v>
      </c>
      <c r="J5" s="8" t="s">
        <v>18</v>
      </c>
    </row>
    <row r="6" customFormat="false" ht="15" hidden="false" customHeight="false" outlineLevel="0" collapsed="false">
      <c r="A6" s="4" t="n">
        <v>2</v>
      </c>
      <c r="B6" s="4" t="s">
        <v>12</v>
      </c>
      <c r="C6" s="5" t="s">
        <v>19</v>
      </c>
      <c r="D6" s="9" t="s">
        <v>20</v>
      </c>
      <c r="E6" s="4" t="s">
        <v>21</v>
      </c>
      <c r="F6" s="4"/>
      <c r="G6" s="4" t="s">
        <v>19</v>
      </c>
      <c r="H6" s="4"/>
      <c r="I6" s="7"/>
      <c r="J6" s="4"/>
    </row>
    <row r="7" customFormat="false" ht="23.85" hidden="false" customHeight="false" outlineLevel="0" collapsed="false">
      <c r="A7" s="4" t="n">
        <v>3</v>
      </c>
      <c r="B7" s="4" t="s">
        <v>12</v>
      </c>
      <c r="C7" s="5" t="s">
        <v>22</v>
      </c>
      <c r="D7" s="10" t="s">
        <v>23</v>
      </c>
      <c r="E7" s="4" t="s">
        <v>15</v>
      </c>
      <c r="F7" s="4" t="s">
        <v>24</v>
      </c>
      <c r="G7" s="4" t="s">
        <v>25</v>
      </c>
      <c r="H7" s="4"/>
      <c r="I7" s="7"/>
      <c r="J7" s="4"/>
    </row>
    <row r="8" customFormat="false" ht="23.85" hidden="false" customHeight="false" outlineLevel="0" collapsed="false">
      <c r="A8" s="4" t="n">
        <v>4</v>
      </c>
      <c r="B8" s="4" t="s">
        <v>12</v>
      </c>
      <c r="C8" s="5" t="s">
        <v>26</v>
      </c>
      <c r="D8" s="6" t="s">
        <v>14</v>
      </c>
      <c r="E8" s="4" t="s">
        <v>15</v>
      </c>
      <c r="F8" s="4"/>
      <c r="G8" s="4" t="s">
        <v>27</v>
      </c>
      <c r="H8" s="4"/>
      <c r="I8" s="7"/>
      <c r="J8" s="4"/>
    </row>
    <row r="9" customFormat="false" ht="15" hidden="false" customHeight="false" outlineLevel="0" collapsed="false">
      <c r="A9" s="4" t="n">
        <v>5</v>
      </c>
      <c r="B9" s="4" t="s">
        <v>12</v>
      </c>
      <c r="C9" s="5" t="s">
        <v>28</v>
      </c>
      <c r="D9" s="9" t="s">
        <v>20</v>
      </c>
      <c r="E9" s="4" t="s">
        <v>21</v>
      </c>
      <c r="F9" s="4"/>
      <c r="G9" s="4" t="s">
        <v>28</v>
      </c>
      <c r="H9" s="4"/>
      <c r="I9" s="7"/>
      <c r="J9" s="4"/>
    </row>
    <row r="10" customFormat="false" ht="23.85" hidden="false" customHeight="false" outlineLevel="0" collapsed="false">
      <c r="A10" s="4" t="n">
        <v>6</v>
      </c>
      <c r="B10" s="4" t="s">
        <v>12</v>
      </c>
      <c r="C10" s="5" t="s">
        <v>29</v>
      </c>
      <c r="D10" s="6" t="s">
        <v>14</v>
      </c>
      <c r="E10" s="4" t="s">
        <v>15</v>
      </c>
      <c r="F10" s="4"/>
      <c r="G10" s="4" t="s">
        <v>29</v>
      </c>
      <c r="H10" s="4"/>
      <c r="I10" s="7"/>
      <c r="J10" s="4"/>
    </row>
    <row r="11" customFormat="false" ht="23.85" hidden="false" customHeight="false" outlineLevel="0" collapsed="false">
      <c r="A11" s="4" t="n">
        <v>7</v>
      </c>
      <c r="B11" s="4" t="s">
        <v>12</v>
      </c>
      <c r="C11" s="5" t="s">
        <v>30</v>
      </c>
      <c r="D11" s="6" t="s">
        <v>14</v>
      </c>
      <c r="E11" s="4" t="s">
        <v>15</v>
      </c>
      <c r="F11" s="4"/>
      <c r="G11" s="4" t="s">
        <v>31</v>
      </c>
      <c r="H11" s="4"/>
      <c r="I11" s="7"/>
      <c r="J11" s="4"/>
    </row>
    <row r="12" customFormat="false" ht="23.85" hidden="false" customHeight="false" outlineLevel="0" collapsed="false">
      <c r="A12" s="4" t="n">
        <v>8</v>
      </c>
      <c r="B12" s="4" t="s">
        <v>12</v>
      </c>
      <c r="C12" s="5" t="s">
        <v>32</v>
      </c>
      <c r="D12" s="9" t="s">
        <v>20</v>
      </c>
      <c r="E12" s="4" t="s">
        <v>21</v>
      </c>
      <c r="F12" s="4"/>
      <c r="G12" s="4" t="s">
        <v>33</v>
      </c>
      <c r="H12" s="4"/>
      <c r="I12" s="7"/>
      <c r="J12" s="4"/>
    </row>
    <row r="13" customFormat="false" ht="23.85" hidden="false" customHeight="false" outlineLevel="0" collapsed="false">
      <c r="A13" s="4" t="n">
        <v>9</v>
      </c>
      <c r="B13" s="4" t="s">
        <v>12</v>
      </c>
      <c r="C13" s="5" t="s">
        <v>34</v>
      </c>
      <c r="D13" s="6" t="s">
        <v>14</v>
      </c>
      <c r="E13" s="4" t="s">
        <v>15</v>
      </c>
      <c r="F13" s="4"/>
      <c r="G13" s="4" t="s">
        <v>34</v>
      </c>
      <c r="H13" s="4"/>
      <c r="I13" s="7"/>
      <c r="J13" s="4"/>
    </row>
    <row r="14" customFormat="false" ht="15" hidden="false" customHeight="false" outlineLevel="0" collapsed="false">
      <c r="A14" s="4" t="n">
        <v>10</v>
      </c>
      <c r="B14" s="4" t="s">
        <v>12</v>
      </c>
      <c r="C14" s="5" t="s">
        <v>35</v>
      </c>
      <c r="D14" s="9" t="s">
        <v>20</v>
      </c>
      <c r="E14" s="4" t="s">
        <v>21</v>
      </c>
      <c r="F14" s="4"/>
      <c r="G14" s="4" t="s">
        <v>36</v>
      </c>
      <c r="H14" s="4"/>
      <c r="I14" s="7"/>
      <c r="J14" s="4"/>
    </row>
    <row r="15" customFormat="false" ht="23.85" hidden="false" customHeight="false" outlineLevel="0" collapsed="false">
      <c r="A15" s="4" t="n">
        <v>11</v>
      </c>
      <c r="B15" s="4" t="s">
        <v>12</v>
      </c>
      <c r="C15" s="5" t="s">
        <v>37</v>
      </c>
      <c r="D15" s="6" t="s">
        <v>14</v>
      </c>
      <c r="E15" s="4" t="s">
        <v>15</v>
      </c>
      <c r="F15" s="4"/>
      <c r="G15" s="4" t="s">
        <v>38</v>
      </c>
      <c r="H15" s="4"/>
      <c r="I15" s="7"/>
      <c r="J15" s="4"/>
    </row>
    <row r="16" customFormat="false" ht="23.85" hidden="false" customHeight="false" outlineLevel="0" collapsed="false">
      <c r="A16" s="4" t="n">
        <v>12</v>
      </c>
      <c r="B16" s="4" t="s">
        <v>12</v>
      </c>
      <c r="C16" s="5" t="s">
        <v>39</v>
      </c>
      <c r="D16" s="10" t="s">
        <v>23</v>
      </c>
      <c r="E16" s="4" t="s">
        <v>15</v>
      </c>
      <c r="F16" s="4" t="s">
        <v>40</v>
      </c>
      <c r="G16" s="4" t="s">
        <v>41</v>
      </c>
      <c r="H16" s="4"/>
      <c r="I16" s="7"/>
      <c r="J16" s="4"/>
    </row>
    <row r="17" customFormat="false" ht="23.85" hidden="false" customHeight="false" outlineLevel="0" collapsed="false">
      <c r="A17" s="4" t="n">
        <v>13</v>
      </c>
      <c r="B17" s="4" t="s">
        <v>12</v>
      </c>
      <c r="C17" s="5" t="s">
        <v>42</v>
      </c>
      <c r="D17" s="10" t="s">
        <v>23</v>
      </c>
      <c r="E17" s="4" t="s">
        <v>15</v>
      </c>
      <c r="F17" s="4"/>
      <c r="G17" s="4" t="s">
        <v>43</v>
      </c>
      <c r="H17" s="4"/>
      <c r="I17" s="7"/>
      <c r="J17" s="4"/>
    </row>
    <row r="18" customFormat="false" ht="23.85" hidden="false" customHeight="false" outlineLevel="0" collapsed="false">
      <c r="A18" s="4" t="n">
        <v>14</v>
      </c>
      <c r="B18" s="4" t="s">
        <v>12</v>
      </c>
      <c r="C18" s="5" t="s">
        <v>44</v>
      </c>
      <c r="D18" s="6" t="s">
        <v>14</v>
      </c>
      <c r="E18" s="4" t="s">
        <v>15</v>
      </c>
      <c r="F18" s="4"/>
      <c r="G18" s="4" t="s">
        <v>44</v>
      </c>
      <c r="H18" s="4"/>
      <c r="I18" s="7"/>
      <c r="J18" s="4"/>
    </row>
    <row r="19" customFormat="false" ht="15" hidden="false" customHeight="false" outlineLevel="0" collapsed="false">
      <c r="A19" s="4" t="n">
        <v>15</v>
      </c>
      <c r="B19" s="4" t="s">
        <v>12</v>
      </c>
      <c r="C19" s="5" t="s">
        <v>45</v>
      </c>
      <c r="D19" s="9" t="s">
        <v>20</v>
      </c>
      <c r="E19" s="4" t="s">
        <v>21</v>
      </c>
      <c r="F19" s="4"/>
      <c r="G19" s="4" t="s">
        <v>46</v>
      </c>
      <c r="H19" s="4"/>
      <c r="I19" s="7"/>
      <c r="J19" s="4"/>
    </row>
    <row r="20" customFormat="false" ht="23.85" hidden="false" customHeight="false" outlineLevel="0" collapsed="false">
      <c r="A20" s="4" t="n">
        <v>16</v>
      </c>
      <c r="B20" s="4" t="s">
        <v>12</v>
      </c>
      <c r="C20" s="5" t="s">
        <v>47</v>
      </c>
      <c r="D20" s="6" t="s">
        <v>14</v>
      </c>
      <c r="E20" s="4" t="s">
        <v>15</v>
      </c>
      <c r="F20" s="4"/>
      <c r="G20" s="4" t="s">
        <v>48</v>
      </c>
      <c r="H20" s="4"/>
      <c r="I20" s="7"/>
      <c r="J20" s="4"/>
    </row>
    <row r="21" customFormat="false" ht="15" hidden="false" customHeight="false" outlineLevel="0" collapsed="false">
      <c r="A21" s="4" t="n">
        <v>17</v>
      </c>
      <c r="B21" s="4" t="s">
        <v>12</v>
      </c>
      <c r="C21" s="5" t="s">
        <v>49</v>
      </c>
      <c r="D21" s="11" t="s">
        <v>50</v>
      </c>
      <c r="E21" s="4" t="s">
        <v>21</v>
      </c>
      <c r="F21" s="4"/>
      <c r="G21" s="4" t="s">
        <v>49</v>
      </c>
      <c r="H21" s="4"/>
      <c r="I21" s="7"/>
      <c r="J21" s="4"/>
    </row>
    <row r="22" customFormat="false" ht="15" hidden="false" customHeight="false" outlineLevel="0" collapsed="false">
      <c r="A22" s="4" t="n">
        <v>18</v>
      </c>
      <c r="B22" s="4" t="s">
        <v>12</v>
      </c>
      <c r="C22" s="5" t="s">
        <v>51</v>
      </c>
      <c r="D22" s="11" t="s">
        <v>50</v>
      </c>
      <c r="E22" s="4" t="s">
        <v>21</v>
      </c>
      <c r="F22" s="4"/>
      <c r="G22" s="4" t="s">
        <v>52</v>
      </c>
      <c r="H22" s="4"/>
      <c r="I22" s="7"/>
      <c r="J22" s="4"/>
    </row>
    <row r="23" customFormat="false" ht="23.85" hidden="false" customHeight="false" outlineLevel="0" collapsed="false">
      <c r="A23" s="4" t="n">
        <v>19</v>
      </c>
      <c r="B23" s="4" t="s">
        <v>12</v>
      </c>
      <c r="C23" s="5" t="s">
        <v>53</v>
      </c>
      <c r="D23" s="6" t="s">
        <v>14</v>
      </c>
      <c r="E23" s="4" t="s">
        <v>15</v>
      </c>
      <c r="F23" s="4"/>
      <c r="G23" s="4" t="s">
        <v>54</v>
      </c>
      <c r="H23" s="4"/>
      <c r="I23" s="7"/>
      <c r="J23" s="4"/>
    </row>
    <row r="24" customFormat="false" ht="23.85" hidden="false" customHeight="false" outlineLevel="0" collapsed="false">
      <c r="A24" s="4" t="n">
        <v>20</v>
      </c>
      <c r="B24" s="4" t="s">
        <v>55</v>
      </c>
      <c r="C24" s="5" t="s">
        <v>56</v>
      </c>
      <c r="D24" s="10" t="s">
        <v>23</v>
      </c>
      <c r="E24" s="4" t="s">
        <v>15</v>
      </c>
      <c r="F24" s="4" t="s">
        <v>57</v>
      </c>
      <c r="G24" s="4" t="s">
        <v>58</v>
      </c>
      <c r="H24" s="4"/>
      <c r="I24" s="7"/>
      <c r="J24" s="4"/>
    </row>
    <row r="25" customFormat="false" ht="23.85" hidden="false" customHeight="false" outlineLevel="0" collapsed="false">
      <c r="A25" s="4" t="n">
        <v>21</v>
      </c>
      <c r="B25" s="4" t="s">
        <v>55</v>
      </c>
      <c r="C25" s="5" t="s">
        <v>59</v>
      </c>
      <c r="D25" s="6" t="s">
        <v>14</v>
      </c>
      <c r="E25" s="4" t="s">
        <v>15</v>
      </c>
      <c r="F25" s="4" t="s">
        <v>60</v>
      </c>
      <c r="G25" s="4" t="s">
        <v>61</v>
      </c>
      <c r="H25" s="4"/>
      <c r="I25" s="7"/>
      <c r="J25" s="4"/>
    </row>
    <row r="26" customFormat="false" ht="23.85" hidden="false" customHeight="false" outlineLevel="0" collapsed="false">
      <c r="A26" s="4" t="n">
        <v>22</v>
      </c>
      <c r="B26" s="4" t="s">
        <v>55</v>
      </c>
      <c r="C26" s="5" t="s">
        <v>62</v>
      </c>
      <c r="D26" s="6" t="s">
        <v>14</v>
      </c>
      <c r="E26" s="4" t="s">
        <v>15</v>
      </c>
      <c r="F26" s="4"/>
      <c r="G26" s="4" t="s">
        <v>63</v>
      </c>
      <c r="H26" s="4"/>
      <c r="I26" s="7"/>
      <c r="J26" s="4"/>
    </row>
    <row r="27" customFormat="false" ht="23.85" hidden="false" customHeight="false" outlineLevel="0" collapsed="false">
      <c r="A27" s="4" t="n">
        <v>23</v>
      </c>
      <c r="B27" s="4" t="s">
        <v>55</v>
      </c>
      <c r="C27" s="5" t="s">
        <v>64</v>
      </c>
      <c r="D27" s="10" t="s">
        <v>23</v>
      </c>
      <c r="E27" s="4" t="s">
        <v>15</v>
      </c>
      <c r="F27" s="4" t="s">
        <v>65</v>
      </c>
      <c r="G27" s="4" t="s">
        <v>66</v>
      </c>
      <c r="H27" s="4"/>
      <c r="I27" s="7"/>
      <c r="J27" s="4"/>
    </row>
    <row r="28" customFormat="false" ht="23.85" hidden="false" customHeight="false" outlineLevel="0" collapsed="false">
      <c r="A28" s="4" t="n">
        <v>24</v>
      </c>
      <c r="B28" s="4" t="s">
        <v>55</v>
      </c>
      <c r="C28" s="5" t="s">
        <v>67</v>
      </c>
      <c r="D28" s="9" t="s">
        <v>20</v>
      </c>
      <c r="E28" s="4" t="s">
        <v>21</v>
      </c>
      <c r="F28" s="4"/>
      <c r="G28" s="4" t="s">
        <v>68</v>
      </c>
      <c r="H28" s="4"/>
      <c r="I28" s="7"/>
      <c r="J28" s="4"/>
    </row>
    <row r="29" customFormat="false" ht="23.85" hidden="false" customHeight="false" outlineLevel="0" collapsed="false">
      <c r="A29" s="4" t="n">
        <v>25</v>
      </c>
      <c r="B29" s="4" t="s">
        <v>55</v>
      </c>
      <c r="C29" s="5" t="s">
        <v>69</v>
      </c>
      <c r="D29" s="11" t="s">
        <v>50</v>
      </c>
      <c r="E29" s="4" t="s">
        <v>21</v>
      </c>
      <c r="F29" s="4" t="s">
        <v>70</v>
      </c>
      <c r="G29" s="4" t="s">
        <v>69</v>
      </c>
      <c r="H29" s="4"/>
      <c r="I29" s="7"/>
      <c r="J29" s="4"/>
    </row>
    <row r="30" customFormat="false" ht="23.85" hidden="false" customHeight="false" outlineLevel="0" collapsed="false">
      <c r="A30" s="4" t="n">
        <v>26</v>
      </c>
      <c r="B30" s="4" t="s">
        <v>71</v>
      </c>
      <c r="C30" s="5" t="s">
        <v>72</v>
      </c>
      <c r="D30" s="10" t="s">
        <v>23</v>
      </c>
      <c r="E30" s="4" t="s">
        <v>15</v>
      </c>
      <c r="F30" s="4" t="s">
        <v>73</v>
      </c>
      <c r="G30" s="4"/>
      <c r="H30" s="4" t="s">
        <v>74</v>
      </c>
      <c r="I30" s="7"/>
      <c r="J30" s="4"/>
    </row>
    <row r="31" customFormat="false" ht="46.25" hidden="false" customHeight="false" outlineLevel="0" collapsed="false">
      <c r="A31" s="4" t="n">
        <v>27</v>
      </c>
      <c r="B31" s="4" t="s">
        <v>71</v>
      </c>
      <c r="C31" s="5" t="s">
        <v>75</v>
      </c>
      <c r="D31" s="9" t="s">
        <v>20</v>
      </c>
      <c r="E31" s="4" t="s">
        <v>21</v>
      </c>
      <c r="F31" s="4" t="s">
        <v>76</v>
      </c>
      <c r="G31" s="4"/>
      <c r="H31" s="4" t="s">
        <v>77</v>
      </c>
      <c r="I31" s="7"/>
      <c r="J31" s="4"/>
    </row>
    <row r="32" customFormat="false" ht="23.85" hidden="false" customHeight="false" outlineLevel="0" collapsed="false">
      <c r="A32" s="4" t="n">
        <v>28</v>
      </c>
      <c r="B32" s="4" t="s">
        <v>71</v>
      </c>
      <c r="C32" s="5" t="s">
        <v>78</v>
      </c>
      <c r="D32" s="10" t="s">
        <v>23</v>
      </c>
      <c r="E32" s="4" t="s">
        <v>15</v>
      </c>
      <c r="F32" s="4" t="s">
        <v>79</v>
      </c>
      <c r="G32" s="4"/>
      <c r="H32" s="4" t="s">
        <v>80</v>
      </c>
      <c r="I32" s="7"/>
      <c r="J32" s="4"/>
    </row>
    <row r="33" customFormat="false" ht="23.85" hidden="false" customHeight="false" outlineLevel="0" collapsed="false">
      <c r="A33" s="4" t="n">
        <v>29</v>
      </c>
      <c r="B33" s="4" t="s">
        <v>71</v>
      </c>
      <c r="C33" s="5" t="s">
        <v>81</v>
      </c>
      <c r="D33" s="10" t="s">
        <v>23</v>
      </c>
      <c r="E33" s="4" t="s">
        <v>15</v>
      </c>
      <c r="F33" s="4"/>
      <c r="G33" s="4"/>
      <c r="H33" s="4"/>
      <c r="I33" s="7"/>
      <c r="J33" s="4"/>
    </row>
    <row r="34" customFormat="false" ht="23.85" hidden="false" customHeight="false" outlineLevel="0" collapsed="false">
      <c r="A34" s="4" t="n">
        <v>30</v>
      </c>
      <c r="B34" s="4" t="s">
        <v>71</v>
      </c>
      <c r="C34" s="5" t="s">
        <v>82</v>
      </c>
      <c r="D34" s="6" t="s">
        <v>14</v>
      </c>
      <c r="E34" s="4" t="s">
        <v>15</v>
      </c>
      <c r="F34" s="4"/>
      <c r="G34" s="4"/>
      <c r="H34" s="4" t="s">
        <v>83</v>
      </c>
      <c r="I34" s="7"/>
      <c r="J34" s="4"/>
    </row>
    <row r="35" customFormat="false" ht="23.85" hidden="false" customHeight="false" outlineLevel="0" collapsed="false">
      <c r="A35" s="4" t="n">
        <v>31</v>
      </c>
      <c r="B35" s="4" t="s">
        <v>71</v>
      </c>
      <c r="C35" s="5" t="s">
        <v>84</v>
      </c>
      <c r="D35" s="6" t="s">
        <v>14</v>
      </c>
      <c r="E35" s="4" t="s">
        <v>15</v>
      </c>
      <c r="F35" s="4"/>
      <c r="G35" s="4"/>
      <c r="H35" s="4" t="s">
        <v>85</v>
      </c>
      <c r="I35" s="7"/>
      <c r="J35" s="4"/>
    </row>
    <row r="36" customFormat="false" ht="23.85" hidden="false" customHeight="false" outlineLevel="0" collapsed="false">
      <c r="A36" s="4" t="n">
        <v>32</v>
      </c>
      <c r="B36" s="4" t="s">
        <v>71</v>
      </c>
      <c r="C36" s="5" t="s">
        <v>86</v>
      </c>
      <c r="D36" s="6" t="s">
        <v>14</v>
      </c>
      <c r="E36" s="4" t="s">
        <v>15</v>
      </c>
      <c r="F36" s="4"/>
      <c r="G36" s="4" t="s">
        <v>87</v>
      </c>
      <c r="H36" s="4"/>
      <c r="I36" s="7"/>
      <c r="J36" s="4"/>
    </row>
    <row r="37" customFormat="false" ht="15" hidden="false" customHeight="false" outlineLevel="0" collapsed="false">
      <c r="A37" s="4" t="n">
        <v>33</v>
      </c>
      <c r="B37" s="4" t="s">
        <v>71</v>
      </c>
      <c r="C37" s="5" t="s">
        <v>88</v>
      </c>
      <c r="D37" s="11" t="s">
        <v>50</v>
      </c>
      <c r="E37" s="4" t="s">
        <v>21</v>
      </c>
      <c r="F37" s="4"/>
      <c r="G37" s="4" t="s">
        <v>89</v>
      </c>
      <c r="H37" s="4"/>
      <c r="I37" s="7"/>
      <c r="J37" s="4"/>
    </row>
    <row r="38" customFormat="false" ht="23.85" hidden="false" customHeight="false" outlineLevel="0" collapsed="false">
      <c r="A38" s="4" t="n">
        <v>34</v>
      </c>
      <c r="B38" s="4" t="s">
        <v>71</v>
      </c>
      <c r="C38" s="5" t="s">
        <v>90</v>
      </c>
      <c r="D38" s="10" t="s">
        <v>23</v>
      </c>
      <c r="E38" s="4" t="s">
        <v>15</v>
      </c>
      <c r="F38" s="4" t="s">
        <v>91</v>
      </c>
      <c r="G38" s="4"/>
      <c r="H38" s="4"/>
      <c r="I38" s="7"/>
      <c r="J38" s="4"/>
    </row>
    <row r="39" customFormat="false" ht="23.85" hidden="false" customHeight="false" outlineLevel="0" collapsed="false">
      <c r="A39" s="4" t="n">
        <v>35</v>
      </c>
      <c r="B39" s="4" t="s">
        <v>92</v>
      </c>
      <c r="C39" s="5" t="s">
        <v>93</v>
      </c>
      <c r="D39" s="10" t="s">
        <v>23</v>
      </c>
      <c r="E39" s="4" t="s">
        <v>94</v>
      </c>
      <c r="F39" s="4" t="s">
        <v>95</v>
      </c>
      <c r="G39" s="4"/>
      <c r="H39" s="4"/>
      <c r="I39" s="7"/>
      <c r="J39" s="4"/>
    </row>
    <row r="40" customFormat="false" ht="15" hidden="false" customHeight="false" outlineLevel="0" collapsed="false">
      <c r="A40" s="4" t="n">
        <v>36</v>
      </c>
      <c r="B40" s="4" t="s">
        <v>92</v>
      </c>
      <c r="C40" s="5" t="s">
        <v>96</v>
      </c>
      <c r="D40" s="10" t="s">
        <v>23</v>
      </c>
      <c r="E40" s="4" t="s">
        <v>94</v>
      </c>
      <c r="F40" s="4"/>
      <c r="G40" s="4"/>
      <c r="H40" s="4"/>
      <c r="I40" s="7"/>
      <c r="J40" s="4"/>
    </row>
    <row r="41" customFormat="false" ht="15" hidden="false" customHeight="false" outlineLevel="0" collapsed="false">
      <c r="A41" s="4" t="n">
        <v>37</v>
      </c>
      <c r="B41" s="4" t="s">
        <v>92</v>
      </c>
      <c r="C41" s="5" t="s">
        <v>97</v>
      </c>
      <c r="D41" s="10" t="s">
        <v>23</v>
      </c>
      <c r="E41" s="4" t="s">
        <v>94</v>
      </c>
      <c r="F41" s="4"/>
      <c r="G41" s="4"/>
      <c r="H41" s="4"/>
      <c r="I41" s="7"/>
      <c r="J41" s="4"/>
    </row>
    <row r="42" customFormat="false" ht="15" hidden="false" customHeight="false" outlineLevel="0" collapsed="false">
      <c r="A42" s="4" t="n">
        <v>38</v>
      </c>
      <c r="B42" s="4" t="s">
        <v>92</v>
      </c>
      <c r="C42" s="5" t="s">
        <v>98</v>
      </c>
      <c r="D42" s="6" t="s">
        <v>14</v>
      </c>
      <c r="E42" s="4" t="s">
        <v>94</v>
      </c>
      <c r="F42" s="4"/>
      <c r="G42" s="4"/>
      <c r="H42" s="4"/>
      <c r="I42" s="7"/>
      <c r="J42" s="4"/>
    </row>
    <row r="43" customFormat="false" ht="15" hidden="false" customHeight="false" outlineLevel="0" collapsed="false">
      <c r="A43" s="4" t="n">
        <v>39</v>
      </c>
      <c r="B43" s="4" t="s">
        <v>92</v>
      </c>
      <c r="C43" s="5" t="s">
        <v>99</v>
      </c>
      <c r="D43" s="10" t="s">
        <v>23</v>
      </c>
      <c r="E43" s="4" t="s">
        <v>94</v>
      </c>
      <c r="F43" s="4"/>
      <c r="G43" s="4"/>
      <c r="H43" s="4"/>
      <c r="I43" s="7"/>
      <c r="J43" s="4"/>
    </row>
    <row r="44" customFormat="false" ht="15" hidden="false" customHeight="false" outlineLevel="0" collapsed="false">
      <c r="A44" s="4" t="n">
        <v>40</v>
      </c>
      <c r="B44" s="4" t="s">
        <v>92</v>
      </c>
      <c r="C44" s="5" t="s">
        <v>100</v>
      </c>
      <c r="D44" s="10" t="s">
        <v>23</v>
      </c>
      <c r="E44" s="4" t="s">
        <v>94</v>
      </c>
      <c r="F44" s="4"/>
      <c r="G44" s="4"/>
      <c r="H44" s="4"/>
      <c r="I44" s="7"/>
      <c r="J44" s="4"/>
    </row>
    <row r="45" customFormat="false" ht="15" hidden="false" customHeight="false" outlineLevel="0" collapsed="false">
      <c r="A45" s="4" t="n">
        <v>41</v>
      </c>
      <c r="B45" s="4" t="s">
        <v>92</v>
      </c>
      <c r="C45" s="5" t="s">
        <v>101</v>
      </c>
      <c r="D45" s="6" t="s">
        <v>14</v>
      </c>
      <c r="E45" s="4" t="s">
        <v>94</v>
      </c>
      <c r="F45" s="4"/>
      <c r="G45" s="4"/>
      <c r="H45" s="4"/>
      <c r="I45" s="7"/>
      <c r="J45" s="4"/>
    </row>
    <row r="46" customFormat="false" ht="15" hidden="false" customHeight="false" outlineLevel="0" collapsed="false">
      <c r="A46" s="4" t="n">
        <v>42</v>
      </c>
      <c r="B46" s="4" t="s">
        <v>92</v>
      </c>
      <c r="C46" s="5" t="s">
        <v>102</v>
      </c>
      <c r="D46" s="10" t="s">
        <v>23</v>
      </c>
      <c r="E46" s="4" t="s">
        <v>94</v>
      </c>
      <c r="F46" s="4"/>
      <c r="G46" s="4"/>
      <c r="H46" s="4"/>
      <c r="I46" s="7"/>
      <c r="J46" s="4"/>
    </row>
    <row r="47" customFormat="false" ht="15" hidden="false" customHeight="false" outlineLevel="0" collapsed="false">
      <c r="A47" s="4" t="n">
        <v>43</v>
      </c>
      <c r="B47" s="4" t="s">
        <v>103</v>
      </c>
      <c r="C47" s="5" t="s">
        <v>104</v>
      </c>
      <c r="D47" s="10" t="s">
        <v>23</v>
      </c>
      <c r="E47" s="4" t="s">
        <v>94</v>
      </c>
      <c r="F47" s="4"/>
      <c r="G47" s="4"/>
      <c r="H47" s="4"/>
      <c r="I47" s="7"/>
      <c r="J47" s="4"/>
    </row>
    <row r="48" customFormat="false" ht="15" hidden="false" customHeight="false" outlineLevel="0" collapsed="false">
      <c r="A48" s="4" t="n">
        <v>44</v>
      </c>
      <c r="B48" s="4" t="s">
        <v>103</v>
      </c>
      <c r="C48" s="5" t="s">
        <v>105</v>
      </c>
      <c r="D48" s="10" t="s">
        <v>23</v>
      </c>
      <c r="E48" s="4" t="s">
        <v>94</v>
      </c>
      <c r="F48" s="4"/>
      <c r="G48" s="4"/>
      <c r="H48" s="4"/>
      <c r="I48" s="7"/>
      <c r="J48" s="4"/>
    </row>
    <row r="49" customFormat="false" ht="15" hidden="false" customHeight="false" outlineLevel="0" collapsed="false">
      <c r="A49" s="4" t="n">
        <v>45</v>
      </c>
      <c r="B49" s="4" t="s">
        <v>103</v>
      </c>
      <c r="C49" s="5" t="s">
        <v>106</v>
      </c>
      <c r="D49" s="10" t="s">
        <v>23</v>
      </c>
      <c r="E49" s="4" t="s">
        <v>94</v>
      </c>
      <c r="F49" s="4"/>
      <c r="G49" s="4"/>
      <c r="H49" s="4"/>
      <c r="I49" s="7"/>
      <c r="J49" s="4"/>
    </row>
    <row r="50" customFormat="false" ht="15" hidden="false" customHeight="false" outlineLevel="0" collapsed="false">
      <c r="A50" s="4" t="n">
        <v>46</v>
      </c>
      <c r="B50" s="4" t="s">
        <v>103</v>
      </c>
      <c r="C50" s="5" t="s">
        <v>107</v>
      </c>
      <c r="D50" s="10" t="s">
        <v>23</v>
      </c>
      <c r="E50" s="4" t="s">
        <v>94</v>
      </c>
      <c r="F50" s="4" t="s">
        <v>108</v>
      </c>
      <c r="G50" s="4"/>
      <c r="H50" s="4"/>
      <c r="I50" s="7"/>
      <c r="J50" s="4"/>
    </row>
  </sheetData>
  <autoFilter ref="A4:J50"/>
  <dataValidations count="1">
    <dataValidation allowBlank="true" errorStyle="stop" operator="between" showDropDown="false" showErrorMessage="false" showInputMessage="false" sqref="I5:I50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8" min="2" style="0" width="16"/>
  </cols>
  <sheetData>
    <row r="1" customFormat="false" ht="17.35" hidden="false" customHeight="false" outlineLevel="0" collapsed="false">
      <c r="A1" s="1" t="s">
        <v>109</v>
      </c>
    </row>
    <row r="3" customFormat="false" ht="26.85" hidden="false" customHeight="false" outlineLevel="0" collapsed="false">
      <c r="A3" s="12" t="s">
        <v>3</v>
      </c>
      <c r="B3" s="12" t="s">
        <v>110</v>
      </c>
      <c r="C3" s="12" t="s">
        <v>23</v>
      </c>
      <c r="D3" s="12" t="s">
        <v>14</v>
      </c>
      <c r="E3" s="12" t="s">
        <v>20</v>
      </c>
      <c r="F3" s="12" t="s">
        <v>50</v>
      </c>
      <c r="G3" s="12" t="s">
        <v>111</v>
      </c>
      <c r="H3" s="12" t="s">
        <v>112</v>
      </c>
    </row>
    <row r="4" customFormat="false" ht="15" hidden="false" customHeight="false" outlineLevel="0" collapsed="false">
      <c r="A4" s="13" t="s">
        <v>12</v>
      </c>
      <c r="B4" s="14" t="n">
        <f aca="false">COUNTIF(Máquinas!$B$5:$B$50,A4)</f>
        <v>19</v>
      </c>
      <c r="C4" s="14" t="n">
        <f aca="false">COUNTIFS(Máquinas!$B$5:$B$50,$A4,Máquinas!$D$5:$D$50,"Confirmado en México")</f>
        <v>3</v>
      </c>
      <c r="D4" s="14" t="n">
        <f aca="false">COUNTIFS(Máquinas!$B$5:$B$50,$A4,Máquinas!$D$5:$D$50,"Estándar de la cadena")</f>
        <v>9</v>
      </c>
      <c r="E4" s="14" t="n">
        <f aca="false">COUNTIFS(Máquinas!$B$5:$B$50,$A4,Máquinas!$D$5:$D$50,"Varía por club")</f>
        <v>5</v>
      </c>
      <c r="F4" s="14" t="n">
        <f aca="false">COUNTIFS(Máquinas!$B$5:$B$50,$A4,Máquinas!$D$5:$D$50,"No verificado")</f>
        <v>2</v>
      </c>
      <c r="G4" s="14" t="n">
        <f aca="false">COUNTIFS(Máquinas!$B$5:$B$50,$A4,Máquinas!$I$5:$I$50,"Sí")</f>
        <v>1</v>
      </c>
      <c r="H4" s="14" t="n">
        <f aca="false">COUNTIFS(Máquinas!$B$5:$B$50,$A4,Máquinas!$I$5:$I$50,"No")</f>
        <v>0</v>
      </c>
    </row>
    <row r="5" customFormat="false" ht="15" hidden="false" customHeight="false" outlineLevel="0" collapsed="false">
      <c r="A5" s="13" t="s">
        <v>55</v>
      </c>
      <c r="B5" s="14" t="n">
        <f aca="false">COUNTIF(Máquinas!$B$5:$B$50,A5)</f>
        <v>6</v>
      </c>
      <c r="C5" s="14" t="n">
        <f aca="false">COUNTIFS(Máquinas!$B$5:$B$50,$A5,Máquinas!$D$5:$D$50,"Confirmado en México")</f>
        <v>2</v>
      </c>
      <c r="D5" s="14" t="n">
        <f aca="false">COUNTIFS(Máquinas!$B$5:$B$50,$A5,Máquinas!$D$5:$D$50,"Estándar de la cadena")</f>
        <v>2</v>
      </c>
      <c r="E5" s="14" t="n">
        <f aca="false">COUNTIFS(Máquinas!$B$5:$B$50,$A5,Máquinas!$D$5:$D$50,"Varía por club")</f>
        <v>1</v>
      </c>
      <c r="F5" s="14" t="n">
        <f aca="false">COUNTIFS(Máquinas!$B$5:$B$50,$A5,Máquinas!$D$5:$D$50,"No verificado")</f>
        <v>1</v>
      </c>
      <c r="G5" s="14" t="n">
        <f aca="false">COUNTIFS(Máquinas!$B$5:$B$50,$A5,Máquinas!$I$5:$I$50,"Sí")</f>
        <v>0</v>
      </c>
      <c r="H5" s="14" t="n">
        <f aca="false">COUNTIFS(Máquinas!$B$5:$B$50,$A5,Máquinas!$I$5:$I$50,"No")</f>
        <v>0</v>
      </c>
    </row>
    <row r="6" customFormat="false" ht="15" hidden="false" customHeight="false" outlineLevel="0" collapsed="false">
      <c r="A6" s="13" t="s">
        <v>71</v>
      </c>
      <c r="B6" s="14" t="n">
        <f aca="false">COUNTIF(Máquinas!$B$5:$B$50,A6)</f>
        <v>9</v>
      </c>
      <c r="C6" s="14" t="n">
        <f aca="false">COUNTIFS(Máquinas!$B$5:$B$50,$A6,Máquinas!$D$5:$D$50,"Confirmado en México")</f>
        <v>4</v>
      </c>
      <c r="D6" s="14" t="n">
        <f aca="false">COUNTIFS(Máquinas!$B$5:$B$50,$A6,Máquinas!$D$5:$D$50,"Estándar de la cadena")</f>
        <v>3</v>
      </c>
      <c r="E6" s="14" t="n">
        <f aca="false">COUNTIFS(Máquinas!$B$5:$B$50,$A6,Máquinas!$D$5:$D$50,"Varía por club")</f>
        <v>1</v>
      </c>
      <c r="F6" s="14" t="n">
        <f aca="false">COUNTIFS(Máquinas!$B$5:$B$50,$A6,Máquinas!$D$5:$D$50,"No verificado")</f>
        <v>1</v>
      </c>
      <c r="G6" s="14" t="n">
        <f aca="false">COUNTIFS(Máquinas!$B$5:$B$50,$A6,Máquinas!$I$5:$I$50,"Sí")</f>
        <v>0</v>
      </c>
      <c r="H6" s="14" t="n">
        <f aca="false">COUNTIFS(Máquinas!$B$5:$B$50,$A6,Máquinas!$I$5:$I$50,"No")</f>
        <v>0</v>
      </c>
    </row>
    <row r="7" customFormat="false" ht="15" hidden="false" customHeight="false" outlineLevel="0" collapsed="false">
      <c r="A7" s="13" t="s">
        <v>92</v>
      </c>
      <c r="B7" s="14" t="n">
        <f aca="false">COUNTIF(Máquinas!$B$5:$B$50,A7)</f>
        <v>8</v>
      </c>
      <c r="C7" s="14" t="n">
        <f aca="false">COUNTIFS(Máquinas!$B$5:$B$50,$A7,Máquinas!$D$5:$D$50,"Confirmado en México")</f>
        <v>6</v>
      </c>
      <c r="D7" s="14" t="n">
        <f aca="false">COUNTIFS(Máquinas!$B$5:$B$50,$A7,Máquinas!$D$5:$D$50,"Estándar de la cadena")</f>
        <v>2</v>
      </c>
      <c r="E7" s="14" t="n">
        <f aca="false">COUNTIFS(Máquinas!$B$5:$B$50,$A7,Máquinas!$D$5:$D$50,"Varía por club")</f>
        <v>0</v>
      </c>
      <c r="F7" s="14" t="n">
        <f aca="false">COUNTIFS(Máquinas!$B$5:$B$50,$A7,Máquinas!$D$5:$D$50,"No verificado")</f>
        <v>0</v>
      </c>
      <c r="G7" s="14" t="n">
        <f aca="false">COUNTIFS(Máquinas!$B$5:$B$50,$A7,Máquinas!$I$5:$I$50,"Sí")</f>
        <v>0</v>
      </c>
      <c r="H7" s="14" t="n">
        <f aca="false">COUNTIFS(Máquinas!$B$5:$B$50,$A7,Máquinas!$I$5:$I$50,"No")</f>
        <v>0</v>
      </c>
    </row>
    <row r="8" customFormat="false" ht="15" hidden="false" customHeight="false" outlineLevel="0" collapsed="false">
      <c r="A8" s="13" t="s">
        <v>103</v>
      </c>
      <c r="B8" s="14" t="n">
        <f aca="false">COUNTIF(Máquinas!$B$5:$B$50,A8)</f>
        <v>4</v>
      </c>
      <c r="C8" s="14" t="n">
        <f aca="false">COUNTIFS(Máquinas!$B$5:$B$50,$A8,Máquinas!$D$5:$D$50,"Confirmado en México")</f>
        <v>4</v>
      </c>
      <c r="D8" s="14" t="n">
        <f aca="false">COUNTIFS(Máquinas!$B$5:$B$50,$A8,Máquinas!$D$5:$D$50,"Estándar de la cadena")</f>
        <v>0</v>
      </c>
      <c r="E8" s="14" t="n">
        <f aca="false">COUNTIFS(Máquinas!$B$5:$B$50,$A8,Máquinas!$D$5:$D$50,"Varía por club")</f>
        <v>0</v>
      </c>
      <c r="F8" s="14" t="n">
        <f aca="false">COUNTIFS(Máquinas!$B$5:$B$50,$A8,Máquinas!$D$5:$D$50,"No verificado")</f>
        <v>0</v>
      </c>
      <c r="G8" s="14" t="n">
        <f aca="false">COUNTIFS(Máquinas!$B$5:$B$50,$A8,Máquinas!$I$5:$I$50,"Sí")</f>
        <v>0</v>
      </c>
      <c r="H8" s="14" t="n">
        <f aca="false">COUNTIFS(Máquinas!$B$5:$B$50,$A8,Máquinas!$I$5:$I$50,"No")</f>
        <v>0</v>
      </c>
    </row>
    <row r="9" customFormat="false" ht="15" hidden="false" customHeight="false" outlineLevel="0" collapsed="false">
      <c r="A9" s="15" t="s">
        <v>110</v>
      </c>
      <c r="B9" s="13" t="n">
        <f aca="false">SUM(B4:B8)</f>
        <v>46</v>
      </c>
      <c r="C9" s="13" t="n">
        <f aca="false">SUM(C4:C8)</f>
        <v>19</v>
      </c>
      <c r="D9" s="13" t="n">
        <f aca="false">SUM(D4:D8)</f>
        <v>16</v>
      </c>
      <c r="E9" s="13" t="n">
        <f aca="false">SUM(E4:E8)</f>
        <v>7</v>
      </c>
      <c r="F9" s="13" t="n">
        <f aca="false">SUM(F4:F8)</f>
        <v>4</v>
      </c>
      <c r="G9" s="13" t="n">
        <f aca="false">SUM(G4:G8)</f>
        <v>1</v>
      </c>
      <c r="H9" s="13" t="n">
        <f aca="false">SUM(H4:H8)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38"/>
  </cols>
  <sheetData>
    <row r="1" customFormat="false" ht="17.35" hidden="false" customHeight="false" outlineLevel="0" collapsed="false">
      <c r="A1" s="1" t="s">
        <v>113</v>
      </c>
    </row>
    <row r="3" customFormat="false" ht="15" hidden="false" customHeight="false" outlineLevel="0" collapsed="false">
      <c r="A3" s="16" t="s">
        <v>114</v>
      </c>
      <c r="B3" s="16" t="s">
        <v>115</v>
      </c>
      <c r="C3" s="16" t="s">
        <v>116</v>
      </c>
      <c r="D3" s="16" t="s">
        <v>117</v>
      </c>
    </row>
    <row r="4" customFormat="false" ht="15" hidden="false" customHeight="false" outlineLevel="0" collapsed="false">
      <c r="A4" s="13" t="s">
        <v>118</v>
      </c>
      <c r="B4" s="14" t="s">
        <v>58</v>
      </c>
      <c r="C4" s="14" t="s">
        <v>119</v>
      </c>
      <c r="D4" s="14" t="s">
        <v>120</v>
      </c>
    </row>
    <row r="5" customFormat="false" ht="15" hidden="false" customHeight="false" outlineLevel="0" collapsed="false">
      <c r="A5" s="13" t="s">
        <v>121</v>
      </c>
      <c r="B5" s="14" t="s">
        <v>122</v>
      </c>
      <c r="C5" s="14" t="s">
        <v>123</v>
      </c>
      <c r="D5" s="14"/>
    </row>
    <row r="6" customFormat="false" ht="15" hidden="false" customHeight="false" outlineLevel="0" collapsed="false">
      <c r="A6" s="13" t="s">
        <v>124</v>
      </c>
      <c r="B6" s="14" t="s">
        <v>122</v>
      </c>
      <c r="C6" s="14" t="s">
        <v>123</v>
      </c>
      <c r="D6" s="14"/>
    </row>
    <row r="7" customFormat="false" ht="15" hidden="false" customHeight="false" outlineLevel="0" collapsed="false">
      <c r="A7" s="13" t="s">
        <v>125</v>
      </c>
      <c r="B7" s="14" t="s">
        <v>61</v>
      </c>
      <c r="C7" s="14" t="s">
        <v>126</v>
      </c>
      <c r="D7" s="14" t="s">
        <v>127</v>
      </c>
    </row>
    <row r="8" customFormat="false" ht="15" hidden="false" customHeight="false" outlineLevel="0" collapsed="false">
      <c r="A8" s="13" t="s">
        <v>128</v>
      </c>
      <c r="B8" s="14" t="s">
        <v>129</v>
      </c>
      <c r="C8" s="14" t="s">
        <v>130</v>
      </c>
      <c r="D8" s="14" t="s">
        <v>19</v>
      </c>
    </row>
    <row r="9" customFormat="false" ht="15" hidden="false" customHeight="false" outlineLevel="0" collapsed="false">
      <c r="A9" s="13" t="s">
        <v>131</v>
      </c>
      <c r="B9" s="14" t="s">
        <v>61</v>
      </c>
      <c r="C9" s="14" t="s">
        <v>16</v>
      </c>
      <c r="D9" s="14"/>
    </row>
    <row r="10" customFormat="false" ht="15" hidden="false" customHeight="false" outlineLevel="0" collapsed="false">
      <c r="A10" s="13" t="s">
        <v>132</v>
      </c>
      <c r="B10" s="14" t="s">
        <v>133</v>
      </c>
      <c r="C10" s="14" t="s">
        <v>134</v>
      </c>
      <c r="D10" s="14"/>
    </row>
    <row r="11" customFormat="false" ht="15" hidden="false" customHeight="false" outlineLevel="0" collapsed="false">
      <c r="A11" s="13" t="s">
        <v>69</v>
      </c>
      <c r="B11" s="14" t="s">
        <v>135</v>
      </c>
      <c r="C11" s="14" t="s">
        <v>31</v>
      </c>
      <c r="D11" s="14"/>
    </row>
    <row r="12" customFormat="false" ht="15" hidden="false" customHeight="false" outlineLevel="0" collapsed="false">
      <c r="A12" s="13" t="s">
        <v>136</v>
      </c>
      <c r="B12" s="14" t="s">
        <v>137</v>
      </c>
      <c r="C12" s="14" t="s">
        <v>27</v>
      </c>
      <c r="D12" s="14" t="s">
        <v>138</v>
      </c>
    </row>
    <row r="13" customFormat="false" ht="15" hidden="false" customHeight="false" outlineLevel="0" collapsed="false">
      <c r="A13" s="13" t="s">
        <v>139</v>
      </c>
      <c r="B13" s="14" t="s">
        <v>140</v>
      </c>
      <c r="C13" s="14" t="s">
        <v>141</v>
      </c>
      <c r="D13" s="14"/>
    </row>
    <row r="14" customFormat="false" ht="15" hidden="false" customHeight="false" outlineLevel="0" collapsed="false">
      <c r="A14" s="13" t="s">
        <v>142</v>
      </c>
      <c r="B14" s="14" t="s">
        <v>143</v>
      </c>
      <c r="C14" s="14" t="s">
        <v>144</v>
      </c>
      <c r="D14" s="14"/>
    </row>
    <row r="15" customFormat="false" ht="15" hidden="false" customHeight="false" outlineLevel="0" collapsed="false">
      <c r="A15" s="13" t="s">
        <v>145</v>
      </c>
      <c r="B15" s="14" t="s">
        <v>146</v>
      </c>
      <c r="C15" s="14" t="s">
        <v>38</v>
      </c>
      <c r="D15" s="14"/>
    </row>
    <row r="16" customFormat="false" ht="15" hidden="false" customHeight="false" outlineLevel="0" collapsed="false">
      <c r="A16" s="13" t="s">
        <v>147</v>
      </c>
      <c r="B16" s="14" t="s">
        <v>66</v>
      </c>
      <c r="C16" s="14" t="s">
        <v>148</v>
      </c>
      <c r="D16" s="14"/>
    </row>
    <row r="17" customFormat="false" ht="15" hidden="false" customHeight="false" outlineLevel="0" collapsed="false">
      <c r="A17" s="13" t="s">
        <v>148</v>
      </c>
      <c r="B17" s="14" t="s">
        <v>66</v>
      </c>
      <c r="C17" s="14"/>
      <c r="D17" s="14"/>
    </row>
    <row r="18" customFormat="false" ht="15" hidden="false" customHeight="false" outlineLevel="0" collapsed="false">
      <c r="A18" s="13" t="s">
        <v>149</v>
      </c>
      <c r="B18" s="14" t="s">
        <v>150</v>
      </c>
      <c r="C18" s="14" t="s">
        <v>29</v>
      </c>
      <c r="D18" s="14"/>
    </row>
    <row r="19" customFormat="false" ht="15" hidden="false" customHeight="false" outlineLevel="0" collapsed="false">
      <c r="A19" s="13" t="s">
        <v>89</v>
      </c>
      <c r="B19" s="14" t="s">
        <v>151</v>
      </c>
      <c r="C19" s="14" t="s">
        <v>38</v>
      </c>
      <c r="D19" s="14"/>
    </row>
    <row r="20" customFormat="false" ht="15" hidden="false" customHeight="false" outlineLevel="0" collapsed="false">
      <c r="A20" s="13" t="s">
        <v>68</v>
      </c>
      <c r="B20" s="14" t="s">
        <v>120</v>
      </c>
      <c r="C20" s="14"/>
      <c r="D20" s="14"/>
    </row>
    <row r="21" customFormat="false" ht="15" hidden="false" customHeight="false" outlineLevel="0" collapsed="false">
      <c r="A21" s="13" t="s">
        <v>46</v>
      </c>
      <c r="B21" s="14" t="s">
        <v>44</v>
      </c>
      <c r="C21" s="14"/>
      <c r="D21" s="14"/>
    </row>
    <row r="22" customFormat="false" ht="15" hidden="false" customHeight="false" outlineLevel="0" collapsed="false">
      <c r="A22" s="13" t="s">
        <v>36</v>
      </c>
      <c r="B22" s="14" t="s">
        <v>34</v>
      </c>
      <c r="C22" s="14" t="s">
        <v>143</v>
      </c>
      <c r="D22" s="14"/>
    </row>
    <row r="23" customFormat="false" ht="15" hidden="false" customHeight="false" outlineLevel="0" collapsed="false">
      <c r="A23" s="13" t="s">
        <v>152</v>
      </c>
      <c r="B23" s="14" t="s">
        <v>153</v>
      </c>
      <c r="C23" s="14" t="s">
        <v>154</v>
      </c>
      <c r="D23" s="14"/>
    </row>
    <row r="24" customFormat="false" ht="15" hidden="false" customHeight="false" outlineLevel="0" collapsed="false">
      <c r="A24" s="13" t="s">
        <v>63</v>
      </c>
      <c r="B24" s="14" t="s">
        <v>153</v>
      </c>
      <c r="C24" s="14" t="s">
        <v>154</v>
      </c>
      <c r="D24" s="14"/>
    </row>
    <row r="25" customFormat="false" ht="15" hidden="false" customHeight="false" outlineLevel="0" collapsed="false">
      <c r="A25" s="13" t="s">
        <v>19</v>
      </c>
      <c r="B25" s="14" t="s">
        <v>129</v>
      </c>
      <c r="C25" s="14" t="s">
        <v>130</v>
      </c>
      <c r="D25" s="14"/>
    </row>
    <row r="26" customFormat="false" ht="15" hidden="false" customHeight="false" outlineLevel="0" collapsed="false">
      <c r="A26" s="13" t="s">
        <v>28</v>
      </c>
      <c r="B26" s="14" t="s">
        <v>155</v>
      </c>
      <c r="C26" s="14" t="s">
        <v>156</v>
      </c>
      <c r="D26" s="14"/>
    </row>
    <row r="27" customFormat="false" ht="15" hidden="false" customHeight="false" outlineLevel="0" collapsed="false">
      <c r="A27" s="13" t="s">
        <v>66</v>
      </c>
      <c r="B27" s="14" t="s">
        <v>148</v>
      </c>
      <c r="C27" s="14"/>
      <c r="D27" s="14"/>
    </row>
    <row r="28" customFormat="false" ht="15" hidden="false" customHeight="false" outlineLevel="0" collapsed="false">
      <c r="A28" s="13" t="s">
        <v>157</v>
      </c>
      <c r="B28" s="14" t="s">
        <v>123</v>
      </c>
      <c r="C28" s="14" t="s">
        <v>44</v>
      </c>
      <c r="D28" s="14"/>
    </row>
    <row r="29" customFormat="false" ht="15" hidden="false" customHeight="false" outlineLevel="0" collapsed="false">
      <c r="A29" s="13" t="s">
        <v>158</v>
      </c>
      <c r="B29" s="14" t="s">
        <v>58</v>
      </c>
      <c r="C29" s="14" t="s">
        <v>119</v>
      </c>
      <c r="D29" s="14"/>
    </row>
    <row r="30" customFormat="false" ht="15" hidden="false" customHeight="false" outlineLevel="0" collapsed="false">
      <c r="A30" s="13" t="s">
        <v>159</v>
      </c>
      <c r="B30" s="14" t="s">
        <v>119</v>
      </c>
      <c r="C30" s="14" t="s">
        <v>120</v>
      </c>
      <c r="D30" s="14"/>
    </row>
    <row r="31" customFormat="false" ht="15" hidden="false" customHeight="false" outlineLevel="0" collapsed="false">
      <c r="A31" s="13" t="s">
        <v>160</v>
      </c>
      <c r="B31" s="14" t="s">
        <v>44</v>
      </c>
      <c r="C31" s="14"/>
      <c r="D31" s="14"/>
    </row>
    <row r="32" customFormat="false" ht="15" hidden="false" customHeight="false" outlineLevel="0" collapsed="false">
      <c r="A32" s="13" t="s">
        <v>161</v>
      </c>
      <c r="B32" s="14" t="s">
        <v>151</v>
      </c>
      <c r="C32" s="14" t="s">
        <v>38</v>
      </c>
      <c r="D32" s="14"/>
    </row>
    <row r="33" customFormat="false" ht="15" hidden="false" customHeight="false" outlineLevel="0" collapsed="false">
      <c r="A33" s="13" t="s">
        <v>162</v>
      </c>
      <c r="B33" s="14" t="s">
        <v>146</v>
      </c>
      <c r="C33" s="14" t="s">
        <v>38</v>
      </c>
      <c r="D33" s="14"/>
    </row>
    <row r="34" customFormat="false" ht="15" hidden="false" customHeight="false" outlineLevel="0" collapsed="false">
      <c r="A34" s="13" t="s">
        <v>163</v>
      </c>
      <c r="B34" s="14" t="s">
        <v>31</v>
      </c>
      <c r="C34" s="14" t="s">
        <v>29</v>
      </c>
      <c r="D34" s="14"/>
    </row>
    <row r="35" customFormat="false" ht="15" hidden="false" customHeight="false" outlineLevel="0" collapsed="false">
      <c r="A35" s="13" t="s">
        <v>164</v>
      </c>
      <c r="B35" s="14" t="s">
        <v>16</v>
      </c>
      <c r="C35" s="14" t="s">
        <v>61</v>
      </c>
      <c r="D35" s="14"/>
    </row>
    <row r="36" customFormat="false" ht="15" hidden="false" customHeight="false" outlineLevel="0" collapsed="false">
      <c r="A36" s="13" t="s">
        <v>165</v>
      </c>
      <c r="B36" s="14" t="s">
        <v>166</v>
      </c>
      <c r="C36" s="14" t="s">
        <v>167</v>
      </c>
      <c r="D36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168</v>
      </c>
      <c r="B1" s="17"/>
    </row>
    <row r="2" customFormat="false" ht="35.05" hidden="false" customHeight="false" outlineLevel="0" collapsed="false">
      <c r="A2" s="15" t="s">
        <v>169</v>
      </c>
      <c r="B2" s="17" t="s">
        <v>170</v>
      </c>
    </row>
    <row r="3" customFormat="false" ht="15" hidden="false" customHeight="false" outlineLevel="0" collapsed="false">
      <c r="A3" s="15" t="s">
        <v>171</v>
      </c>
      <c r="B3" s="17" t="s">
        <v>172</v>
      </c>
    </row>
    <row r="4" customFormat="false" ht="15" hidden="false" customHeight="false" outlineLevel="0" collapsed="false">
      <c r="A4" s="15" t="s">
        <v>173</v>
      </c>
      <c r="B4" s="17" t="s">
        <v>174</v>
      </c>
    </row>
    <row r="5" customFormat="false" ht="15" hidden="false" customHeight="false" outlineLevel="0" collapsed="false">
      <c r="A5" s="15" t="s">
        <v>175</v>
      </c>
      <c r="B5" s="17" t="s">
        <v>176</v>
      </c>
    </row>
    <row r="6" customFormat="false" ht="15" hidden="false" customHeight="false" outlineLevel="0" collapsed="false">
      <c r="A6" s="15" t="s">
        <v>177</v>
      </c>
      <c r="B6" s="17" t="s">
        <v>178</v>
      </c>
    </row>
    <row r="7" customFormat="false" ht="15" hidden="false" customHeight="false" outlineLevel="0" collapsed="false">
      <c r="A7" s="15" t="s">
        <v>179</v>
      </c>
      <c r="B7" s="17" t="s">
        <v>180</v>
      </c>
    </row>
    <row r="8" customFormat="false" ht="15" hidden="false" customHeight="false" outlineLevel="0" collapsed="false">
      <c r="A8" s="15" t="s">
        <v>181</v>
      </c>
      <c r="B8" s="17" t="s">
        <v>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2026-10-16T23:38:32Z</dcterms:created>
  <dc:creator>openpyxl</dc:creator>
  <dc:description/>
  <dc:language>en-US</dc:language>
  <cp:lastModifiedBy/>
  <dcterms:modified xsi:type="dcterms:W3CDTF">2026-10-16T23:38:32Z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